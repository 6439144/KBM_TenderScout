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KBM Opportunities" sheetId="2" state="visible" r:id="rId2"/>
    <sheet xmlns:r="http://schemas.openxmlformats.org/officeDocument/2006/relationships" name="New Today" sheetId="3" state="visible" r:id="rId3"/>
    <sheet xmlns:r="http://schemas.openxmlformats.org/officeDocument/2006/relationships" name="All Open" sheetId="4" state="visible" r:id="rId4"/>
    <sheet xmlns:r="http://schemas.openxmlformats.org/officeDocument/2006/relationships" name="By Sector" sheetId="5" state="visible" r:id="rId5"/>
    <sheet xmlns:r="http://schemas.openxmlformats.org/officeDocument/2006/relationships" name="By Client" sheetId="6" state="visible" r:id="rId6"/>
    <sheet xmlns:r="http://schemas.openxmlformats.org/officeDocument/2006/relationships" name="Needs Review" sheetId="7" state="visible" r:id="rId7"/>
    <sheet xmlns:r="http://schemas.openxmlformats.org/officeDocument/2006/relationships" name="Run Log" sheetId="8" state="visible" r:id="rId8"/>
  </sheets>
  <definedNames>
    <definedName name="_xlnm._FilterDatabase" localSheetId="2" hidden="1">'New Today'!$A$1:$P$209</definedName>
    <definedName name="_xlnm._FilterDatabase" localSheetId="3" hidden="1">'All Open'!$A$1:$P$232</definedName>
    <definedName name="_xlnm._FilterDatabase" localSheetId="4" hidden="1">'By Sector'!$A$1:$P$232</definedName>
    <definedName name="_xlnm._FilterDatabase" localSheetId="5" hidden="1">'By Client'!$A$1:$P$232</definedName>
    <definedName name="_xlnm._FilterDatabase" localSheetId="6" hidden="1">'Needs Review'!$A$1:$I$27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A365D"/>
      <sz val="16"/>
    </font>
    <font>
      <name val="Calibri"/>
      <i val="1"/>
      <color rgb="004A5568"/>
      <sz val="11"/>
    </font>
    <font>
      <name val="Calibri"/>
      <b val="1"/>
      <color rgb="00FFFFFF"/>
      <sz val="10"/>
    </font>
    <font>
      <name val="Calibri"/>
      <b val="1"/>
      <color rgb="001A202C"/>
      <sz val="16"/>
    </font>
    <font>
      <name val="Calibri"/>
      <b val="1"/>
      <color rgb="001A365D"/>
      <sz val="12"/>
    </font>
    <font>
      <name val="Calibri"/>
      <b val="1"/>
      <color rgb="00FFFFFF"/>
      <sz val="11"/>
    </font>
    <font>
      <name val="Calibri"/>
      <b val="1"/>
      <color rgb="009B2C2C"/>
      <sz val="10"/>
    </font>
    <font>
      <name val="Calibri"/>
      <b val="1"/>
      <sz val="10"/>
    </font>
    <font>
      <name val="Calibri"/>
      <color rgb="002B6CB0"/>
      <sz val="10"/>
      <u val="single"/>
    </font>
    <font>
      <name val="Calibri"/>
      <b val="1"/>
      <color rgb="002B6CB0"/>
      <sz val="10"/>
    </font>
    <font>
      <name val="Calibri"/>
      <color rgb="009B2C2C"/>
      <sz val="10"/>
    </font>
  </fonts>
  <fills count="16">
    <fill>
      <patternFill/>
    </fill>
    <fill>
      <patternFill patternType="gray125"/>
    </fill>
    <fill>
      <patternFill patternType="solid">
        <fgColor rgb="002B6CB0"/>
        <bgColor rgb="002B6CB0"/>
      </patternFill>
    </fill>
    <fill>
      <patternFill patternType="solid">
        <fgColor rgb="00D4EDDA"/>
        <bgColor rgb="00D4EDDA"/>
      </patternFill>
    </fill>
    <fill>
      <patternFill patternType="solid">
        <fgColor rgb="00FFF3CD"/>
        <bgColor rgb="00FFF3CD"/>
      </patternFill>
    </fill>
    <fill>
      <patternFill patternType="solid">
        <fgColor rgb="00EBF8FF"/>
        <bgColor rgb="00EBF8FF"/>
      </patternFill>
    </fill>
    <fill>
      <patternFill patternType="solid">
        <fgColor rgb="00E2E8F0"/>
        <bgColor rgb="00E2E8F0"/>
      </patternFill>
    </fill>
    <fill>
      <patternFill patternType="solid">
        <fgColor rgb="00F8D7DA"/>
        <bgColor rgb="00F8D7DA"/>
      </patternFill>
    </fill>
    <fill>
      <patternFill patternType="solid">
        <fgColor rgb="001A365D"/>
        <bgColor rgb="001A365D"/>
      </patternFill>
    </fill>
    <fill>
      <patternFill patternType="solid">
        <fgColor rgb="00FFFFFF"/>
        <bgColor rgb="00FFFFFF"/>
      </patternFill>
    </fill>
    <fill>
      <patternFill patternType="solid">
        <fgColor rgb="00F7FAFC"/>
        <bgColor rgb="00F7FAFC"/>
      </patternFill>
    </fill>
    <fill>
      <patternFill patternType="solid">
        <fgColor rgb="000F2642"/>
        <bgColor rgb="000F2642"/>
      </patternFill>
    </fill>
    <fill>
      <patternFill patternType="solid">
        <fgColor rgb="00E8F5E9"/>
        <bgColor rgb="00E8F5E9"/>
      </patternFill>
    </fill>
    <fill>
      <patternFill patternType="solid">
        <fgColor rgb="00E3F2FD"/>
        <bgColor rgb="00E3F2FD"/>
      </patternFill>
    </fill>
    <fill>
      <patternFill patternType="solid">
        <fgColor rgb="00EDF2F7"/>
        <bgColor rgb="00EDF2F7"/>
      </patternFill>
    </fill>
    <fill>
      <patternFill patternType="solid">
        <fgColor rgb="009B2C2C"/>
        <bgColor rgb="009B2C2C"/>
      </patternFill>
    </fill>
  </fills>
  <borders count="2">
    <border>
      <left/>
      <right/>
      <top/>
      <bottom/>
      <diagonal/>
    </border>
    <border>
      <left style="thin">
        <color rgb="00D2D6DC"/>
      </left>
      <right style="thin">
        <color rgb="00D2D6DC"/>
      </right>
      <top style="thin">
        <color rgb="00D2D6DC"/>
      </top>
      <bottom style="thin">
        <color rgb="00D2D6DC"/>
      </bottom>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right" vertical="center" wrapText="1"/>
    </xf>
    <xf numFmtId="0" fontId="2" fillId="0" borderId="0" pivotButton="0" quotePrefix="0" xfId="0"/>
    <xf numFmtId="0" fontId="3"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5" fillId="0" borderId="0" pivotButton="0" quotePrefix="0" xfId="0"/>
    <xf numFmtId="0" fontId="6" fillId="8" borderId="1" applyAlignment="1" pivotButton="0" quotePrefix="0" xfId="0">
      <alignment horizontal="center" vertical="center"/>
    </xf>
    <xf numFmtId="0" fontId="0" fillId="9" borderId="1" applyAlignment="1" pivotButton="0" quotePrefix="0" xfId="0">
      <alignment horizontal="right" vertical="center" wrapText="1"/>
    </xf>
    <xf numFmtId="0" fontId="0" fillId="9" borderId="1" applyAlignment="1" pivotButton="0" quotePrefix="0" xfId="0">
      <alignment horizontal="center" vertical="center"/>
    </xf>
    <xf numFmtId="0" fontId="0" fillId="10" borderId="1" applyAlignment="1" pivotButton="0" quotePrefix="0" xfId="0">
      <alignment horizontal="right" vertical="center" wrapText="1"/>
    </xf>
    <xf numFmtId="0" fontId="0" fillId="10" borderId="1" applyAlignment="1" pivotButton="0" quotePrefix="0" xfId="0">
      <alignment horizontal="center" vertical="center"/>
    </xf>
    <xf numFmtId="0" fontId="6" fillId="11"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horizontal="right" vertical="center" wrapText="1"/>
    </xf>
    <xf numFmtId="0" fontId="7" fillId="7" borderId="1" applyAlignment="1" pivotButton="0" quotePrefix="0" xfId="0">
      <alignment horizontal="center" vertical="center"/>
    </xf>
    <xf numFmtId="0" fontId="0" fillId="13" borderId="1" applyAlignment="1" pivotButton="0" quotePrefix="0" xfId="0">
      <alignment horizontal="center" vertical="center"/>
    </xf>
    <xf numFmtId="0" fontId="0" fillId="13" borderId="1" applyAlignment="1" pivotButton="0" quotePrefix="0" xfId="0">
      <alignment horizontal="right" vertical="center" wrapText="1"/>
    </xf>
    <xf numFmtId="0" fontId="8" fillId="3" borderId="1" applyAlignment="1" pivotButton="0" quotePrefix="0" xfId="0">
      <alignment horizontal="center" vertical="center"/>
    </xf>
    <xf numFmtId="0" fontId="9" fillId="10" borderId="1" applyAlignment="1" pivotButton="0" quotePrefix="0" xfId="0">
      <alignment horizontal="center" vertical="center"/>
    </xf>
    <xf numFmtId="0" fontId="9" fillId="9" borderId="1" applyAlignment="1" pivotButton="0" quotePrefix="0" xfId="0">
      <alignment horizontal="center" vertical="center"/>
    </xf>
    <xf numFmtId="0" fontId="10" fillId="5" borderId="1" applyAlignment="1" pivotButton="0" quotePrefix="0" xfId="0">
      <alignment horizontal="center" vertical="center"/>
    </xf>
    <xf numFmtId="0" fontId="8" fillId="4" borderId="1" applyAlignment="1" pivotButton="0" quotePrefix="0" xfId="0">
      <alignment horizontal="center" vertical="center"/>
    </xf>
    <xf numFmtId="0" fontId="8" fillId="14" borderId="1" applyAlignment="1" pivotButton="0" quotePrefix="0" xfId="0">
      <alignment horizontal="center" vertical="center"/>
    </xf>
    <xf numFmtId="0" fontId="6" fillId="15" borderId="1" applyAlignment="1" pivotButton="0" quotePrefix="0" xfId="0">
      <alignment horizontal="center" vertical="center"/>
    </xf>
    <xf numFmtId="0" fontId="8" fillId="10" borderId="1" applyAlignment="1" pivotButton="0" quotePrefix="0" xfId="0">
      <alignment horizontal="center" vertical="center"/>
    </xf>
    <xf numFmtId="0" fontId="11" fillId="10" borderId="1" applyAlignment="1" pivotButton="0" quotePrefix="0" xfId="0">
      <alignment horizontal="right" vertical="center" wrapText="1"/>
    </xf>
    <xf numFmtId="0" fontId="8" fillId="9" borderId="1" applyAlignment="1" pivotButton="0" quotePrefix="0" xfId="0">
      <alignment horizontal="center" vertical="center"/>
    </xf>
    <xf numFmtId="0" fontId="11" fillId="9" borderId="1" applyAlignment="1" pivotButton="0" quotePrefix="0" xfId="0">
      <alignment horizontal="right" vertical="center" wrapText="1"/>
    </xf>
    <xf numFmtId="0" fontId="0" fillId="0" borderId="1" applyAlignment="1" pivotButton="0" quotePrefix="0" xfId="0">
      <alignment horizontal="center" vertical="center"/>
    </xf>
    <xf numFmtId="0" fontId="0" fillId="0" borderId="1"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rightToLeft="1"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s>
  <sheetData>
    <row r="1">
      <c r="A1" s="1" t="inlineStr">
        <is>
          <t>تقرير رصد المناقصات اليومي — خورافي للأعمال الهندسية (KBM)</t>
        </is>
      </c>
    </row>
    <row r="2">
      <c r="A2" s="2" t="inlineStr">
        <is>
          <t>تاريخ التقرير: 2026-10-05 03:36 (توقيت الكويت) | إجمالي المناقصات النشطة: 231</t>
        </is>
      </c>
    </row>
    <row r="4">
      <c r="A4" s="3" t="inlineStr">
        <is>
          <t>جديد اليوم</t>
        </is>
      </c>
      <c r="B4" s="3" t="inlineStr">
        <is>
          <t>محدث اليوم</t>
        </is>
      </c>
      <c r="C4" s="3" t="inlineStr">
        <is>
          <t>إجمالي المفتوحة</t>
        </is>
      </c>
      <c r="D4" s="3" t="inlineStr">
        <is>
          <t>متوافقة مع KBM</t>
        </is>
      </c>
      <c r="E4" s="3" t="inlineStr">
        <is>
          <t>تحت المراجعة</t>
        </is>
      </c>
    </row>
    <row r="5">
      <c r="A5" s="4" t="n">
        <v>207</v>
      </c>
      <c r="B5" s="5" t="n">
        <v>1</v>
      </c>
      <c r="C5" s="6" t="n">
        <v>231</v>
      </c>
      <c r="D5" s="7" t="n">
        <v>23</v>
      </c>
      <c r="E5" s="8" t="n">
        <v>26</v>
      </c>
    </row>
    <row r="7">
      <c r="A7" s="9" t="inlineStr">
        <is>
          <t>توزيع المناقصات حسب القطاع</t>
        </is>
      </c>
    </row>
    <row r="8">
      <c r="A8" s="10" t="inlineStr">
        <is>
          <t>القطاع</t>
        </is>
      </c>
      <c r="B8" s="10" t="inlineStr">
        <is>
          <t>إجمالي المناقصات</t>
        </is>
      </c>
      <c r="C8" s="10" t="inlineStr">
        <is>
          <t>فرص ICT (KBM)</t>
        </is>
      </c>
    </row>
    <row r="9">
      <c r="A9" s="11" t="inlineStr">
        <is>
          <t>government</t>
        </is>
      </c>
      <c r="B9" s="12" t="n">
        <v>117</v>
      </c>
      <c r="C9" s="12" t="n">
        <v>13</v>
      </c>
    </row>
    <row r="10">
      <c r="A10" s="13" t="inlineStr">
        <is>
          <t>oil_and_gas</t>
        </is>
      </c>
      <c r="B10" s="14" t="n">
        <v>82</v>
      </c>
      <c r="C10" s="14" t="n">
        <v>5</v>
      </c>
    </row>
    <row r="11">
      <c r="A11" s="11" t="inlineStr">
        <is>
          <t>healthcare</t>
        </is>
      </c>
      <c r="B11" s="12" t="n">
        <v>14</v>
      </c>
      <c r="C11" s="12" t="n">
        <v>2</v>
      </c>
    </row>
    <row r="12">
      <c r="A12" s="13" t="inlineStr">
        <is>
          <t>defense_and_security</t>
        </is>
      </c>
      <c r="B12" s="14" t="n">
        <v>7</v>
      </c>
      <c r="C12" s="14" t="n">
        <v>2</v>
      </c>
    </row>
    <row r="13">
      <c r="A13" s="11" t="inlineStr">
        <is>
          <t>education_and_research</t>
        </is>
      </c>
      <c r="B13" s="12" t="n">
        <v>4</v>
      </c>
      <c r="C13" s="12" t="n">
        <v>0</v>
      </c>
    </row>
    <row r="14">
      <c r="A14" s="13" t="inlineStr">
        <is>
          <t>other</t>
        </is>
      </c>
      <c r="B14" s="14" t="n">
        <v>3</v>
      </c>
      <c r="C14" s="14" t="n">
        <v>0</v>
      </c>
    </row>
    <row r="15">
      <c r="A15" s="11" t="inlineStr">
        <is>
          <t>telecom_and_media</t>
        </is>
      </c>
      <c r="B15" s="12" t="n">
        <v>2</v>
      </c>
      <c r="C15" s="12" t="n">
        <v>0</v>
      </c>
    </row>
    <row r="16">
      <c r="A16" s="13" t="inlineStr">
        <is>
          <t>banking_and_finance</t>
        </is>
      </c>
      <c r="B16" s="14" t="n">
        <v>2</v>
      </c>
      <c r="C16" s="14" t="n">
        <v>1</v>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rightToLeft="1" workbookViewId="0">
      <pane ySplit="1" topLeftCell="A2" activePane="bottomLeft" state="frozen"/>
      <selection pane="bottomLeft" activeCell="A1" sqref="A1"/>
    </sheetView>
  </sheetViews>
  <sheetFormatPr baseColWidth="8" defaultRowHeight="15"/>
  <cols>
    <col width="27" customWidth="1" min="1" max="1"/>
    <col width="41" customWidth="1" min="2" max="2"/>
    <col width="33" customWidth="1" min="3" max="3"/>
    <col width="45" customWidth="1" min="4" max="4"/>
    <col width="45" customWidth="1" min="5" max="5"/>
    <col width="45" customWidth="1" min="6" max="6"/>
    <col width="15" customWidth="1" min="7" max="7"/>
    <col width="41" customWidth="1" min="8" max="8"/>
    <col width="20" customWidth="1" min="9" max="9"/>
    <col width="45" customWidth="1" min="10" max="10"/>
    <col width="45" customWidth="1" min="11" max="11"/>
    <col width="14" customWidth="1" min="12" max="12"/>
    <col width="19" customWidth="1" min="13" max="13"/>
    <col width="17" customWidth="1" min="14" max="14"/>
    <col width="15" customWidth="1" min="15" max="15"/>
    <col width="45" customWidth="1" min="16" max="16"/>
  </cols>
  <sheetData>
    <row r="1">
      <c r="A1" s="15" t="inlineStr">
        <is>
          <t>رقم المناقصة</t>
        </is>
      </c>
      <c r="B1" s="15" t="inlineStr">
        <is>
          <t>الجهة المصدرة</t>
        </is>
      </c>
      <c r="C1" s="15" t="inlineStr">
        <is>
          <t>مسؤول الحساب (Account Manager)</t>
        </is>
      </c>
      <c r="D1" s="15" t="inlineStr">
        <is>
          <t>موضوع المناقصة</t>
        </is>
      </c>
      <c r="E1" s="15" t="inlineStr">
        <is>
          <t>المطلوب في المناقصة ونطاق العمل والأجهزة (Required Scope &amp; Equipment)</t>
        </is>
      </c>
      <c r="F1" s="15" t="inlineStr">
        <is>
          <t>قطاع KBM المختص (BU)</t>
        </is>
      </c>
      <c r="G1" s="15" t="inlineStr">
        <is>
          <t>درجة التوافق</t>
        </is>
      </c>
      <c r="H1" s="15" t="inlineStr">
        <is>
          <t>قرار ما قبل البيع</t>
        </is>
      </c>
      <c r="I1" s="15" t="inlineStr">
        <is>
          <t>شركاء التكنولوجيا</t>
        </is>
      </c>
      <c r="J1" s="15" t="inlineStr">
        <is>
          <t>شرح التوافق مع ملف الخرافي (KBM Profile Match Rationale)</t>
        </is>
      </c>
      <c r="K1" s="15" t="inlineStr">
        <is>
          <t>شروط ومتطلبات المشاركة (Requirements)</t>
        </is>
      </c>
      <c r="L1" s="15" t="inlineStr">
        <is>
          <t>تاريخ النشر</t>
        </is>
      </c>
      <c r="M1" s="15" t="inlineStr">
        <is>
          <t>آخر موعد للتقديم</t>
        </is>
      </c>
      <c r="N1" s="15" t="inlineStr">
        <is>
          <t>التأمين الأولي</t>
        </is>
      </c>
      <c r="O1" s="15" t="inlineStr">
        <is>
          <t>سعر الكراسة</t>
        </is>
      </c>
      <c r="P1" s="15" t="inlineStr">
        <is>
          <t>رابط الإعلان</t>
        </is>
      </c>
    </row>
    <row r="2">
      <c r="A2" s="16" t="inlineStr">
        <is>
          <t>MNA-19-2026</t>
        </is>
      </c>
      <c r="B2" s="17" t="inlineStr">
        <is>
          <t>شركة صناعة الكيماويات البترولية</t>
        </is>
      </c>
      <c r="C2" s="17" t="inlineStr">
        <is>
          <t>Abrar Al-Qallaf</t>
        </is>
      </c>
      <c r="D2" s="17" t="inlineStr">
        <is>
          <t>مناقصة رقم MNA-19-2026: Network Maintenance and Managed Network Support Services (صيانة الشبكات والدعم المدار) - شركة صناعة الكيماويات البترولية</t>
        </is>
      </c>
      <c r="E2" s="17"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 s="16" t="inlineStr">
        <is>
          <t>قطاع العمليات المدارة والدعم الفني متعدد الموردين</t>
        </is>
      </c>
      <c r="G2" s="16" t="inlineStr">
        <is>
          <t>95.0%</t>
        </is>
      </c>
      <c r="H2" s="16" t="inlineStr">
        <is>
          <t>موصى بالتقديم</t>
        </is>
      </c>
      <c r="I2" s="16" t="inlineStr">
        <is>
          <t>Cisco</t>
        </is>
      </c>
      <c r="J2" s="17" t="inlineStr">
        <is>
          <t>تطابق تام ومباشر بنسبة 95% مع قطاع الخدمات والعمليات المدارة (Services BU - MOPS) وشراكة KBM الذهبية والمعتمدة مع شركة سيسكو (Cisco Preferred &amp; Managed Services Partner). تلبي KBM جميع المتطلبات التأهيلية الإلزامية للمناقصة: اعتماد تقديم الخدمات المدارة من سيسكو، مراكز عمليات مدارة 24x7 معتمدة بشهادات ISO 20000 و ISO 27001 و ISO 22301، وكادر فني محلي ذو خبرة تفوق 10 سنوات في صيانة وإدارة شبكات وسويتشات سيسكو لقطاع النفط والغاز.</t>
        </is>
      </c>
      <c r="K2" s="17"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L2" s="16" t="inlineStr">
        <is>
          <t>2026-09-06</t>
        </is>
      </c>
      <c r="M2" s="18" t="inlineStr">
        <is>
          <t>2026-10-06</t>
        </is>
      </c>
      <c r="N2" s="16" t="inlineStr">
        <is>
          <t>15000.0</t>
        </is>
      </c>
      <c r="O2" s="16" t="inlineStr">
        <is>
          <t>-</t>
        </is>
      </c>
      <c r="P2" s="16">
        <f>HYPERLINK("https://kuwaitalyawm.media.gov.kw/Online/ViewAdsHTML?id=169424&amp;no=1", "عرض الإعلان")</f>
        <v/>
      </c>
    </row>
    <row r="3">
      <c r="A3" s="16" t="inlineStr">
        <is>
          <t>MNA-24-2026</t>
        </is>
      </c>
      <c r="B3" s="17" t="inlineStr">
        <is>
          <t>شركة صناعة الكيماويات البترولية</t>
        </is>
      </c>
      <c r="C3" s="17" t="inlineStr">
        <is>
          <t>Abrar Al-Qallaf</t>
        </is>
      </c>
      <c r="D3" s="17" t="inlineStr">
        <is>
          <t>مناقصة رقم MNA-24-2026: IBM Maximo Application Suite (MAS) MAS-IT (ICD) License Renewal and Support Services - شركة صناعة الكيماويات البترولية</t>
        </is>
      </c>
      <c r="E3" s="17"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3" s="16" t="inlineStr">
        <is>
          <t>قطاع برمجيات IBM وحلول الذكاء الاصطناعي وRed Hat</t>
        </is>
      </c>
      <c r="G3" s="16" t="inlineStr">
        <is>
          <t>95.0%</t>
        </is>
      </c>
      <c r="H3" s="16" t="inlineStr">
        <is>
          <t>موصى بالتقديم</t>
        </is>
      </c>
      <c r="I3" s="16" t="inlineStr">
        <is>
          <t>IBM</t>
        </is>
      </c>
      <c r="J3" s="17" t="inlineStr">
        <is>
          <t>تطابق استراتيجي حصري وتام بنسبة 95% مع قطاع حلول وبرمجيات آي بي إم (IBM BU - Solutions &amp; Channel)؛ حيث تعد KBM الممثل العام والوكيل الرئيسي المعتمد لشركة IBM في دولة الكويت (General Representative for IBM in Kuwait)، وشريك القيمة المضافة الرائد (Tier-1 Authorized Partner/Reseller) المتخصص في تراخيص ودعم نظام IBM Maximo و MAS-IT وحلول الذكاء الاصطناعي watsonx.</t>
        </is>
      </c>
      <c r="K3" s="17"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L3" s="16" t="inlineStr">
        <is>
          <t>2026-09-06</t>
        </is>
      </c>
      <c r="M3" s="18" t="inlineStr">
        <is>
          <t>2026-10-06</t>
        </is>
      </c>
      <c r="N3" s="16" t="inlineStr">
        <is>
          <t>15000.0</t>
        </is>
      </c>
      <c r="O3" s="16" t="inlineStr">
        <is>
          <t>-</t>
        </is>
      </c>
      <c r="P3" s="16">
        <f>HYPERLINK("https://kuwaitalyawm.media.gov.kw/Online/ViewAdsHTML?id=169425&amp;no=1", "عرض الإعلان")</f>
        <v/>
      </c>
    </row>
    <row r="4">
      <c r="A4" s="16" t="inlineStr">
        <is>
          <t>2026/35</t>
        </is>
      </c>
      <c r="B4" s="17" t="inlineStr">
        <is>
          <t>الجهاز المركزي لتكنولوجيا المعلومات</t>
        </is>
      </c>
      <c r="C4" s="17" t="inlineStr">
        <is>
          <t>Eiman Ashkanani</t>
        </is>
      </c>
      <c r="D4" s="17"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4" s="17"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4" s="16" t="inlineStr">
        <is>
          <t>قطاع العمليات المدارة والدعم الفني متعدد الموردين</t>
        </is>
      </c>
      <c r="G4" s="16" t="inlineStr">
        <is>
          <t>85.0%</t>
        </is>
      </c>
      <c r="H4" s="16" t="inlineStr">
        <is>
          <t>فرصة استراتيجية رئيسية (موصى بالتقديم)</t>
        </is>
      </c>
      <c r="I4" s="16" t="inlineStr">
        <is>
          <t>-</t>
        </is>
      </c>
      <c r="J4" s="17" t="inlineStr">
        <is>
          <t>Aligned with Services BU (MOPS) (2 capability matches) | Core ICT Scope in Tender Title | Strategic KBM Account Relationship</t>
        </is>
      </c>
      <c r="K4"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4" s="16" t="inlineStr">
        <is>
          <t>2026-09-27</t>
        </is>
      </c>
      <c r="M4" s="16" t="inlineStr">
        <is>
          <t>2026-10-15</t>
        </is>
      </c>
      <c r="N4" s="16" t="inlineStr">
        <is>
          <t>-</t>
        </is>
      </c>
      <c r="O4" s="16" t="inlineStr">
        <is>
          <t>75.0</t>
        </is>
      </c>
      <c r="P4" s="16">
        <f>HYPERLINK("https://kuwaitalyawm.media.gov.kw/Online/ViewAdsHTML?id=171699&amp;no=1", "عرض الإعلان")</f>
        <v/>
      </c>
    </row>
    <row r="5">
      <c r="A5" s="16" t="inlineStr">
        <is>
          <t>2027/2026/24</t>
        </is>
      </c>
      <c r="B5" s="17" t="inlineStr">
        <is>
          <t>وزارة الداخلية</t>
        </is>
      </c>
      <c r="C5" s="17" t="inlineStr">
        <is>
          <t>Khaled Alabdallah</t>
        </is>
      </c>
      <c r="D5" s="17" t="inlineStr">
        <is>
          <t>مناقصة رقم 2027/2026/24: توريد وتركيب وتشغيل وصيانة وضمان مع تنفيذ مشروع منظومة مركز اتصال العمليات (112) للإدارة العامة لهندسة الاتصالات.</t>
        </is>
      </c>
      <c r="E5" s="17"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 s="16" t="inlineStr">
        <is>
          <t>قطاع العمليات المدارة والدعم الفني متعدد الموردين</t>
        </is>
      </c>
      <c r="G5" s="16" t="inlineStr">
        <is>
          <t>85.0%</t>
        </is>
      </c>
      <c r="H5" s="16" t="inlineStr">
        <is>
          <t>فرصة استراتيجية رئيسية (موصى بالتقديم)</t>
        </is>
      </c>
      <c r="I5" s="16" t="inlineStr">
        <is>
          <t>-</t>
        </is>
      </c>
      <c r="J5" s="17" t="inlineStr">
        <is>
          <t>Aligned with Services BU (MOPS) (2 capability matches) | Core ICT Scope in Tender Title | Strategic KBM Account Relationship</t>
        </is>
      </c>
      <c r="K5"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5" s="16" t="inlineStr">
        <is>
          <t>2026-09-20</t>
        </is>
      </c>
      <c r="M5" s="16" t="inlineStr">
        <is>
          <t>2026-11-11</t>
        </is>
      </c>
      <c r="N5" s="16" t="inlineStr">
        <is>
          <t>1000.0</t>
        </is>
      </c>
      <c r="O5" s="16" t="inlineStr">
        <is>
          <t>-</t>
        </is>
      </c>
      <c r="P5" s="16">
        <f>HYPERLINK("https://kuwaitalyawm.media.gov.kw/Online/ViewAdsHTML?id=170975&amp;no=1", "عرض الإعلان")</f>
        <v/>
      </c>
    </row>
    <row r="6">
      <c r="A6" s="16" t="inlineStr">
        <is>
          <t>24181118110</t>
        </is>
      </c>
      <c r="B6" s="17" t="inlineStr">
        <is>
          <t>وزارة الدفاع</t>
        </is>
      </c>
      <c r="C6" s="17" t="inlineStr">
        <is>
          <t>Eiman Ashkanani</t>
        </is>
      </c>
      <c r="D6" s="17" t="inlineStr">
        <is>
          <t>ممارسة رقم 24181118110: توريد وتركيب وتعريف واختبار أجهزة خوادم النظام المالي لزوم وزارة الدفاع</t>
        </is>
      </c>
      <c r="E6" s="17"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6" s="16" t="inlineStr">
        <is>
          <t>قطاع الخوادم وحلول التخزين والبنية التحتية</t>
        </is>
      </c>
      <c r="G6" s="16" t="inlineStr">
        <is>
          <t>85.0%</t>
        </is>
      </c>
      <c r="H6" s="16" t="inlineStr">
        <is>
          <t>موصى بالتقديم</t>
        </is>
      </c>
      <c r="I6" s="16" t="inlineStr">
        <is>
          <t>IBM, Lenovo</t>
        </is>
      </c>
      <c r="J6" s="17" t="inlineStr">
        <is>
          <t>تطابق عالي بنسبة 85% مع قطاع خوادم وبنية النظم التحتية (IBM BU - Systems / Enterprise Infrastructure) لدى KBM؛ توريد وتركيب خوادم المؤسسات (Enterprise Servers) وقواعد بيانات النظم المالية الحكومية، مع توافق كامل مع تصنيف KBM المسجل والمعتمد لدى وزارة الدفاع.</t>
        </is>
      </c>
      <c r="K6" s="17"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L6" s="16" t="inlineStr">
        <is>
          <t>2026-09-27</t>
        </is>
      </c>
      <c r="M6" s="16" t="inlineStr">
        <is>
          <t>2026-10-25</t>
        </is>
      </c>
      <c r="N6" s="16" t="inlineStr">
        <is>
          <t>5000.0</t>
        </is>
      </c>
      <c r="O6" s="16" t="inlineStr">
        <is>
          <t>150.0</t>
        </is>
      </c>
      <c r="P6" s="16">
        <f>HYPERLINK("https://kuwaitalyawm.media.gov.kw/Online/ViewAdsHTML?id=171540&amp;no=1", "عرض الإعلان")</f>
        <v/>
      </c>
    </row>
    <row r="7">
      <c r="A7" s="16" t="inlineStr">
        <is>
          <t>2026/16</t>
        </is>
      </c>
      <c r="B7" s="17" t="inlineStr">
        <is>
          <t>بيت الزكـاة</t>
        </is>
      </c>
      <c r="C7" s="17" t="inlineStr">
        <is>
          <t>Eiman Ashkanani</t>
        </is>
      </c>
      <c r="D7" s="17" t="inlineStr">
        <is>
          <t>ممارسة رقم 2026/16: توفير خدمات إنشاء وتطوير وصيانة أنظمة أوراكل</t>
        </is>
      </c>
      <c r="E7" s="17"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7" s="16" t="inlineStr">
        <is>
          <t>قطاع العمليات المدارة والدعم الفني متعدد الموردين</t>
        </is>
      </c>
      <c r="G7" s="16" t="inlineStr">
        <is>
          <t>84.0%</t>
        </is>
      </c>
      <c r="H7" s="16" t="inlineStr">
        <is>
          <t>فرصة استراتيجية رئيسية (موصى بالتقديم)</t>
        </is>
      </c>
      <c r="I7" s="16" t="inlineStr">
        <is>
          <t>Oracle</t>
        </is>
      </c>
      <c r="J7" s="17" t="inlineStr">
        <is>
          <t>Matching KBM Vendor Partners: Oracle | Aligned with Services BU (MOPS) (1 capability matches) | Core ICT Scope in Tender Title</t>
        </is>
      </c>
      <c r="K7" s="17" t="inlineStr">
        <is>
          <t>• https://www.zakathouse.org.kw/tender.aspx</t>
        </is>
      </c>
      <c r="L7" s="16" t="inlineStr">
        <is>
          <t>2026-09-27</t>
        </is>
      </c>
      <c r="M7" s="16" t="inlineStr">
        <is>
          <t>-</t>
        </is>
      </c>
      <c r="N7" s="16" t="inlineStr">
        <is>
          <t>-</t>
        </is>
      </c>
      <c r="O7" s="16" t="inlineStr">
        <is>
          <t>75.0</t>
        </is>
      </c>
      <c r="P7" s="16">
        <f>HYPERLINK("https://kuwaitalyawm.media.gov.kw/Online/ViewAdsHTML?id=171714&amp;no=1", "عرض الإعلان")</f>
        <v/>
      </c>
    </row>
    <row r="8">
      <c r="A8" s="16" t="inlineStr">
        <is>
          <t>RFQ/1063825</t>
        </is>
      </c>
      <c r="B8" s="17" t="inlineStr">
        <is>
          <t>شركة البترول الوطنية الكويتية</t>
        </is>
      </c>
      <c r="C8" s="17" t="inlineStr">
        <is>
          <t>Abrar Al-Qallaf</t>
        </is>
      </c>
      <c r="D8" s="17" t="inlineStr">
        <is>
          <t>ممارسة رقم RFQ/1063825: توريد قطع غيار أنظمة الاتصالات (Spares for the Telecommunication System - LBP) - شركة البترول الوطنية الكويتية</t>
        </is>
      </c>
      <c r="E8" s="17" t="inlineStr">
        <is>
          <t>توريد قطع غيار ومعدات شبكات الاتصالات وأنظمة التراسل السلكي واللاسلكي لمصفاة ميناء عبد الله (LBP).</t>
        </is>
      </c>
      <c r="F8" s="16" t="inlineStr">
        <is>
          <t>قطاع العمليات المدارة والدعم الفني متعدد الموردين</t>
        </is>
      </c>
      <c r="G8" s="16" t="inlineStr">
        <is>
          <t>75.0%</t>
        </is>
      </c>
      <c r="H8" s="16" t="inlineStr">
        <is>
          <t>موصى بالتقديم</t>
        </is>
      </c>
      <c r="I8" s="16" t="inlineStr">
        <is>
          <t>Cisco</t>
        </is>
      </c>
      <c r="J8" s="17" t="inlineStr">
        <is>
          <t>تطابق بنسبة 75% مع قطاع توريد ودعم أنظمة ومعدات الاتصالات والشبكات للقطاع النفطي (Services BU - Telecom &amp; MOPS).</t>
        </is>
      </c>
      <c r="K8" s="17" t="inlineStr">
        <is>
          <t>وفقاً لشروط وإجراءات المناقصات والتوريد لدى شركة البترول الوطنية الكويتية (KNPC) عبر منصة K-Tendering.</t>
        </is>
      </c>
      <c r="L8" s="16" t="inlineStr">
        <is>
          <t>2026-09-27</t>
        </is>
      </c>
      <c r="M8" s="16" t="inlineStr">
        <is>
          <t>2026-10-22</t>
        </is>
      </c>
      <c r="N8" s="16" t="inlineStr">
        <is>
          <t>1000.0</t>
        </is>
      </c>
      <c r="O8" s="16" t="inlineStr">
        <is>
          <t>-</t>
        </is>
      </c>
      <c r="P8" s="16">
        <f>HYPERLINK("https://kuwaitalyawm.media.gov.kw/Online/ViewAdsHTML?id=171725&amp;no=1", "عرض الإعلان")</f>
        <v/>
      </c>
    </row>
    <row r="9">
      <c r="A9" s="16" t="inlineStr">
        <is>
          <t>2026/2025/10/2</t>
        </is>
      </c>
      <c r="B9" s="17" t="inlineStr">
        <is>
          <t>وزارة الأشغال العامة</t>
        </is>
      </c>
      <c r="C9" s="17" t="inlineStr">
        <is>
          <t>Eiman Ashkanani</t>
        </is>
      </c>
      <c r="D9" s="17" t="inlineStr">
        <is>
          <t>ممارسة رقم 2026/2025/10/2: تشغيل وصيانة كاميرات مراقبة أمنية لمواقع وزارة الأشغال العامة</t>
        </is>
      </c>
      <c r="E9" s="17" t="inlineStr">
        <is>
          <t>تنفيذ أعمال تشغيل وصيانة كاميرات مراقبة أمنية لمواقع وزارة الأشغال العامة، وتوفير كافة الأجهزة والمعدات والأنظمة وخدمات الدعم الفني والضمان وفقاً لكراسة الشروط والمواصفات الفنية.</t>
        </is>
      </c>
      <c r="F9" s="16" t="inlineStr">
        <is>
          <t>قطاع الأمن السيبراني والدفاع الرقمي</t>
        </is>
      </c>
      <c r="G9" s="16" t="inlineStr">
        <is>
          <t>72.0%</t>
        </is>
      </c>
      <c r="H9" s="16" t="inlineStr">
        <is>
          <t>فرصة ICT متوافقة مع قدرات KBM</t>
        </is>
      </c>
      <c r="I9" s="16" t="inlineStr">
        <is>
          <t>-</t>
        </is>
      </c>
      <c r="J9" s="17" t="inlineStr">
        <is>
          <t>Aligned with Security BU (1 capability matches) | Core ICT Scope in Tender Title | Strategic KBM Account Relationship</t>
        </is>
      </c>
      <c r="K9"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9" s="16" t="inlineStr">
        <is>
          <t>2026-09-13</t>
        </is>
      </c>
      <c r="M9" s="16" t="inlineStr">
        <is>
          <t>2026-09-20</t>
        </is>
      </c>
      <c r="N9" s="16" t="inlineStr">
        <is>
          <t>-</t>
        </is>
      </c>
      <c r="O9" s="16" t="inlineStr">
        <is>
          <t>125.0</t>
        </is>
      </c>
      <c r="P9" s="16">
        <f>HYPERLINK("https://kuwaitalyawm.media.gov.kw/Online/ViewAdsHTML?id=169481&amp;no=1", "عرض الإعلان")</f>
        <v/>
      </c>
    </row>
    <row r="10">
      <c r="A10" s="19" t="inlineStr">
        <is>
          <t>2027/2026/8</t>
        </is>
      </c>
      <c r="B10" s="20" t="inlineStr">
        <is>
          <t>الإدارة العامة للاطفاء</t>
        </is>
      </c>
      <c r="C10" s="20" t="inlineStr">
        <is>
          <t>Eiman Ashkanani</t>
        </is>
      </c>
      <c r="D10" s="20" t="inlineStr">
        <is>
          <t>ممارسة رقم 2027/2026/8: بشأن شراء وتجديد حزمة برامج Manage engine</t>
        </is>
      </c>
      <c r="E10" s="20"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0" s="19" t="inlineStr">
        <is>
          <t>قطاع برمجيات IBM وحلول الذكاء الاصطناعي وRed Hat</t>
        </is>
      </c>
      <c r="G10" s="19" t="inlineStr">
        <is>
          <t>68.0%</t>
        </is>
      </c>
      <c r="H10" s="19" t="inlineStr">
        <is>
          <t>فرصة ICT متوافقة مع قدرات KBM</t>
        </is>
      </c>
      <c r="I10" s="19" t="inlineStr">
        <is>
          <t>-</t>
        </is>
      </c>
      <c r="J10" s="20" t="inlineStr">
        <is>
          <t>Aligned with IBM BU - Solutions &amp; Channel (1 capability matches) | Core ICT Scope in Tender Title | Strategic KBM Account Relationship</t>
        </is>
      </c>
      <c r="K10"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0" s="19" t="inlineStr">
        <is>
          <t>2026-09-27</t>
        </is>
      </c>
      <c r="M10" s="19" t="inlineStr">
        <is>
          <t>-</t>
        </is>
      </c>
      <c r="N10" s="19" t="inlineStr">
        <is>
          <t>-</t>
        </is>
      </c>
      <c r="O10" s="19" t="inlineStr">
        <is>
          <t>75.0</t>
        </is>
      </c>
      <c r="P10" s="19">
        <f>HYPERLINK("https://kuwaitalyawm.media.gov.kw/Online/ViewAdsHTML?id=171673&amp;no=1", "عرض الإعلان")</f>
        <v/>
      </c>
    </row>
    <row r="11">
      <c r="A11" s="19" t="inlineStr">
        <is>
          <t>2027/2026/3</t>
        </is>
      </c>
      <c r="B11" s="20" t="inlineStr">
        <is>
          <t>الهيئة العامة للبيئة</t>
        </is>
      </c>
      <c r="C11" s="20" t="inlineStr">
        <is>
          <t>Eiman Ashkanani</t>
        </is>
      </c>
      <c r="D11" s="20" t="inlineStr">
        <is>
          <t>ممارسة رقم 2027/2026/3: توفير خدمات تقنية المعلومات والصيانة والدعم الفني</t>
        </is>
      </c>
      <c r="E11" s="20"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1" s="19" t="inlineStr">
        <is>
          <t>قطاع العمليات المدارة والدعم الفني متعدد الموردين</t>
        </is>
      </c>
      <c r="G11" s="19" t="inlineStr">
        <is>
          <t>64.0%</t>
        </is>
      </c>
      <c r="H11" s="19" t="inlineStr">
        <is>
          <t>فرصة ICT متوافقة مع قدرات KBM</t>
        </is>
      </c>
      <c r="I11" s="19" t="inlineStr">
        <is>
          <t>-</t>
        </is>
      </c>
      <c r="J11" s="20" t="inlineStr">
        <is>
          <t>Aligned with Services BU (MOPS) (1 capability matches) | Core ICT Scope in Tender Title | Strategic KBM Account Relationship</t>
        </is>
      </c>
      <c r="K1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1" s="19" t="inlineStr">
        <is>
          <t>2026-09-27</t>
        </is>
      </c>
      <c r="M11" s="19" t="inlineStr">
        <is>
          <t>2026-10-27</t>
        </is>
      </c>
      <c r="N11" s="19" t="inlineStr">
        <is>
          <t>-</t>
        </is>
      </c>
      <c r="O11" s="19" t="inlineStr">
        <is>
          <t>30.0</t>
        </is>
      </c>
      <c r="P11" s="19">
        <f>HYPERLINK("https://kuwaitalyawm.media.gov.kw/Online/ViewAdsHTML?id=171677&amp;no=1", "عرض الإعلان")</f>
        <v/>
      </c>
    </row>
    <row r="12">
      <c r="A12" s="19" t="inlineStr">
        <is>
          <t>2027/2026/12</t>
        </is>
      </c>
      <c r="B12" s="20" t="inlineStr">
        <is>
          <t>الرئاسـة العامة للحرس الوطني</t>
        </is>
      </c>
      <c r="C12" s="20" t="inlineStr">
        <is>
          <t>Eiman Ashkanani</t>
        </is>
      </c>
      <c r="D12" s="20" t="inlineStr">
        <is>
          <t>ممارسة رقم 2027/2026/12: الخاصة بصيانة أجهزة توزيع أحمال الشبكة</t>
        </is>
      </c>
      <c r="E12" s="20"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2" s="19" t="inlineStr">
        <is>
          <t>قطاع العمليات المدارة والدعم الفني متعدد الموردين</t>
        </is>
      </c>
      <c r="G12" s="19" t="inlineStr">
        <is>
          <t>64.0%</t>
        </is>
      </c>
      <c r="H12" s="19" t="inlineStr">
        <is>
          <t>فرصة ICT متوافقة مع قدرات KBM</t>
        </is>
      </c>
      <c r="I12" s="19" t="inlineStr">
        <is>
          <t>-</t>
        </is>
      </c>
      <c r="J12" s="20" t="inlineStr">
        <is>
          <t>Aligned with Services BU (MOPS) (1 capability matches) | Core ICT Scope in Tender Title | Strategic KBM Account Relationship</t>
        </is>
      </c>
      <c r="K1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2" s="19" t="inlineStr">
        <is>
          <t>2026-09-27</t>
        </is>
      </c>
      <c r="M12" s="19" t="inlineStr">
        <is>
          <t>-</t>
        </is>
      </c>
      <c r="N12" s="19" t="inlineStr">
        <is>
          <t>-</t>
        </is>
      </c>
      <c r="O12" s="19" t="inlineStr">
        <is>
          <t>75.0</t>
        </is>
      </c>
      <c r="P12" s="19">
        <f>HYPERLINK("https://kuwaitalyawm.media.gov.kw/Online/ViewAdsHTML?id=171707&amp;no=1", "عرض الإعلان")</f>
        <v/>
      </c>
    </row>
    <row r="13">
      <c r="A13" s="19" t="inlineStr">
        <is>
          <t>2027/2026/20</t>
        </is>
      </c>
      <c r="B13" s="20" t="inlineStr">
        <is>
          <t>وزارة الداخلية</t>
        </is>
      </c>
      <c r="C13" s="20" t="inlineStr">
        <is>
          <t>Khaled Alabdallah</t>
        </is>
      </c>
      <c r="D13" s="20" t="inlineStr">
        <is>
          <t>مناقصة رقم 2027/2026/20: صيانة وإصلاح وتدريب وتوريد قطع الغيار لعدد (8) أبراج كندور وسيميوليتر وتوريد وضمان وتركيب وتشغيل وصيانة وتدريب للمنظار المستقل للقائد (CIV) لأبراج مدرعات الكندور لزوم الإدارة العامة لقوات الأمن الخاصة – للإدارة العامة للإمداد والتموين</t>
        </is>
      </c>
      <c r="E13" s="20" t="inlineStr">
        <is>
          <t>توفير خدمات الحراسة والأمن والسلامة للمباني والمنشآت وتأمين المداخل وتوفير الكوادر الأمنية المدربة.</t>
        </is>
      </c>
      <c r="F13" s="19" t="inlineStr">
        <is>
          <t>قطاع العمليات المدارة والدعم الفني متعدد الموردين</t>
        </is>
      </c>
      <c r="G13" s="19" t="inlineStr">
        <is>
          <t>64.0%</t>
        </is>
      </c>
      <c r="H13" s="19" t="inlineStr">
        <is>
          <t>فرصة ICT متوافقة مع قدرات KBM</t>
        </is>
      </c>
      <c r="I13" s="19" t="inlineStr">
        <is>
          <t>-</t>
        </is>
      </c>
      <c r="J13" s="20" t="inlineStr">
        <is>
          <t>Aligned with Services BU (MOPS) (1 capability matches) | Core ICT Scope in Tender Title | Strategic KBM Account Relationship</t>
        </is>
      </c>
      <c r="K13"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3" s="19" t="inlineStr">
        <is>
          <t>2026-09-06</t>
        </is>
      </c>
      <c r="M13" s="18" t="inlineStr">
        <is>
          <t>2026-10-07</t>
        </is>
      </c>
      <c r="N13" s="19" t="inlineStr">
        <is>
          <t>700.0</t>
        </is>
      </c>
      <c r="O13" s="19" t="inlineStr">
        <is>
          <t>75.0</t>
        </is>
      </c>
      <c r="P13" s="19">
        <f>HYPERLINK("https://kuwaitalyawm.media.gov.kw/Online/ViewAdsHTML?id=170601&amp;no=1", "عرض الإعلان")</f>
        <v/>
      </c>
    </row>
    <row r="14">
      <c r="A14" s="19" t="inlineStr">
        <is>
          <t>1042826</t>
        </is>
      </c>
      <c r="B14" s="20" t="inlineStr">
        <is>
          <t>وزارة الدفاع</t>
        </is>
      </c>
      <c r="C14" s="20" t="inlineStr">
        <is>
          <t>Eiman Ashkanani</t>
        </is>
      </c>
      <c r="D14" s="20" t="inlineStr">
        <is>
          <t>مناقصة رقم 1042826: تشغيل وصيانة وإصلاح لمحطات الوقود بمعسكرات</t>
        </is>
      </c>
      <c r="E14" s="20" t="inlineStr">
        <is>
          <t>أعمال وتوريدات تشغيل وصيانة وإصلاح لمحطات الوقود بمعسكرات لصالح وزارة الدفاع وفقاً للشروط والمواصفات المعتمدة في وثائق الطرح.</t>
        </is>
      </c>
      <c r="F14" s="19" t="inlineStr">
        <is>
          <t>قطاع العمليات المدارة والدعم الفني متعدد الموردين</t>
        </is>
      </c>
      <c r="G14" s="19" t="inlineStr">
        <is>
          <t>64.0%</t>
        </is>
      </c>
      <c r="H14" s="19" t="inlineStr">
        <is>
          <t>فرصة ICT متوافقة مع قدرات KBM</t>
        </is>
      </c>
      <c r="I14" s="19" t="inlineStr">
        <is>
          <t>-</t>
        </is>
      </c>
      <c r="J14" s="20" t="inlineStr">
        <is>
          <t>Aligned with Services BU (MOPS) (1 capability matches) | Core ICT Scope in Tender Title | Strategic KBM Account Relationship</t>
        </is>
      </c>
      <c r="K1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4" s="19" t="inlineStr">
        <is>
          <t>2026-08-30</t>
        </is>
      </c>
      <c r="M14" s="19" t="inlineStr">
        <is>
          <t>2026-10-27</t>
        </is>
      </c>
      <c r="N14" s="19" t="inlineStr">
        <is>
          <t>15000.0</t>
        </is>
      </c>
      <c r="O14" s="19" t="inlineStr">
        <is>
          <t>1000.0</t>
        </is>
      </c>
      <c r="P14" s="19">
        <f>HYPERLINK("https://kuwaitalyawm.media.gov.kw/Online/ViewAdsHTML?id=168279&amp;no=1", "عرض الإعلان")</f>
        <v/>
      </c>
    </row>
    <row r="15">
      <c r="A15" s="19" t="inlineStr">
        <is>
          <t>33/32</t>
        </is>
      </c>
      <c r="B15" s="20" t="inlineStr">
        <is>
          <t>وزارة الصحة</t>
        </is>
      </c>
      <c r="C15" s="20" t="inlineStr">
        <is>
          <t>Jana Al-Obaid</t>
        </is>
      </c>
      <c r="D15" s="20" t="inlineStr">
        <is>
          <t>ممارسة رقم 33/32: توريد وتركيب وتشغيل وصيانة نظام كاميرات المراقبة الأمنية بمستشفى الأميري الجديد والقديم والمباني التابعة لها</t>
        </is>
      </c>
      <c r="E15" s="20"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5" s="19" t="inlineStr">
        <is>
          <t>قطاع العمليات المدارة والدعم الفني متعدد الموردين</t>
        </is>
      </c>
      <c r="G15" s="19" t="inlineStr">
        <is>
          <t>64.0%</t>
        </is>
      </c>
      <c r="H15" s="19" t="inlineStr">
        <is>
          <t>فرصة ICT متوافقة مع قدرات KBM</t>
        </is>
      </c>
      <c r="I15" s="19" t="inlineStr">
        <is>
          <t>-</t>
        </is>
      </c>
      <c r="J15" s="20" t="inlineStr">
        <is>
          <t>Aligned with Services BU (MOPS) (1 capability matches) | Core ICT Scope in Tender Title | Strategic KBM Account Relationship</t>
        </is>
      </c>
      <c r="K15"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5" s="19" t="inlineStr">
        <is>
          <t>2026-09-27</t>
        </is>
      </c>
      <c r="M15" s="19" t="inlineStr">
        <is>
          <t>-</t>
        </is>
      </c>
      <c r="N15" s="19" t="inlineStr">
        <is>
          <t>-</t>
        </is>
      </c>
      <c r="O15" s="19" t="inlineStr">
        <is>
          <t>-</t>
        </is>
      </c>
      <c r="P15" s="19">
        <f>HYPERLINK("https://kuwaitalyawm.media.gov.kw/Online/ViewAdsHTML?id=171544&amp;no=1", "عرض الإعلان")</f>
        <v/>
      </c>
    </row>
    <row r="16">
      <c r="A16" s="19" t="inlineStr">
        <is>
          <t>17/2026/2027</t>
        </is>
      </c>
      <c r="B16" s="20" t="inlineStr">
        <is>
          <t>الإدارة العامة للإطفاء</t>
        </is>
      </c>
      <c r="C16" s="20" t="inlineStr">
        <is>
          <t>Eiman Ashkanani</t>
        </is>
      </c>
      <c r="D16" s="20" t="inlineStr">
        <is>
          <t>صيانة أنظمة و أجهزة الاتصالات بقوة الإطفاء العام</t>
        </is>
      </c>
      <c r="E16" s="20"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16" s="19" t="inlineStr">
        <is>
          <t>قطاع العمليات المدارة والدعم الفني متعدد الموردين</t>
        </is>
      </c>
      <c r="G16" s="19" t="inlineStr">
        <is>
          <t>60.0%</t>
        </is>
      </c>
      <c r="H16" s="19" t="inlineStr">
        <is>
          <t>فرصة ICT متوافقة مع قدرات KBM</t>
        </is>
      </c>
      <c r="I16" s="19" t="inlineStr">
        <is>
          <t>-</t>
        </is>
      </c>
      <c r="J16" s="20" t="inlineStr">
        <is>
          <t>Aligned with Services BU (MOPS) (3 capability matches) | Strategic KBM Account Relationship</t>
        </is>
      </c>
      <c r="K1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6" s="19" t="inlineStr">
        <is>
          <t>2026-09-20</t>
        </is>
      </c>
      <c r="M16" s="19" t="inlineStr">
        <is>
          <t>2026-10-20</t>
        </is>
      </c>
      <c r="N16" s="19" t="inlineStr">
        <is>
          <t>23000.000 KWD</t>
        </is>
      </c>
      <c r="O16" s="19" t="inlineStr">
        <is>
          <t>1000.000 KWD</t>
        </is>
      </c>
      <c r="P16" s="19">
        <f>HYPERLINK("https://capt.gov.kw/ar/tenders/opening-tenders/#card-0", "عرض الإعلان")</f>
        <v/>
      </c>
    </row>
    <row r="17">
      <c r="A17" s="19" t="inlineStr">
        <is>
          <t>72-516</t>
        </is>
      </c>
      <c r="B17" s="20" t="inlineStr">
        <is>
          <t>جامعة الكويت</t>
        </is>
      </c>
      <c r="C17" s="20" t="inlineStr">
        <is>
          <t>Eiman Ashkanani</t>
        </is>
      </c>
      <c r="D17" s="20" t="inlineStr">
        <is>
          <t>ممارسة رقم 72/2026-2027: صيانة أجهزة التعرف على الوجه والأجهزة العلمية بمراكز عمل جامعة الكويت</t>
        </is>
      </c>
      <c r="E17" s="20" t="inlineStr">
        <is>
          <t>صيانة دورية ودعم فني لأجهزة التحقق البيومتري والتعرف على الوجه (Face Recognition Systems) والأجهزة التابعة لها بجامعة الكويت.</t>
        </is>
      </c>
      <c r="F17" s="19" t="inlineStr">
        <is>
          <t>قطاع الأمن السيبراني والدفاع الرقمي</t>
        </is>
      </c>
      <c r="G17" s="19" t="inlineStr">
        <is>
          <t>55.0%</t>
        </is>
      </c>
      <c r="H17" s="19" t="inlineStr">
        <is>
          <t>فرصة محتملة</t>
        </is>
      </c>
      <c r="I17" s="19" t="inlineStr">
        <is>
          <t>-</t>
        </is>
      </c>
      <c r="J17" s="20" t="inlineStr">
        <is>
          <t>تطابق مع قطاع النظم الأمنية وأجهزة التحقق البيومتري والعمليات المدارة (Security BU / MOPS).</t>
        </is>
      </c>
      <c r="K17" s="20" t="inlineStr">
        <is>
          <t>• بيع الوثائق 75 د.ك، تأمين أولي 2% من قيمة العطاء، إغلاق 20/10/2026 بمقر الجامعة بالشدادية.</t>
        </is>
      </c>
      <c r="L17" s="19" t="inlineStr">
        <is>
          <t>2026-09-27</t>
        </is>
      </c>
      <c r="M17" s="19" t="inlineStr">
        <is>
          <t>2026-10-20</t>
        </is>
      </c>
      <c r="N17" s="19" t="inlineStr">
        <is>
          <t>2000.0</t>
        </is>
      </c>
      <c r="O17" s="19" t="inlineStr">
        <is>
          <t>75.0</t>
        </is>
      </c>
      <c r="P17" s="19">
        <f>HYPERLINK("https://kuwaitalyawm.media.gov.kw/Online/ViewAdsHTML?id=171702&amp;no=1", "عرض الإعلان")</f>
        <v/>
      </c>
    </row>
    <row r="18">
      <c r="A18" s="19" t="inlineStr">
        <is>
          <t>2027/2026/15</t>
        </is>
      </c>
      <c r="B18" s="20" t="inlineStr">
        <is>
          <t>الهيئة العامة للطيران المدني</t>
        </is>
      </c>
      <c r="C18" s="20" t="inlineStr">
        <is>
          <t>Eiman Ashkanani</t>
        </is>
      </c>
      <c r="D18" s="20" t="inlineStr">
        <is>
          <t>ممارسة رقم 2027/2026/15: ممارسة تطوير وصيانة أنظمة وأجهزة الحضور</t>
        </is>
      </c>
      <c r="E18" s="20"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18" s="19" t="inlineStr">
        <is>
          <t>قطاع العمليات المدارة والدعم الفني متعدد الموردين</t>
        </is>
      </c>
      <c r="G18" s="19" t="inlineStr">
        <is>
          <t>49.0%</t>
        </is>
      </c>
      <c r="H18" s="19" t="inlineStr">
        <is>
          <t>فرصة تتطلب شراكة أو دراسة نطاق</t>
        </is>
      </c>
      <c r="I18" s="19" t="inlineStr">
        <is>
          <t>-</t>
        </is>
      </c>
      <c r="J18" s="20" t="inlineStr">
        <is>
          <t>Aligned with Services BU (MOPS) (1 capability matches) | Core ICT Scope in Tender Title</t>
        </is>
      </c>
      <c r="K18" s="20" t="inlineStr">
        <is>
          <t>• علماً بأن آخر موعد لتقديم العروض هو الساعة (الواحدة ظهراً) من يوم (الأربعاء) الموافق (21/10/2026) ويرفض أي عرض بعد هذا الموعد.</t>
        </is>
      </c>
      <c r="L18" s="19" t="inlineStr">
        <is>
          <t>2026-09-27</t>
        </is>
      </c>
      <c r="M18" s="19" t="inlineStr">
        <is>
          <t>2026-10-21</t>
        </is>
      </c>
      <c r="N18" s="19" t="inlineStr">
        <is>
          <t>-</t>
        </is>
      </c>
      <c r="O18" s="19" t="inlineStr">
        <is>
          <t>75.0</t>
        </is>
      </c>
      <c r="P18" s="19">
        <f>HYPERLINK("https://kuwaitalyawm.media.gov.kw/Online/ViewAdsHTML?id=171693&amp;no=1", "عرض الإعلان")</f>
        <v/>
      </c>
    </row>
    <row r="19">
      <c r="A19" s="19" t="inlineStr">
        <is>
          <t>370-278</t>
        </is>
      </c>
      <c r="B19" s="20" t="inlineStr">
        <is>
          <t>وزارة الصحة</t>
        </is>
      </c>
      <c r="C19" s="20" t="inlineStr">
        <is>
          <t>Jana Al-Obaid</t>
        </is>
      </c>
      <c r="D19" s="20" t="inlineStr">
        <is>
          <t>ممارسة رقم 370-278 - وزارة الصحة</t>
        </is>
      </c>
      <c r="E19" s="20" t="inlineStr">
        <is>
          <t>أعمال وتوريدات ممارسة رقم 370-278 لصالح وزارة الصحة وفقاً للشروط والمواصفات المعتمدة في وثائق الطرح.</t>
        </is>
      </c>
      <c r="F19" s="19" t="inlineStr">
        <is>
          <t>قطاع الأمن السيبراني والدفاع الرقمي</t>
        </is>
      </c>
      <c r="G19" s="19" t="inlineStr">
        <is>
          <t>47.0%</t>
        </is>
      </c>
      <c r="H19" s="19" t="inlineStr">
        <is>
          <t>فرصة تتطلب شراكة أو دراسة نطاق</t>
        </is>
      </c>
      <c r="I19" s="19" t="inlineStr">
        <is>
          <t>-</t>
        </is>
      </c>
      <c r="J19" s="20" t="inlineStr">
        <is>
          <t>Aligned with Security BU (1 capability matches) | Strategic KBM Account Relationship</t>
        </is>
      </c>
      <c r="K19" s="20"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L19" s="19" t="inlineStr">
        <is>
          <t>2026-09-20</t>
        </is>
      </c>
      <c r="M19" s="18" t="inlineStr">
        <is>
          <t>2026-10-12</t>
        </is>
      </c>
      <c r="N19" s="19" t="inlineStr">
        <is>
          <t>-</t>
        </is>
      </c>
      <c r="O19" s="19" t="inlineStr">
        <is>
          <t>75.0</t>
        </is>
      </c>
      <c r="P19" s="19">
        <f>HYPERLINK("https://kuwaitalyawm.media.gov.kw/Online/ViewAdsHTML?id=170981&amp;no=1", "عرض الإعلان")</f>
        <v/>
      </c>
    </row>
    <row r="20">
      <c r="A20" s="19" t="inlineStr">
        <is>
          <t>2147428</t>
        </is>
      </c>
      <c r="B20" s="20" t="inlineStr">
        <is>
          <t>شركة نفط الكويت</t>
        </is>
      </c>
      <c r="C20" s="20" t="inlineStr">
        <is>
          <t>Ahmed Habib</t>
        </is>
      </c>
      <c r="D20" s="20" t="inlineStr">
        <is>
          <t>تقديم خدمات الامن السيبراني المدارة</t>
        </is>
      </c>
      <c r="E20" s="20" t="inlineStr">
        <is>
          <t>أعمال وتوريدات تقديم خدمات الامن السيبراني المدارة لصالح شركة نفط الكويت وفقاً للشروط والمواصفات المعتمدة في وثائق الطرح.</t>
        </is>
      </c>
      <c r="F20" s="19" t="inlineStr">
        <is>
          <t>قطاع الأمن السيبراني والدفاع الرقمي</t>
        </is>
      </c>
      <c r="G20" s="19" t="inlineStr">
        <is>
          <t>47.0%</t>
        </is>
      </c>
      <c r="H20" s="19" t="inlineStr">
        <is>
          <t>فرصة تتطلب شراكة أو دراسة نطاق</t>
        </is>
      </c>
      <c r="I20" s="19" t="inlineStr">
        <is>
          <t>-</t>
        </is>
      </c>
      <c r="J20" s="20" t="inlineStr">
        <is>
          <t>Aligned with Security BU (1 capability matches) | Strategic KBM Account Relationship</t>
        </is>
      </c>
      <c r="K20"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0" s="19" t="inlineStr">
        <is>
          <t>2026-08-23</t>
        </is>
      </c>
      <c r="M20" s="19" t="inlineStr">
        <is>
          <t>2026-11-17</t>
        </is>
      </c>
      <c r="N20" s="19" t="inlineStr">
        <is>
          <t>220000.000 KWD</t>
        </is>
      </c>
      <c r="O20" s="19" t="inlineStr">
        <is>
          <t>3500.000 KWD</t>
        </is>
      </c>
      <c r="P20" s="19">
        <f>HYPERLINK("https://capt.gov.kw/ar/tenders/opening-tenders/#card-9", "عرض الإعلان")</f>
        <v/>
      </c>
    </row>
    <row r="21">
      <c r="A21" s="12"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2" t="inlineStr">
        <is>
          <t>قطاع العمليات المدارة والدعم الفني متعدد الموردين</t>
        </is>
      </c>
      <c r="G21" s="12" t="inlineStr">
        <is>
          <t>39.0%</t>
        </is>
      </c>
      <c r="H21" s="12" t="inlineStr">
        <is>
          <t>فرصة تتطلب شراكة أو دراسة نطاق</t>
        </is>
      </c>
      <c r="I21" s="12" t="inlineStr">
        <is>
          <t>-</t>
        </is>
      </c>
      <c r="J21" s="11" t="inlineStr">
        <is>
          <t>Aligned with Services BU (MOPS) (1 capability matches) | Strategic KBM Account Relationship</t>
        </is>
      </c>
      <c r="K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1" s="12" t="inlineStr">
        <is>
          <t>2026-09-06</t>
        </is>
      </c>
      <c r="M21" s="12" t="inlineStr">
        <is>
          <t>2026-12-01</t>
        </is>
      </c>
      <c r="N21" s="12" t="inlineStr">
        <is>
          <t>3500.000 KWD</t>
        </is>
      </c>
      <c r="O21" s="12" t="inlineStr">
        <is>
          <t>150.000 KWD</t>
        </is>
      </c>
      <c r="P21" s="12">
        <f>HYPERLINK("https://capt.gov.kw/ar/tenders/opening-tenders/#card-7", "عرض الإعلان")</f>
        <v/>
      </c>
    </row>
    <row r="22">
      <c r="A22" s="14" t="inlineStr">
        <is>
          <t>و ك م /48/2025/2026</t>
        </is>
      </c>
      <c r="B22" s="13" t="inlineStr">
        <is>
          <t>وزارة الكهرباء والماء والطاقة المتجددة</t>
        </is>
      </c>
      <c r="C22" s="13" t="inlineStr">
        <is>
          <t>Raed Obeid</t>
        </is>
      </c>
      <c r="D22" s="13" t="inlineStr">
        <is>
          <t>أعمال صيانة أنظمة الإنذار ومكافحة الحريق في محطات الشعيبة لتوليد القوى الكهربائية وتقطير المياه</t>
        </is>
      </c>
      <c r="E22"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2" s="14" t="inlineStr">
        <is>
          <t>غير محدد</t>
        </is>
      </c>
      <c r="G22" s="14" t="inlineStr">
        <is>
          <t>24.0%</t>
        </is>
      </c>
      <c r="H22" s="14" t="inlineStr">
        <is>
          <t>غير متوافقة مع اختصاصات KBM</t>
        </is>
      </c>
      <c r="I22" s="14" t="inlineStr">
        <is>
          <t>-</t>
        </is>
      </c>
      <c r="J22" s="13" t="inlineStr">
        <is>
          <t>Aligned with Services BU (MOPS) (1 capability matches)</t>
        </is>
      </c>
      <c r="K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2" s="14" t="inlineStr">
        <is>
          <t>2026-10-04</t>
        </is>
      </c>
      <c r="M22" s="14" t="inlineStr">
        <is>
          <t>2026-11-03</t>
        </is>
      </c>
      <c r="N22" s="14" t="inlineStr">
        <is>
          <t>23000.000 KWD</t>
        </is>
      </c>
      <c r="O22" s="14" t="inlineStr">
        <is>
          <t>1000.000 KWD</t>
        </is>
      </c>
      <c r="P22" s="14">
        <f>HYPERLINK("https://capt.gov.kw/ar/tenders/opening-tenders/#card-4", "عرض الإعلان")</f>
        <v/>
      </c>
    </row>
    <row r="23">
      <c r="A23" s="12" t="inlineStr">
        <is>
          <t>ص / م خ ع / 11/2025/2026</t>
        </is>
      </c>
      <c r="B23" s="11" t="inlineStr">
        <is>
          <t>وزارة الصحة</t>
        </is>
      </c>
      <c r="C23" s="11" t="inlineStr">
        <is>
          <t>Jana Al-Obaid</t>
        </is>
      </c>
      <c r="D23" s="11" t="inlineStr">
        <is>
          <t>زيادة سعة بدالة مستشفى الاميري الجديد وربط المباني الملحقة بها بنظام اتصالات مركزي موحد</t>
        </is>
      </c>
      <c r="E23" s="11"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23" s="12" t="inlineStr">
        <is>
          <t>غير محدد</t>
        </is>
      </c>
      <c r="G23" s="12" t="inlineStr">
        <is>
          <t>24.0%</t>
        </is>
      </c>
      <c r="H23" s="12" t="inlineStr">
        <is>
          <t>غير متوافقة مع اختصاصات KBM</t>
        </is>
      </c>
      <c r="I23" s="12" t="inlineStr">
        <is>
          <t>-</t>
        </is>
      </c>
      <c r="J23" s="11" t="inlineStr">
        <is>
          <t>Aligned with Services BU (MOPS) (1 capability matches)</t>
        </is>
      </c>
      <c r="K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3" s="12" t="inlineStr">
        <is>
          <t>2026-10-04</t>
        </is>
      </c>
      <c r="M23" s="12" t="inlineStr">
        <is>
          <t>2026-11-03</t>
        </is>
      </c>
      <c r="N23" s="12" t="inlineStr">
        <is>
          <t>6000.000 KWD</t>
        </is>
      </c>
      <c r="O23" s="12" t="inlineStr">
        <is>
          <t>300.000 KWD</t>
        </is>
      </c>
      <c r="P23" s="12">
        <f>HYPERLINK("https://capt.gov.kw/ar/tenders/opening-tenders/#card-2", "عرض الإعلان")</f>
        <v/>
      </c>
    </row>
    <row r="24">
      <c r="A24" s="14" t="inlineStr">
        <is>
          <t>و ك م /48/2024/2025</t>
        </is>
      </c>
      <c r="B24" s="13" t="inlineStr">
        <is>
          <t>وزارة الكهرباء والماء والطاقة المتجددة</t>
        </is>
      </c>
      <c r="C24" s="13" t="inlineStr">
        <is>
          <t>Raed Obeid</t>
        </is>
      </c>
      <c r="D24"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4"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4" s="14" t="inlineStr">
        <is>
          <t>غير محدد</t>
        </is>
      </c>
      <c r="G24" s="14" t="inlineStr">
        <is>
          <t>24.0%</t>
        </is>
      </c>
      <c r="H24" s="14" t="inlineStr">
        <is>
          <t>غير متوافقة مع اختصاصات KBM</t>
        </is>
      </c>
      <c r="I24" s="14" t="inlineStr">
        <is>
          <t>-</t>
        </is>
      </c>
      <c r="J24" s="13" t="inlineStr">
        <is>
          <t>Aligned with Services BU (MOPS) (1 capability matches)</t>
        </is>
      </c>
      <c r="K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4" s="14" t="inlineStr">
        <is>
          <t>2026-09-06</t>
        </is>
      </c>
      <c r="M24" s="14" t="inlineStr">
        <is>
          <t>2026-11-01</t>
        </is>
      </c>
      <c r="N24" s="14" t="inlineStr">
        <is>
          <t>0.000 KWD</t>
        </is>
      </c>
      <c r="O24" s="14" t="inlineStr">
        <is>
          <t>500.000 KWD</t>
        </is>
      </c>
      <c r="P24" s="14">
        <f>HYPERLINK("https://capt.gov.kw/ar/tenders/opening-tenders/#card-0", "عرض الإعلان")</f>
        <v/>
      </c>
    </row>
    <row r="25">
      <c r="A25" s="12" t="inlineStr">
        <is>
          <t>5/2025-2026</t>
        </is>
      </c>
      <c r="B25" s="11" t="inlineStr">
        <is>
          <t>ديوان المحاسبة</t>
        </is>
      </c>
      <c r="C25" s="11" t="inlineStr">
        <is>
          <t>Eiman Ashkanani</t>
        </is>
      </c>
      <c r="D25"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25"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25" s="12" t="inlineStr">
        <is>
          <t>غير محدد</t>
        </is>
      </c>
      <c r="G25" s="12" t="inlineStr">
        <is>
          <t>24.0%</t>
        </is>
      </c>
      <c r="H25" s="12" t="inlineStr">
        <is>
          <t>غير متوافقة مع اختصاصات KBM</t>
        </is>
      </c>
      <c r="I25" s="12" t="inlineStr">
        <is>
          <t>-</t>
        </is>
      </c>
      <c r="J25" s="11" t="inlineStr">
        <is>
          <t>Aligned with Services BU (MOPS) (1 capability matches)</t>
        </is>
      </c>
      <c r="K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5" s="12" t="inlineStr">
        <is>
          <t>2026-09-06</t>
        </is>
      </c>
      <c r="M25" s="12" t="inlineStr">
        <is>
          <t>2026-10-27</t>
        </is>
      </c>
      <c r="N25" s="12" t="inlineStr">
        <is>
          <t>3500.000 KWD</t>
        </is>
      </c>
      <c r="O25" s="12" t="inlineStr">
        <is>
          <t>150.000 KWD</t>
        </is>
      </c>
      <c r="P25" s="12">
        <f>HYPERLINK("https://capt.gov.kw/ar/tenders/opening-tenders/#card-5", "عرض الإعلان")</f>
        <v/>
      </c>
    </row>
    <row r="26">
      <c r="A26" s="14" t="inlineStr">
        <is>
          <t>هـ ع ص / 9 / 2024-2027</t>
        </is>
      </c>
      <c r="B26" s="13" t="inlineStr">
        <is>
          <t>الهيئة العامة للصناعة</t>
        </is>
      </c>
      <c r="C26" s="13" t="inlineStr">
        <is>
          <t>Eiman Ashkanani</t>
        </is>
      </c>
      <c r="D2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2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26" s="14" t="inlineStr">
        <is>
          <t>غير محدد</t>
        </is>
      </c>
      <c r="G26" s="14" t="inlineStr">
        <is>
          <t>0.0%</t>
        </is>
      </c>
      <c r="H26" s="14" t="inlineStr">
        <is>
          <t>غير متوافقة مع اختصاصات KBM</t>
        </is>
      </c>
      <c r="I26" s="14" t="inlineStr">
        <is>
          <t>-</t>
        </is>
      </c>
      <c r="J26" s="13" t="inlineStr">
        <is>
          <t>No direct KBM capability match</t>
        </is>
      </c>
      <c r="K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6" s="14" t="inlineStr">
        <is>
          <t>2026-08-23</t>
        </is>
      </c>
      <c r="M26" s="14" t="inlineStr">
        <is>
          <t>2026-10-20</t>
        </is>
      </c>
      <c r="N26" s="14" t="inlineStr">
        <is>
          <t>23000.000 KWD</t>
        </is>
      </c>
      <c r="O26" s="14" t="inlineStr">
        <is>
          <t>1000.000 KWD</t>
        </is>
      </c>
      <c r="P26" s="14">
        <f>HYPERLINK("https://capt.gov.kw/ar/tenders/opening-tenders/#card-3", "عرض الإعلان")</f>
        <v/>
      </c>
    </row>
    <row r="27">
      <c r="A27" s="12" t="inlineStr">
        <is>
          <t>14/2024</t>
        </is>
      </c>
      <c r="B27" s="11" t="inlineStr">
        <is>
          <t>الهيئة العامة للصناعة</t>
        </is>
      </c>
      <c r="C27" s="11" t="inlineStr">
        <is>
          <t>Eiman Ashkanani</t>
        </is>
      </c>
      <c r="D27" s="11" t="inlineStr">
        <is>
          <t>المناقصة رقم (هـ ع ص/2024/14) بشأن صيانة وتطوير وتشغيل وضمان أنظمة (المشاريع - العقود - المواصفات) بالهيئة العامة للصناعة</t>
        </is>
      </c>
      <c r="E27"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27" s="12" t="inlineStr">
        <is>
          <t>غير محدد</t>
        </is>
      </c>
      <c r="G27" s="12" t="inlineStr">
        <is>
          <t>0.0%</t>
        </is>
      </c>
      <c r="H27" s="12" t="inlineStr">
        <is>
          <t>غير متوافقة مع اختصاصات KBM</t>
        </is>
      </c>
      <c r="I27" s="12" t="inlineStr">
        <is>
          <t>-</t>
        </is>
      </c>
      <c r="J27" s="11" t="inlineStr">
        <is>
          <t>No direct KBM capability match</t>
        </is>
      </c>
      <c r="K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7" s="12" t="inlineStr">
        <is>
          <t>2026-09-06</t>
        </is>
      </c>
      <c r="M27" s="12" t="inlineStr">
        <is>
          <t>2026-11-03</t>
        </is>
      </c>
      <c r="N27" s="12" t="inlineStr">
        <is>
          <t>23000.000 KWD</t>
        </is>
      </c>
      <c r="O27" s="12" t="inlineStr">
        <is>
          <t>1000.000 KWD</t>
        </is>
      </c>
      <c r="P27" s="12">
        <f>HYPERLINK("https://capt.gov.kw/ar/tenders/opening-tenders/#card-4", "عرض الإعلان")</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09"/>
  <sheetViews>
    <sheetView rightToLeft="1" workbookViewId="0">
      <pane ySplit="1" topLeftCell="A2" activePane="bottomLeft" state="frozen"/>
      <selection pane="bottomLeft" activeCell="A1" sqref="A1"/>
    </sheetView>
  </sheetViews>
  <sheetFormatPr baseColWidth="8" defaultRowHeight="15"/>
  <cols>
    <col width="29" customWidth="1" min="1" max="1"/>
    <col width="43" customWidth="1" min="2" max="2"/>
    <col width="33" customWidth="1" min="3" max="3"/>
    <col width="45" customWidth="1" min="4" max="4"/>
    <col width="45" customWidth="1" min="5" max="5"/>
    <col width="45" customWidth="1" min="6" max="6"/>
    <col width="45" customWidth="1" min="7" max="7"/>
    <col width="15" customWidth="1" min="8" max="8"/>
    <col width="25" customWidth="1" min="9" max="9"/>
    <col width="14"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government</t>
        </is>
      </c>
      <c r="J2" s="14" t="inlineStr">
        <is>
          <t>2026-09-27</t>
        </is>
      </c>
      <c r="K2" s="14" t="inlineStr">
        <is>
          <t>2026-10-26</t>
        </is>
      </c>
      <c r="L2" s="14" t="inlineStr">
        <is>
          <t>-</t>
        </is>
      </c>
      <c r="M2" s="14" t="inlineStr">
        <is>
          <t>1000.0</t>
        </is>
      </c>
      <c r="N2" s="21" t="inlineStr">
        <is>
          <t>NEW</t>
        </is>
      </c>
      <c r="O2" s="14" t="inlineStr">
        <is>
          <t>غير متوافقة مع اختصاصات KBM</t>
        </is>
      </c>
      <c r="P2" s="22">
        <f>HYPERLINK("https://kuwaitalyawm.media.gov.kw/Online/ViewAdsHTML?id=171551&amp;no=1", "عرض المصدر")</f>
        <v/>
      </c>
    </row>
    <row r="3">
      <c r="A3" s="11" t="inlineStr">
        <is>
          <t>217-57</t>
        </is>
      </c>
      <c r="B3" s="11" t="inlineStr">
        <is>
          <t>وزارة الصحة</t>
        </is>
      </c>
      <c r="C3" s="11" t="inlineStr">
        <is>
          <t>Jana Al-Obaid</t>
        </is>
      </c>
      <c r="D3" s="11" t="inlineStr">
        <is>
          <t>ممارسة رقم 217-57 - وزارة الصحة</t>
        </is>
      </c>
      <c r="E3" s="11" t="inlineStr">
        <is>
          <t>أعمال وتوريدات ممارسة رقم 217-57 لصالح وزارة الصحة وفقاً للشروط والمواصفات المعتمدة في وثائق الطرح.</t>
        </is>
      </c>
      <c r="F3"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3" s="12" t="inlineStr">
        <is>
          <t>عام</t>
        </is>
      </c>
      <c r="H3" s="12" t="inlineStr">
        <is>
          <t>0.0%</t>
        </is>
      </c>
      <c r="I3" s="12" t="inlineStr">
        <is>
          <t>government</t>
        </is>
      </c>
      <c r="J3" s="12" t="inlineStr">
        <is>
          <t>2026-09-27</t>
        </is>
      </c>
      <c r="K3" s="18" t="inlineStr">
        <is>
          <t>2026-10-12</t>
        </is>
      </c>
      <c r="L3" s="12" t="inlineStr">
        <is>
          <t>-</t>
        </is>
      </c>
      <c r="M3" s="12" t="inlineStr">
        <is>
          <t>75.0</t>
        </is>
      </c>
      <c r="N3" s="21" t="inlineStr">
        <is>
          <t>NEW</t>
        </is>
      </c>
      <c r="O3" s="12" t="inlineStr">
        <is>
          <t>غير متوافقة مع اختصاصات KBM</t>
        </is>
      </c>
      <c r="P3" s="23">
        <f>HYPERLINK("https://kuwaitalyawm.media.gov.kw/Online/ViewAdsHTML?id=171552&amp;no=1", "عرض المصدر")</f>
        <v/>
      </c>
    </row>
    <row r="4">
      <c r="A4" s="13" t="inlineStr">
        <is>
          <t>2027/2026/74</t>
        </is>
      </c>
      <c r="B4" s="13" t="inlineStr">
        <is>
          <t>وزارة الصحة</t>
        </is>
      </c>
      <c r="C4" s="13" t="inlineStr">
        <is>
          <t>Jana Al-Obaid</t>
        </is>
      </c>
      <c r="D4" s="13" t="inlineStr">
        <is>
          <t>ممارسة رقم 2027/2026/74: توريد وتركيب وتشغيل شاشات تليفزيون لمركز الصليبية وتحويلة لمركز علاج الإدمان</t>
        </is>
      </c>
      <c r="E4" s="13" t="inlineStr">
        <is>
          <t>توريد المستلزمات والمواد والمستهلكات الطبية أو المخبرية المتخصصة لصالح المرافق الصحية.</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government</t>
        </is>
      </c>
      <c r="J4" s="14" t="inlineStr">
        <is>
          <t>2026-09-27</t>
        </is>
      </c>
      <c r="K4" s="14" t="inlineStr">
        <is>
          <t>-</t>
        </is>
      </c>
      <c r="L4" s="14" t="inlineStr">
        <is>
          <t>-</t>
        </is>
      </c>
      <c r="M4" s="14" t="inlineStr">
        <is>
          <t>-</t>
        </is>
      </c>
      <c r="N4" s="21" t="inlineStr">
        <is>
          <t>NEW</t>
        </is>
      </c>
      <c r="O4" s="14" t="inlineStr">
        <is>
          <t>غير متوافقة مع اختصاصات KBM</t>
        </is>
      </c>
      <c r="P4" s="22">
        <f>HYPERLINK("https://kuwaitalyawm.media.gov.kw/Online/ViewAdsHTML?id=171553&amp;no=1", "عرض المصدر")</f>
        <v/>
      </c>
    </row>
    <row r="5">
      <c r="A5" s="11" t="inlineStr">
        <is>
          <t>281</t>
        </is>
      </c>
      <c r="B5" s="11" t="inlineStr">
        <is>
          <t>وزارة الصحة</t>
        </is>
      </c>
      <c r="C5" s="11" t="inlineStr">
        <is>
          <t>Jana Al-Obaid</t>
        </is>
      </c>
      <c r="D5" s="11" t="inlineStr">
        <is>
          <t>ممارسة رقم 281 - وزارة الصحة</t>
        </is>
      </c>
      <c r="E5" s="11" t="inlineStr">
        <is>
          <t>أعمال وتوريدات ممارسة رقم 281 لصالح وزارة الصحة وفقاً للشروط والمواصفات المعتمدة في وثائق الطرح.</t>
        </is>
      </c>
      <c r="F5"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 s="12" t="inlineStr">
        <is>
          <t>عام</t>
        </is>
      </c>
      <c r="H5" s="12" t="inlineStr">
        <is>
          <t>0.0%</t>
        </is>
      </c>
      <c r="I5" s="12" t="inlineStr">
        <is>
          <t>government</t>
        </is>
      </c>
      <c r="J5" s="12" t="inlineStr">
        <is>
          <t>2026-09-27</t>
        </is>
      </c>
      <c r="K5" s="18" t="inlineStr">
        <is>
          <t>2026-10-05</t>
        </is>
      </c>
      <c r="L5" s="12" t="inlineStr">
        <is>
          <t>-</t>
        </is>
      </c>
      <c r="M5" s="12" t="inlineStr">
        <is>
          <t>1000.0</t>
        </is>
      </c>
      <c r="N5" s="21" t="inlineStr">
        <is>
          <t>NEW</t>
        </is>
      </c>
      <c r="O5" s="12" t="inlineStr">
        <is>
          <t>غير متوافقة مع اختصاصات KBM</t>
        </is>
      </c>
      <c r="P5" s="23">
        <f>HYPERLINK("https://kuwaitalyawm.media.gov.kw/Online/ViewAdsHTML?id=171554&amp;no=1", "عرض المصدر")</f>
        <v/>
      </c>
    </row>
    <row r="6">
      <c r="A6" s="13" t="inlineStr">
        <is>
          <t>321</t>
        </is>
      </c>
      <c r="B6" s="13" t="inlineStr">
        <is>
          <t>وزارة الصحة</t>
        </is>
      </c>
      <c r="C6" s="13" t="inlineStr">
        <is>
          <t>Jana Al-Obaid</t>
        </is>
      </c>
      <c r="D6" s="13" t="inlineStr">
        <is>
          <t>ممارسة رقم 321 - وزارة الصحة</t>
        </is>
      </c>
      <c r="E6" s="13" t="inlineStr">
        <is>
          <t>أعمال وتوريدات ممارسة رقم 321 لصالح وزارة الصحة وفقاً للشروط والمواصفات المعتمدة في وثائق الطرح.</t>
        </is>
      </c>
      <c r="F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6" s="14" t="inlineStr">
        <is>
          <t>عام</t>
        </is>
      </c>
      <c r="H6" s="14" t="inlineStr">
        <is>
          <t>15.0%</t>
        </is>
      </c>
      <c r="I6" s="14" t="inlineStr">
        <is>
          <t>government</t>
        </is>
      </c>
      <c r="J6" s="14" t="inlineStr">
        <is>
          <t>2026-09-27</t>
        </is>
      </c>
      <c r="K6" s="14" t="inlineStr">
        <is>
          <t>2026-10-28</t>
        </is>
      </c>
      <c r="L6" s="14" t="inlineStr">
        <is>
          <t>-</t>
        </is>
      </c>
      <c r="M6" s="14" t="inlineStr">
        <is>
          <t>75.0</t>
        </is>
      </c>
      <c r="N6" s="21" t="inlineStr">
        <is>
          <t>NEW</t>
        </is>
      </c>
      <c r="O6" s="14" t="inlineStr">
        <is>
          <t>غير متوافقة مع اختصاصات KBM</t>
        </is>
      </c>
      <c r="P6" s="22">
        <f>HYPERLINK("https://kuwaitalyawm.media.gov.kw/Online/ViewAdsHTML?id=171555&amp;no=1", "عرض المصدر")</f>
        <v/>
      </c>
    </row>
    <row r="7">
      <c r="A7" s="11" t="inlineStr">
        <is>
          <t>2027/2026/6</t>
        </is>
      </c>
      <c r="B7" s="11" t="inlineStr">
        <is>
          <t>بنك الائتمان الكويتي</t>
        </is>
      </c>
      <c r="C7" s="11" t="inlineStr">
        <is>
          <t>Eiman Ashkanani</t>
        </is>
      </c>
      <c r="D7"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7"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7"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7" s="12" t="inlineStr">
        <is>
          <t>عام</t>
        </is>
      </c>
      <c r="H7" s="12" t="inlineStr">
        <is>
          <t>0.0%</t>
        </is>
      </c>
      <c r="I7" s="12" t="inlineStr">
        <is>
          <t>government</t>
        </is>
      </c>
      <c r="J7" s="12" t="inlineStr">
        <is>
          <t>2026-09-27</t>
        </is>
      </c>
      <c r="K7" s="12" t="inlineStr">
        <is>
          <t>2026-10-26</t>
        </is>
      </c>
      <c r="L7" s="12" t="inlineStr">
        <is>
          <t>2000.0</t>
        </is>
      </c>
      <c r="M7" s="12" t="inlineStr">
        <is>
          <t>20.0</t>
        </is>
      </c>
      <c r="N7" s="21" t="inlineStr">
        <is>
          <t>NEW</t>
        </is>
      </c>
      <c r="O7" s="12" t="inlineStr">
        <is>
          <t>غير متوافقة مع اختصاصات KBM</t>
        </is>
      </c>
      <c r="P7" s="23">
        <f>HYPERLINK("https://kuwaitalyawm.media.gov.kw/Online/ViewAdsHTML?id=171559&amp;no=1", "عرض المصدر")</f>
        <v/>
      </c>
    </row>
    <row r="8">
      <c r="A8" s="13" t="inlineStr">
        <is>
          <t>15140/15567</t>
        </is>
      </c>
      <c r="B8" s="13" t="inlineStr">
        <is>
          <t>وزارة الكهرباء والماء</t>
        </is>
      </c>
      <c r="C8" s="13" t="inlineStr">
        <is>
          <t>Raed Obeid</t>
        </is>
      </c>
      <c r="D8"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government</t>
        </is>
      </c>
      <c r="J8" s="14" t="inlineStr">
        <is>
          <t>2026-09-27</t>
        </is>
      </c>
      <c r="K8" s="14" t="inlineStr">
        <is>
          <t>2026-10-20</t>
        </is>
      </c>
      <c r="L8" s="14" t="inlineStr">
        <is>
          <t>-</t>
        </is>
      </c>
      <c r="M8" s="14" t="inlineStr">
        <is>
          <t>10.0</t>
        </is>
      </c>
      <c r="N8" s="21" t="inlineStr">
        <is>
          <t>NEW</t>
        </is>
      </c>
      <c r="O8" s="14" t="inlineStr">
        <is>
          <t>غير متوافقة مع اختصاصات KBM</t>
        </is>
      </c>
      <c r="P8" s="22">
        <f>HYPERLINK("https://kuwaitalyawm.media.gov.kw/Online/ViewAdsHTML?id=171669&amp;no=1", "عرض المصدر")</f>
        <v/>
      </c>
    </row>
    <row r="9">
      <c r="A9" s="11" t="inlineStr">
        <is>
          <t>15353/15580</t>
        </is>
      </c>
      <c r="B9" s="11" t="inlineStr">
        <is>
          <t>وزارة الكهرباء والماء</t>
        </is>
      </c>
      <c r="C9" s="11" t="inlineStr">
        <is>
          <t>Raed Obeid</t>
        </is>
      </c>
      <c r="D9"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9"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12" t="inlineStr">
        <is>
          <t>عام</t>
        </is>
      </c>
      <c r="H9" s="12" t="inlineStr">
        <is>
          <t>15.0%</t>
        </is>
      </c>
      <c r="I9" s="12" t="inlineStr">
        <is>
          <t>government</t>
        </is>
      </c>
      <c r="J9" s="12" t="inlineStr">
        <is>
          <t>2026-09-27</t>
        </is>
      </c>
      <c r="K9" s="12" t="inlineStr">
        <is>
          <t>-</t>
        </is>
      </c>
      <c r="L9" s="12" t="inlineStr">
        <is>
          <t>-</t>
        </is>
      </c>
      <c r="M9" s="12" t="inlineStr">
        <is>
          <t>7.0</t>
        </is>
      </c>
      <c r="N9" s="21" t="inlineStr">
        <is>
          <t>NEW</t>
        </is>
      </c>
      <c r="O9" s="12" t="inlineStr">
        <is>
          <t>غير متوافقة مع اختصاصات KBM</t>
        </is>
      </c>
      <c r="P9" s="23">
        <f>HYPERLINK("https://kuwaitalyawm.media.gov.kw/Online/ViewAdsHTML?id=171670&amp;no=1", "عرض المصدر")</f>
        <v/>
      </c>
    </row>
    <row r="10">
      <c r="A10" s="13" t="inlineStr">
        <is>
          <t>2027/2026/1</t>
        </is>
      </c>
      <c r="B10" s="13" t="inlineStr">
        <is>
          <t>وزارة الكهرباء والماء</t>
        </is>
      </c>
      <c r="C10" s="13" t="inlineStr">
        <is>
          <t>Raed Obeid</t>
        </is>
      </c>
      <c r="D10" s="13" t="inlineStr">
        <is>
          <t>ممارسة رقم 2027/2026/1: صيانة جهاز تحليل وقياس الكربون العضوي في الماء</t>
        </is>
      </c>
      <c r="E1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government</t>
        </is>
      </c>
      <c r="J10" s="14" t="inlineStr">
        <is>
          <t>2026-09-27</t>
        </is>
      </c>
      <c r="K10" s="14" t="inlineStr">
        <is>
          <t>2026-10-25</t>
        </is>
      </c>
      <c r="L10" s="14" t="inlineStr">
        <is>
          <t>600.0</t>
        </is>
      </c>
      <c r="M10" s="14" t="inlineStr">
        <is>
          <t>15.0</t>
        </is>
      </c>
      <c r="N10" s="21" t="inlineStr">
        <is>
          <t>NEW</t>
        </is>
      </c>
      <c r="O10" s="14" t="inlineStr">
        <is>
          <t>غير متوافقة مع اختصاصات KBM</t>
        </is>
      </c>
      <c r="P10" s="22">
        <f>HYPERLINK("https://kuwaitalyawm.media.gov.kw/Online/ViewAdsHTML?id=171671&amp;no=1", "عرض المصدر")</f>
        <v/>
      </c>
    </row>
    <row r="11">
      <c r="A11" s="11" t="inlineStr">
        <is>
          <t>2027/2026/8</t>
        </is>
      </c>
      <c r="B11" s="11" t="inlineStr">
        <is>
          <t>الإدارة العامة للاطفاء</t>
        </is>
      </c>
      <c r="C11" s="11" t="inlineStr">
        <is>
          <t>Eiman Ashkanani</t>
        </is>
      </c>
      <c r="D11" s="11" t="inlineStr">
        <is>
          <t>ممارسة رقم 2027/2026/8: بشأن شراء وتجديد حزمة برامج Manage engine</t>
        </is>
      </c>
      <c r="E11"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برمجيات IBM وحلول الذكاء الاصطناعي وRed Hat</t>
        </is>
      </c>
      <c r="H11" s="12" t="inlineStr">
        <is>
          <t>68.0%</t>
        </is>
      </c>
      <c r="I11" s="12" t="inlineStr">
        <is>
          <t>government</t>
        </is>
      </c>
      <c r="J11" s="12" t="inlineStr">
        <is>
          <t>2026-09-27</t>
        </is>
      </c>
      <c r="K11" s="12" t="inlineStr">
        <is>
          <t>-</t>
        </is>
      </c>
      <c r="L11" s="12" t="inlineStr">
        <is>
          <t>-</t>
        </is>
      </c>
      <c r="M11" s="12" t="inlineStr">
        <is>
          <t>75.0</t>
        </is>
      </c>
      <c r="N11" s="21" t="inlineStr">
        <is>
          <t>NEW</t>
        </is>
      </c>
      <c r="O11" s="12" t="inlineStr">
        <is>
          <t>فرصة ICT متوافقة مع قدرات KBM</t>
        </is>
      </c>
      <c r="P11" s="23">
        <f>HYPERLINK("https://kuwaitalyawm.media.gov.kw/Online/ViewAdsHTML?id=171673&amp;no=1", "عرض المصدر")</f>
        <v/>
      </c>
    </row>
    <row r="12">
      <c r="A12" s="13" t="inlineStr">
        <is>
          <t>2030/2027/327</t>
        </is>
      </c>
      <c r="B12" s="13" t="inlineStr">
        <is>
          <t>الهيئة العامة للاستثمار</t>
        </is>
      </c>
      <c r="C12" s="13" t="inlineStr">
        <is>
          <t>Eiman Ashkanani</t>
        </is>
      </c>
      <c r="D12" s="13" t="inlineStr">
        <is>
          <t>ممارسة رقم 2030/2027/327: شراء جهاز توزيع الأحمال (App Load Balancer)</t>
        </is>
      </c>
      <c r="E12" s="13" t="inlineStr">
        <is>
          <t>أعمال وتوريدات شراء جهاز توزيع الأحمال (App Load Balancer) لصالح الهيئة العامة للاستثمار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2026-09-27</t>
        </is>
      </c>
      <c r="K12" s="14" t="inlineStr">
        <is>
          <t>-</t>
        </is>
      </c>
      <c r="L12" s="14" t="inlineStr">
        <is>
          <t>1500.0</t>
        </is>
      </c>
      <c r="M12" s="14" t="inlineStr">
        <is>
          <t>75.0</t>
        </is>
      </c>
      <c r="N12" s="21" t="inlineStr">
        <is>
          <t>NEW</t>
        </is>
      </c>
      <c r="O12" s="14" t="inlineStr">
        <is>
          <t>غير متوافقة مع اختصاصات KBM</t>
        </is>
      </c>
      <c r="P12" s="22">
        <f>HYPERLINK("https://kuwaitalyawm.media.gov.kw/Online/ViewAdsHTML?id=171676&amp;no=1", "عرض المصدر")</f>
        <v/>
      </c>
    </row>
    <row r="13">
      <c r="A13" s="11" t="inlineStr">
        <is>
          <t>2027/2026/3</t>
        </is>
      </c>
      <c r="B13" s="11" t="inlineStr">
        <is>
          <t>الهيئة العامة للبيئة</t>
        </is>
      </c>
      <c r="C13" s="11" t="inlineStr">
        <is>
          <t>Eiman Ashkanani</t>
        </is>
      </c>
      <c r="D13" s="11" t="inlineStr">
        <is>
          <t>ممارسة رقم 2027/2026/3: توفير خدمات تقنية المعلومات والصيانة والدعم الفني</t>
        </is>
      </c>
      <c r="E1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24" t="inlineStr">
        <is>
          <t>قطاع العمليات المدارة والدعم الفني متعدد الموردين</t>
        </is>
      </c>
      <c r="H13" s="12" t="inlineStr">
        <is>
          <t>64.0%</t>
        </is>
      </c>
      <c r="I13" s="12" t="inlineStr">
        <is>
          <t>government</t>
        </is>
      </c>
      <c r="J13" s="12" t="inlineStr">
        <is>
          <t>2026-09-27</t>
        </is>
      </c>
      <c r="K13" s="12" t="inlineStr">
        <is>
          <t>2026-10-27</t>
        </is>
      </c>
      <c r="L13" s="12" t="inlineStr">
        <is>
          <t>-</t>
        </is>
      </c>
      <c r="M13" s="12" t="inlineStr">
        <is>
          <t>30.0</t>
        </is>
      </c>
      <c r="N13" s="21" t="inlineStr">
        <is>
          <t>NEW</t>
        </is>
      </c>
      <c r="O13" s="12" t="inlineStr">
        <is>
          <t>فرصة ICT متوافقة مع قدرات KBM</t>
        </is>
      </c>
      <c r="P13" s="23">
        <f>HYPERLINK("https://kuwaitalyawm.media.gov.kw/Online/ViewAdsHTML?id=171677&amp;no=1", "عرض المصدر")</f>
        <v/>
      </c>
    </row>
    <row r="14">
      <c r="A14" s="13" t="inlineStr">
        <is>
          <t>2027/2026/2</t>
        </is>
      </c>
      <c r="B14" s="13" t="inlineStr">
        <is>
          <t>وزارة الداخلية</t>
        </is>
      </c>
      <c r="C14" s="13" t="inlineStr">
        <is>
          <t>Khaled Alabdallah</t>
        </is>
      </c>
      <c r="D14" s="13" t="inlineStr">
        <is>
          <t>مناقصة رقم 2027/2026/2: بتمديد موعد الإغلاق للمناقصة رقم (ل.ع 2/2026 - 2027) توريد وضمان وصيانة قوارب متنوعة الأحجام ومتعددة المهام ومستلزماتها والمعدات المطلوبة اللازمة لها لزوم الإدارة العامة لخفر السواحل ـ بوزارة الداخلية</t>
        </is>
      </c>
      <c r="E14" s="13" t="inlineStr">
        <is>
          <t>أعمال وتوريدات بتمديد موعد الإغلاق للمناقصة رقم (ل.ع 2/2026 - 2027) توريد وضمان وصيانة قوارب متنوعة الأحجام ومتعددة المهام ومستلزماتها والمعدات المطلوبة اللازمة لها لزوم الإدارة العامة لخفر السواحل ـ بوزارة الداخلية لصالح وزارة الداخلية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government</t>
        </is>
      </c>
      <c r="J14" s="14" t="inlineStr">
        <is>
          <t>2026-08-30</t>
        </is>
      </c>
      <c r="K14" s="14" t="inlineStr">
        <is>
          <t>-</t>
        </is>
      </c>
      <c r="L14" s="14" t="inlineStr">
        <is>
          <t>-</t>
        </is>
      </c>
      <c r="M14" s="14" t="inlineStr">
        <is>
          <t>75.0</t>
        </is>
      </c>
      <c r="N14" s="21" t="inlineStr">
        <is>
          <t>NEW</t>
        </is>
      </c>
      <c r="O14" s="14" t="inlineStr">
        <is>
          <t>غير متوافقة مع اختصاصات KBM</t>
        </is>
      </c>
      <c r="P14" s="22">
        <f>HYPERLINK("https://kuwaitalyawm.media.gov.kw/Online/ViewAdsHTML?id=171678&amp;no=1", "عرض المصدر")</f>
        <v/>
      </c>
    </row>
    <row r="15">
      <c r="A15" s="11" t="inlineStr">
        <is>
          <t>2027/2026/13</t>
        </is>
      </c>
      <c r="B15" s="11" t="inlineStr">
        <is>
          <t>بنك الائتمان الكويتي</t>
        </is>
      </c>
      <c r="C15" s="11" t="inlineStr">
        <is>
          <t>Eiman Ashkanani</t>
        </is>
      </c>
      <c r="D1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5" s="12" t="inlineStr">
        <is>
          <t>عام</t>
        </is>
      </c>
      <c r="H15" s="12" t="inlineStr">
        <is>
          <t>0.0%</t>
        </is>
      </c>
      <c r="I15" s="12" t="inlineStr">
        <is>
          <t>government</t>
        </is>
      </c>
      <c r="J15" s="12" t="inlineStr">
        <is>
          <t>2026-09-27</t>
        </is>
      </c>
      <c r="K15" s="12" t="inlineStr">
        <is>
          <t>-</t>
        </is>
      </c>
      <c r="L15" s="12" t="inlineStr">
        <is>
          <t>2000.0</t>
        </is>
      </c>
      <c r="M15" s="12" t="inlineStr">
        <is>
          <t>20.0</t>
        </is>
      </c>
      <c r="N15" s="21" t="inlineStr">
        <is>
          <t>NEW</t>
        </is>
      </c>
      <c r="O15" s="12" t="inlineStr">
        <is>
          <t>غير متوافقة مع اختصاصات KBM</t>
        </is>
      </c>
      <c r="P15" s="23">
        <f>HYPERLINK("https://kuwaitalyawm.media.gov.kw/Online/ViewAdsHTML?id=171679&amp;no=1", "عرض المصدر")</f>
        <v/>
      </c>
    </row>
    <row r="16">
      <c r="A16" s="13" t="inlineStr">
        <is>
          <t>2027/2026/17</t>
        </is>
      </c>
      <c r="B16" s="13" t="inlineStr">
        <is>
          <t>الهيئة العامة للتعليم التطبيقي والتدريب</t>
        </is>
      </c>
      <c r="C16" s="13" t="inlineStr">
        <is>
          <t>Eiman Ashkanani</t>
        </is>
      </c>
      <c r="D16" s="13" t="inlineStr">
        <is>
          <t>ممارسة رقم 2027/2026/17 - الهيئة العامة للتعليم التطبيقي والتدريب</t>
        </is>
      </c>
      <c r="E16" s="13" t="inlineStr">
        <is>
          <t>توريد المستلزمات والمواد والمستهلكات الطبية أو المخبرية المتخصصة لصالح المرافق الصحية.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t>
        </is>
      </c>
      <c r="L16" s="14" t="inlineStr">
        <is>
          <t>-</t>
        </is>
      </c>
      <c r="M16" s="14" t="inlineStr">
        <is>
          <t>75.0</t>
        </is>
      </c>
      <c r="N16" s="21" t="inlineStr">
        <is>
          <t>NEW</t>
        </is>
      </c>
      <c r="O16" s="14" t="inlineStr">
        <is>
          <t>غير متوافقة مع اختصاصات KBM</t>
        </is>
      </c>
      <c r="P16" s="22">
        <f>HYPERLINK("https://kuwaitalyawm.media.gov.kw/Online/ViewAdsHTML?id=171680&amp;no=1", "عرض المصدر")</f>
        <v/>
      </c>
    </row>
    <row r="17">
      <c r="A17" s="11" t="inlineStr">
        <is>
          <t>2027/2026/27</t>
        </is>
      </c>
      <c r="B17" s="11" t="inlineStr">
        <is>
          <t>الهيئة العامة للتعليم التطبيقي والتدريب</t>
        </is>
      </c>
      <c r="C17" s="11" t="inlineStr">
        <is>
          <t>Eiman Ashkanani</t>
        </is>
      </c>
      <c r="D17"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2026-09-27</t>
        </is>
      </c>
      <c r="K17" s="12" t="inlineStr">
        <is>
          <t>-</t>
        </is>
      </c>
      <c r="L17" s="12" t="inlineStr">
        <is>
          <t>-</t>
        </is>
      </c>
      <c r="M17" s="12" t="inlineStr">
        <is>
          <t>75.0</t>
        </is>
      </c>
      <c r="N17" s="21" t="inlineStr">
        <is>
          <t>NEW</t>
        </is>
      </c>
      <c r="O17" s="12" t="inlineStr">
        <is>
          <t>غير متوافقة مع اختصاصات KBM</t>
        </is>
      </c>
      <c r="P17" s="23">
        <f>HYPERLINK("https://kuwaitalyawm.media.gov.kw/Online/ViewAdsHTML?id=171681&amp;no=1", "عرض المصدر")</f>
        <v/>
      </c>
    </row>
    <row r="18">
      <c r="A18" s="13" t="inlineStr">
        <is>
          <t>2027/2026/38</t>
        </is>
      </c>
      <c r="B18" s="13" t="inlineStr">
        <is>
          <t>الهيئة العامة للتعليم التطبيقي والتدريب</t>
        </is>
      </c>
      <c r="C18" s="13" t="inlineStr">
        <is>
          <t>Eiman Ashkanani</t>
        </is>
      </c>
      <c r="D18"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24.0%</t>
        </is>
      </c>
      <c r="I18" s="14" t="inlineStr">
        <is>
          <t>government</t>
        </is>
      </c>
      <c r="J18" s="14" t="inlineStr">
        <is>
          <t>2026-09-27</t>
        </is>
      </c>
      <c r="K18" s="14" t="inlineStr">
        <is>
          <t>-</t>
        </is>
      </c>
      <c r="L18" s="14" t="inlineStr">
        <is>
          <t>-</t>
        </is>
      </c>
      <c r="M18" s="14" t="inlineStr">
        <is>
          <t>75.0</t>
        </is>
      </c>
      <c r="N18" s="21" t="inlineStr">
        <is>
          <t>NEW</t>
        </is>
      </c>
      <c r="O18" s="14" t="inlineStr">
        <is>
          <t>غير متوافقة مع اختصاصات KBM</t>
        </is>
      </c>
      <c r="P18" s="22">
        <f>HYPERLINK("https://kuwaitalyawm.media.gov.kw/Online/ViewAdsHTML?id=171682&amp;no=1", "عرض المصدر")</f>
        <v/>
      </c>
    </row>
    <row r="19">
      <c r="A19" s="11" t="inlineStr">
        <is>
          <t>2027/2026/40</t>
        </is>
      </c>
      <c r="B19" s="11" t="inlineStr">
        <is>
          <t>الهيئة العامة للتعليم التطبيقي والتدريب</t>
        </is>
      </c>
      <c r="C19" s="11" t="inlineStr">
        <is>
          <t>Eiman Ashkanani</t>
        </is>
      </c>
      <c r="D19"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24.0%</t>
        </is>
      </c>
      <c r="I19" s="12" t="inlineStr">
        <is>
          <t>government</t>
        </is>
      </c>
      <c r="J19" s="12" t="inlineStr">
        <is>
          <t>2026-09-27</t>
        </is>
      </c>
      <c r="K19" s="12" t="inlineStr">
        <is>
          <t>-</t>
        </is>
      </c>
      <c r="L19" s="12" t="inlineStr">
        <is>
          <t>-</t>
        </is>
      </c>
      <c r="M19" s="12" t="inlineStr">
        <is>
          <t>75.0</t>
        </is>
      </c>
      <c r="N19" s="21" t="inlineStr">
        <is>
          <t>NEW</t>
        </is>
      </c>
      <c r="O19" s="12" t="inlineStr">
        <is>
          <t>غير متوافقة مع اختصاصات KBM</t>
        </is>
      </c>
      <c r="P19" s="23">
        <f>HYPERLINK("https://kuwaitalyawm.media.gov.kw/Online/ViewAdsHTML?id=171683&amp;no=1", "عرض المصدر")</f>
        <v/>
      </c>
    </row>
    <row r="20">
      <c r="A20" s="13" t="inlineStr">
        <is>
          <t>2027/2026/43</t>
        </is>
      </c>
      <c r="B20" s="13" t="inlineStr">
        <is>
          <t>وزارة الداخلية</t>
        </is>
      </c>
      <c r="C20" s="13" t="inlineStr">
        <is>
          <t>Khaled Alabdallah</t>
        </is>
      </c>
      <c r="D20" s="13" t="inlineStr">
        <is>
          <t>مناقصة رقم 2027/2026/43 - وزارة الداخلية</t>
        </is>
      </c>
      <c r="E20" s="13" t="inlineStr">
        <is>
          <t>أعمال وتوريدات مناقصة رقم 2027/2026/43 لصالح وزارة الداخلية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15.0%</t>
        </is>
      </c>
      <c r="I20" s="14" t="inlineStr">
        <is>
          <t>government</t>
        </is>
      </c>
      <c r="J20" s="14" t="inlineStr">
        <is>
          <t>2026-09-27</t>
        </is>
      </c>
      <c r="K20" s="14" t="inlineStr">
        <is>
          <t>2026-11-18</t>
        </is>
      </c>
      <c r="L20" s="14" t="inlineStr">
        <is>
          <t>6750.0</t>
        </is>
      </c>
      <c r="M20" s="14" t="inlineStr">
        <is>
          <t>250.0</t>
        </is>
      </c>
      <c r="N20" s="21" t="inlineStr">
        <is>
          <t>NEW</t>
        </is>
      </c>
      <c r="O20" s="14" t="inlineStr">
        <is>
          <t>غير متوافقة مع اختصاصات KBM</t>
        </is>
      </c>
      <c r="P20" s="22">
        <f>HYPERLINK("https://kuwaitalyawm.media.gov.kw/Online/ViewAdsHTML?id=171684&amp;no=1", "عرض المصدر")</f>
        <v/>
      </c>
    </row>
    <row r="21">
      <c r="A21" s="11" t="inlineStr">
        <is>
          <t>2027/2026/11</t>
        </is>
      </c>
      <c r="B21" s="11" t="inlineStr">
        <is>
          <t>الهيئة العامة للطيران المدني</t>
        </is>
      </c>
      <c r="C21" s="11" t="inlineStr">
        <is>
          <t>Eiman Ashkanani</t>
        </is>
      </c>
      <c r="D21"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0.0%</t>
        </is>
      </c>
      <c r="I21" s="12" t="inlineStr">
        <is>
          <t>government</t>
        </is>
      </c>
      <c r="J21" s="12" t="inlineStr">
        <is>
          <t>2026-09-27</t>
        </is>
      </c>
      <c r="K21" s="12" t="inlineStr">
        <is>
          <t>-</t>
        </is>
      </c>
      <c r="L21" s="12" t="inlineStr">
        <is>
          <t>-</t>
        </is>
      </c>
      <c r="M21" s="12" t="inlineStr">
        <is>
          <t>-</t>
        </is>
      </c>
      <c r="N21" s="21" t="inlineStr">
        <is>
          <t>NEW</t>
        </is>
      </c>
      <c r="O21" s="12" t="inlineStr">
        <is>
          <t>غير متوافقة مع اختصاصات KBM</t>
        </is>
      </c>
      <c r="P21" s="23">
        <f>HYPERLINK("https://kuwaitalyawm.media.gov.kw/Online/ViewAdsHTML?id=171690&amp;no=1", "عرض المصدر")</f>
        <v/>
      </c>
    </row>
    <row r="22">
      <c r="A22" s="13" t="inlineStr">
        <is>
          <t>2027/2026/14</t>
        </is>
      </c>
      <c r="B22" s="13" t="inlineStr">
        <is>
          <t>جهاز المسؤولية الطبية</t>
        </is>
      </c>
      <c r="C22" s="13" t="inlineStr">
        <is>
          <t>Eiman Ashkanani</t>
        </is>
      </c>
      <c r="D22" s="13" t="inlineStr">
        <is>
          <t>ممارسة رقم 2027/2026/14: يعلن جهاز المسؤولية الطبية عن طرح ممارسة14/2026/2027 تقديم خدمات استشارية في مجال نظم المعلومات وفقًا للبيانات التالية:</t>
        </is>
      </c>
      <c r="E22" s="13" t="inlineStr">
        <is>
          <t>تنفيذ أعمال يعلن جهاز المسؤولية الطبية عن طرح ممارسة14/2026/2027 تقديم خدمات استشارية في مجال نظم المعلومات وفقًا للبيانات التالية:، وتوفير كافة الأجهزة والمعدات والأنظمة وخدمات الدعم الفني والضمان وفقاً لكراسة الشروط والمواصفات الفنية.</t>
        </is>
      </c>
      <c r="F22" s="13" t="inlineStr">
        <is>
          <t>• علماً بأن آخر موعد لتقديم العروض هو الساعة (الواحدة ظهراً) من يوم (الأربعاء) الموافق (28/10/2026) ويرفض أي عرض بعد هذا الموعد.</t>
        </is>
      </c>
      <c r="G22" s="14" t="inlineStr">
        <is>
          <t>عام</t>
        </is>
      </c>
      <c r="H22" s="14" t="inlineStr">
        <is>
          <t>0.0%</t>
        </is>
      </c>
      <c r="I22" s="14" t="inlineStr">
        <is>
          <t>government</t>
        </is>
      </c>
      <c r="J22" s="14" t="inlineStr">
        <is>
          <t>2026-09-27</t>
        </is>
      </c>
      <c r="K22" s="18" t="inlineStr">
        <is>
          <t>2026-10-11</t>
        </is>
      </c>
      <c r="L22" s="14" t="inlineStr">
        <is>
          <t>2.0</t>
        </is>
      </c>
      <c r="M22" s="14" t="inlineStr">
        <is>
          <t>75.0</t>
        </is>
      </c>
      <c r="N22" s="21" t="inlineStr">
        <is>
          <t>NEW</t>
        </is>
      </c>
      <c r="O22" s="14" t="inlineStr">
        <is>
          <t>غير متوافقة مع اختصاصات KBM</t>
        </is>
      </c>
      <c r="P22" s="22">
        <f>HYPERLINK("https://kuwaitalyawm.media.gov.kw/Online/ViewAdsHTML?id=171692&amp;no=1", "عرض المصدر")</f>
        <v/>
      </c>
    </row>
    <row r="23">
      <c r="A23" s="11" t="inlineStr">
        <is>
          <t>2027/2026/15</t>
        </is>
      </c>
      <c r="B23" s="11" t="inlineStr">
        <is>
          <t>الهيئة العامة للطيران المدني</t>
        </is>
      </c>
      <c r="C23" s="11" t="inlineStr">
        <is>
          <t>Eiman Ashkanani</t>
        </is>
      </c>
      <c r="D23" s="11" t="inlineStr">
        <is>
          <t>ممارسة رقم 2027/2026/15: ممارسة تطوير وصيانة أنظمة وأجهزة الحضور</t>
        </is>
      </c>
      <c r="E23"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3" s="11" t="inlineStr">
        <is>
          <t>• علماً بأن آخر موعد لتقديم العروض هو الساعة (الواحدة ظهراً) من يوم (الأربعاء) الموافق (21/10/2026) ويرفض أي عرض بعد هذا الموعد.</t>
        </is>
      </c>
      <c r="G23" s="12" t="inlineStr">
        <is>
          <t>قطاع العمليات المدارة والدعم الفني متعدد الموردين</t>
        </is>
      </c>
      <c r="H23" s="12" t="inlineStr">
        <is>
          <t>49.0%</t>
        </is>
      </c>
      <c r="I23" s="12" t="inlineStr">
        <is>
          <t>government</t>
        </is>
      </c>
      <c r="J23" s="12" t="inlineStr">
        <is>
          <t>2026-09-27</t>
        </is>
      </c>
      <c r="K23" s="12" t="inlineStr">
        <is>
          <t>2026-10-21</t>
        </is>
      </c>
      <c r="L23" s="12" t="inlineStr">
        <is>
          <t>-</t>
        </is>
      </c>
      <c r="M23" s="12" t="inlineStr">
        <is>
          <t>75.0</t>
        </is>
      </c>
      <c r="N23" s="21" t="inlineStr">
        <is>
          <t>NEW</t>
        </is>
      </c>
      <c r="O23" s="12" t="inlineStr">
        <is>
          <t>فرصة تتطلب شراكة أو دراسة نطاق</t>
        </is>
      </c>
      <c r="P23" s="23">
        <f>HYPERLINK("https://kuwaitalyawm.media.gov.kw/Online/ViewAdsHTML?id=171693&amp;no=1", "عرض المصدر")</f>
        <v/>
      </c>
    </row>
    <row r="24">
      <c r="A24" s="13" t="inlineStr">
        <is>
          <t>2027/2026/9</t>
        </is>
      </c>
      <c r="B24" s="13" t="inlineStr">
        <is>
          <t>الهيئة العامة للمعلومات المدنية</t>
        </is>
      </c>
      <c r="C24" s="13" t="inlineStr">
        <is>
          <t>Raed Obeid</t>
        </is>
      </c>
      <c r="D24" s="13" t="inlineStr">
        <is>
          <t>ممارسة رقم 2027/2026/9: بشـأن صيانة المعدات الميكانيكية والكهربائية بالهيئة</t>
        </is>
      </c>
      <c r="E24"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15.0%</t>
        </is>
      </c>
      <c r="I24" s="14" t="inlineStr">
        <is>
          <t>government</t>
        </is>
      </c>
      <c r="J24" s="14" t="inlineStr">
        <is>
          <t>2026-09-27</t>
        </is>
      </c>
      <c r="K24" s="14" t="inlineStr">
        <is>
          <t>-</t>
        </is>
      </c>
      <c r="L24" s="14" t="inlineStr">
        <is>
          <t>-</t>
        </is>
      </c>
      <c r="M24" s="14" t="inlineStr">
        <is>
          <t>50.0</t>
        </is>
      </c>
      <c r="N24" s="21" t="inlineStr">
        <is>
          <t>NEW</t>
        </is>
      </c>
      <c r="O24" s="14" t="inlineStr">
        <is>
          <t>غير متوافقة مع اختصاصات KBM</t>
        </is>
      </c>
      <c r="P24" s="22">
        <f>HYPERLINK("https://kuwaitalyawm.media.gov.kw/Online/ViewAdsHTML?id=171695&amp;no=1", "عرض المصدر")</f>
        <v/>
      </c>
    </row>
    <row r="25">
      <c r="A25" s="11" t="inlineStr">
        <is>
          <t>2027/2026/5</t>
        </is>
      </c>
      <c r="B25" s="11" t="inlineStr">
        <is>
          <t>الإدارة المركزية للاحصاء</t>
        </is>
      </c>
      <c r="C25" s="11" t="inlineStr">
        <is>
          <t>Eiman Ashkanani</t>
        </is>
      </c>
      <c r="D25" s="11" t="inlineStr">
        <is>
          <t>ممارسة رقم 2027/2026/5 - الإدارة المركزية للاحصاء</t>
        </is>
      </c>
      <c r="E25"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government</t>
        </is>
      </c>
      <c r="J25" s="12" t="inlineStr">
        <is>
          <t>2026-09-27</t>
        </is>
      </c>
      <c r="K25" s="12" t="inlineStr">
        <is>
          <t>-</t>
        </is>
      </c>
      <c r="L25" s="12" t="inlineStr">
        <is>
          <t>-</t>
        </is>
      </c>
      <c r="M25" s="12" t="inlineStr">
        <is>
          <t>75.0</t>
        </is>
      </c>
      <c r="N25" s="21" t="inlineStr">
        <is>
          <t>NEW</t>
        </is>
      </c>
      <c r="O25" s="12" t="inlineStr">
        <is>
          <t>غير متوافقة مع اختصاصات KBM</t>
        </is>
      </c>
      <c r="P25" s="23">
        <f>HYPERLINK("https://kuwaitalyawm.media.gov.kw/Online/ViewAdsHTML?id=171697&amp;no=1", "عرض المصدر")</f>
        <v/>
      </c>
    </row>
    <row r="26">
      <c r="A26" s="13" t="inlineStr">
        <is>
          <t>2026/35</t>
        </is>
      </c>
      <c r="B26" s="13" t="inlineStr">
        <is>
          <t>الجهاز المركزي لتكنولوجيا المعلومات</t>
        </is>
      </c>
      <c r="C26" s="13" t="inlineStr">
        <is>
          <t>Eiman Ashkanani</t>
        </is>
      </c>
      <c r="D26"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6"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قطاع العمليات المدارة والدعم الفني متعدد الموردين</t>
        </is>
      </c>
      <c r="H26" s="14" t="inlineStr">
        <is>
          <t>85.0%</t>
        </is>
      </c>
      <c r="I26" s="14" t="inlineStr">
        <is>
          <t>government</t>
        </is>
      </c>
      <c r="J26" s="14" t="inlineStr">
        <is>
          <t>2026-09-27</t>
        </is>
      </c>
      <c r="K26" s="14" t="inlineStr">
        <is>
          <t>2026-10-15</t>
        </is>
      </c>
      <c r="L26" s="14" t="inlineStr">
        <is>
          <t>-</t>
        </is>
      </c>
      <c r="M26" s="14" t="inlineStr">
        <is>
          <t>75.0</t>
        </is>
      </c>
      <c r="N26" s="21" t="inlineStr">
        <is>
          <t>NEW</t>
        </is>
      </c>
      <c r="O26" s="14" t="inlineStr">
        <is>
          <t>فرصة استراتيجية رئيسية (موصى بالتقديم)</t>
        </is>
      </c>
      <c r="P26" s="22">
        <f>HYPERLINK("https://kuwaitalyawm.media.gov.kw/Online/ViewAdsHTML?id=171699&amp;no=1", "عرض المصدر")</f>
        <v/>
      </c>
    </row>
    <row r="27">
      <c r="A27" s="11" t="inlineStr">
        <is>
          <t>72-516</t>
        </is>
      </c>
      <c r="B27" s="11" t="inlineStr">
        <is>
          <t>جامعة الكويت</t>
        </is>
      </c>
      <c r="C27" s="11" t="inlineStr">
        <is>
          <t>Eiman Ashkanani</t>
        </is>
      </c>
      <c r="D27" s="11" t="inlineStr">
        <is>
          <t>ممارسة رقم 72/2026-2027: صيانة أجهزة التعرف على الوجه والأجهزة العلمية بمراكز عمل جامعة الكويت</t>
        </is>
      </c>
      <c r="E27" s="11" t="inlineStr">
        <is>
          <t>صيانة دورية ودعم فني لأجهزة التحقق البيومتري والتعرف على الوجه (Face Recognition Systems) والأجهزة التابعة لها بجامعة الكويت.</t>
        </is>
      </c>
      <c r="F27" s="11" t="inlineStr">
        <is>
          <t>• بيع الوثائق 75 د.ك، تأمين أولي 2% من قيمة العطاء، إغلاق 20/10/2026 بمقر الجامعة بالشدادية.</t>
        </is>
      </c>
      <c r="G27" s="24" t="inlineStr">
        <is>
          <t>قطاع الأمن السيبراني والدفاع الرقمي</t>
        </is>
      </c>
      <c r="H27" s="12" t="inlineStr">
        <is>
          <t>55.0%</t>
        </is>
      </c>
      <c r="I27" s="12" t="inlineStr">
        <is>
          <t>government</t>
        </is>
      </c>
      <c r="J27" s="12" t="inlineStr">
        <is>
          <t>2026-09-27</t>
        </is>
      </c>
      <c r="K27" s="12" t="inlineStr">
        <is>
          <t>2026-10-20</t>
        </is>
      </c>
      <c r="L27" s="12" t="inlineStr">
        <is>
          <t>2000.0</t>
        </is>
      </c>
      <c r="M27" s="12" t="inlineStr">
        <is>
          <t>75.0</t>
        </is>
      </c>
      <c r="N27" s="21" t="inlineStr">
        <is>
          <t>NEW</t>
        </is>
      </c>
      <c r="O27" s="12" t="inlineStr">
        <is>
          <t>فرصة محتملة</t>
        </is>
      </c>
      <c r="P27" s="23">
        <f>HYPERLINK("https://kuwaitalyawm.media.gov.kw/Online/ViewAdsHTML?id=171702&amp;no=1", "عرض المصدر")</f>
        <v/>
      </c>
    </row>
    <row r="28">
      <c r="A28" s="13" t="inlineStr">
        <is>
          <t>2027/2026/536</t>
        </is>
      </c>
      <c r="B28" s="13" t="inlineStr">
        <is>
          <t>جامعة الكويت</t>
        </is>
      </c>
      <c r="C28" s="13" t="inlineStr">
        <is>
          <t>Eiman Ashkanani</t>
        </is>
      </c>
      <c r="D28" s="13" t="inlineStr">
        <is>
          <t>ممارسة رقم 2027/2026/536 - جامعة الكويت</t>
        </is>
      </c>
      <c r="E28" s="13" t="inlineStr">
        <is>
          <t>أعمال وتوريدات ممارسة رقم 2027/2026/536 لصالح جامعة الكويت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15.0%</t>
        </is>
      </c>
      <c r="I28" s="14" t="inlineStr">
        <is>
          <t>government</t>
        </is>
      </c>
      <c r="J28" s="14" t="inlineStr">
        <is>
          <t>2026-09-27</t>
        </is>
      </c>
      <c r="K28" s="14" t="inlineStr">
        <is>
          <t>2026-10-27</t>
        </is>
      </c>
      <c r="L28" s="14" t="inlineStr">
        <is>
          <t>2.0</t>
        </is>
      </c>
      <c r="M28" s="14" t="inlineStr">
        <is>
          <t>75.0</t>
        </is>
      </c>
      <c r="N28" s="21" t="inlineStr">
        <is>
          <t>NEW</t>
        </is>
      </c>
      <c r="O28" s="14" t="inlineStr">
        <is>
          <t>غير متوافقة مع اختصاصات KBM</t>
        </is>
      </c>
      <c r="P28" s="22">
        <f>HYPERLINK("https://kuwaitalyawm.media.gov.kw/Online/ViewAdsHTML?id=171703&amp;no=1", "عرض المصدر")</f>
        <v/>
      </c>
    </row>
    <row r="29">
      <c r="A29" s="11" t="inlineStr">
        <is>
          <t>2027/2026/537</t>
        </is>
      </c>
      <c r="B29" s="11" t="inlineStr">
        <is>
          <t>جامعة الكويت</t>
        </is>
      </c>
      <c r="C29" s="11" t="inlineStr">
        <is>
          <t>Eiman Ashkanani</t>
        </is>
      </c>
      <c r="D29" s="11" t="inlineStr">
        <is>
          <t>ممارسة رقم 2027/2026/537 - جامعة الكويت</t>
        </is>
      </c>
      <c r="E29" s="11" t="inlineStr">
        <is>
          <t>أعمال وتوريدات ممارسة رقم 2027/2026/537 لصالح جامعة الكويت وفقاً للشروط والمواصفات المعتمدة في وثائق الطرح.</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15.0%</t>
        </is>
      </c>
      <c r="I29" s="12" t="inlineStr">
        <is>
          <t>government</t>
        </is>
      </c>
      <c r="J29" s="12" t="inlineStr">
        <is>
          <t>2026-09-27</t>
        </is>
      </c>
      <c r="K29" s="12" t="inlineStr">
        <is>
          <t>2026-10-27</t>
        </is>
      </c>
      <c r="L29" s="12" t="inlineStr">
        <is>
          <t>2000.0</t>
        </is>
      </c>
      <c r="M29" s="12" t="inlineStr">
        <is>
          <t>75.0</t>
        </is>
      </c>
      <c r="N29" s="21" t="inlineStr">
        <is>
          <t>NEW</t>
        </is>
      </c>
      <c r="O29" s="12" t="inlineStr">
        <is>
          <t>غير متوافقة مع اختصاصات KBM</t>
        </is>
      </c>
      <c r="P29" s="23">
        <f>HYPERLINK("https://kuwaitalyawm.media.gov.kw/Online/ViewAdsHTML?id=171704&amp;no=1", "عرض المصدر")</f>
        <v/>
      </c>
    </row>
    <row r="30">
      <c r="A30" s="13" t="inlineStr">
        <is>
          <t>2027/2026/12</t>
        </is>
      </c>
      <c r="B30" s="13" t="inlineStr">
        <is>
          <t>الرئاسـة العامة للحرس الوطني</t>
        </is>
      </c>
      <c r="C30" s="13" t="inlineStr">
        <is>
          <t>Eiman Ashkanani</t>
        </is>
      </c>
      <c r="D30" s="13" t="inlineStr">
        <is>
          <t>ممارسة رقم 2027/2026/12: الخاصة بصيانة أجهزة توزيع أحمال الشبكة</t>
        </is>
      </c>
      <c r="E30"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قطاع العمليات المدارة والدعم الفني متعدد الموردين</t>
        </is>
      </c>
      <c r="H30" s="14" t="inlineStr">
        <is>
          <t>64.0%</t>
        </is>
      </c>
      <c r="I30" s="14" t="inlineStr">
        <is>
          <t>government</t>
        </is>
      </c>
      <c r="J30" s="14" t="inlineStr">
        <is>
          <t>2026-09-27</t>
        </is>
      </c>
      <c r="K30" s="14" t="inlineStr">
        <is>
          <t>-</t>
        </is>
      </c>
      <c r="L30" s="14" t="inlineStr">
        <is>
          <t>-</t>
        </is>
      </c>
      <c r="M30" s="14" t="inlineStr">
        <is>
          <t>75.0</t>
        </is>
      </c>
      <c r="N30" s="21" t="inlineStr">
        <is>
          <t>NEW</t>
        </is>
      </c>
      <c r="O30" s="14" t="inlineStr">
        <is>
          <t>فرصة ICT متوافقة مع قدرات KBM</t>
        </is>
      </c>
      <c r="P30" s="22">
        <f>HYPERLINK("https://kuwaitalyawm.media.gov.kw/Online/ViewAdsHTML?id=171707&amp;no=1", "عرض المصدر")</f>
        <v/>
      </c>
    </row>
    <row r="31">
      <c r="A31" s="11" t="inlineStr">
        <is>
          <t>2027/2026/4</t>
        </is>
      </c>
      <c r="B31" s="11" t="inlineStr">
        <is>
          <t>مؤسسة الموانئ الكويتية</t>
        </is>
      </c>
      <c r="C31" s="11" t="inlineStr">
        <is>
          <t>Eiman Ashkanani</t>
        </is>
      </c>
      <c r="D31" s="11" t="inlineStr">
        <is>
          <t>ممارسة رقم 2027/2026/4: تمديد موعد الاقفال الممارسة رقم م م ك (/2026/4/2027) بشأن عمل مسح بحري للأرصفة والأحواض</t>
        </is>
      </c>
      <c r="E31"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1"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الأمر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أن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31" s="12" t="inlineStr">
        <is>
          <t>عام</t>
        </is>
      </c>
      <c r="H31" s="12" t="inlineStr">
        <is>
          <t>0.0%</t>
        </is>
      </c>
      <c r="I31" s="12" t="inlineStr">
        <is>
          <t>government</t>
        </is>
      </c>
      <c r="J31" s="12" t="inlineStr">
        <is>
          <t>2026-09-27</t>
        </is>
      </c>
      <c r="K31" s="12" t="inlineStr">
        <is>
          <t>-</t>
        </is>
      </c>
      <c r="L31" s="12" t="inlineStr">
        <is>
          <t>1000.0</t>
        </is>
      </c>
      <c r="M31" s="12" t="inlineStr">
        <is>
          <t>20.0</t>
        </is>
      </c>
      <c r="N31" s="21" t="inlineStr">
        <is>
          <t>NEW</t>
        </is>
      </c>
      <c r="O31" s="12" t="inlineStr">
        <is>
          <t>غير متوافقة مع اختصاصات KBM</t>
        </is>
      </c>
      <c r="P31" s="23">
        <f>HYPERLINK("https://kuwaitalyawm.media.gov.kw/Online/ViewAdsHTML?id=171711&amp;no=1", "عرض المصدر")</f>
        <v/>
      </c>
    </row>
    <row r="32">
      <c r="A32" s="13" t="inlineStr">
        <is>
          <t>2026/16</t>
        </is>
      </c>
      <c r="B32" s="13" t="inlineStr">
        <is>
          <t>بيت الزكـاة</t>
        </is>
      </c>
      <c r="C32" s="13" t="inlineStr">
        <is>
          <t>Eiman Ashkanani</t>
        </is>
      </c>
      <c r="D32" s="13" t="inlineStr">
        <is>
          <t>ممارسة رقم 2026/16: توفير خدمات إنشاء وتطوير وصيانة أنظمة أوراكل</t>
        </is>
      </c>
      <c r="E3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32" s="13" t="inlineStr">
        <is>
          <t>• https://www.zakathouse.org.kw/tender.aspx</t>
        </is>
      </c>
      <c r="G32" s="24" t="inlineStr">
        <is>
          <t>قطاع العمليات المدارة والدعم الفني متعدد الموردين</t>
        </is>
      </c>
      <c r="H32" s="14" t="inlineStr">
        <is>
          <t>84.0%</t>
        </is>
      </c>
      <c r="I32" s="14" t="inlineStr">
        <is>
          <t>government</t>
        </is>
      </c>
      <c r="J32" s="14" t="inlineStr">
        <is>
          <t>2026-09-27</t>
        </is>
      </c>
      <c r="K32" s="14" t="inlineStr">
        <is>
          <t>-</t>
        </is>
      </c>
      <c r="L32" s="14" t="inlineStr">
        <is>
          <t>-</t>
        </is>
      </c>
      <c r="M32" s="14" t="inlineStr">
        <is>
          <t>75.0</t>
        </is>
      </c>
      <c r="N32" s="21" t="inlineStr">
        <is>
          <t>NEW</t>
        </is>
      </c>
      <c r="O32" s="14" t="inlineStr">
        <is>
          <t>فرصة استراتيجية رئيسية (موصى بالتقديم)</t>
        </is>
      </c>
      <c r="P32" s="22">
        <f>HYPERLINK("https://kuwaitalyawm.media.gov.kw/Online/ViewAdsHTML?id=171714&amp;no=1", "عرض المصدر")</f>
        <v/>
      </c>
    </row>
    <row r="33">
      <c r="A33" s="11" t="inlineStr">
        <is>
          <t>2027/2026/84</t>
        </is>
      </c>
      <c r="B33" s="11" t="inlineStr">
        <is>
          <t>معهد الكـويت للابحاث العلمية</t>
        </is>
      </c>
      <c r="C33" s="11" t="inlineStr">
        <is>
          <t>Eiman Ashkanani</t>
        </is>
      </c>
      <c r="D33"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3"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t>
        </is>
      </c>
      <c r="N33" s="21" t="inlineStr">
        <is>
          <t>NEW</t>
        </is>
      </c>
      <c r="O33" s="12" t="inlineStr">
        <is>
          <t>غير متوافقة مع اختصاصات KBM</t>
        </is>
      </c>
      <c r="P33" s="23">
        <f>HYPERLINK("https://kuwaitalyawm.media.gov.kw/Online/ViewAdsHTML?id=171717&amp;no=1", "عرض المصدر")</f>
        <v/>
      </c>
    </row>
    <row r="34">
      <c r="A34" s="13" t="inlineStr">
        <is>
          <t>2027/2026/86</t>
        </is>
      </c>
      <c r="B34" s="13" t="inlineStr">
        <is>
          <t>معهد الكـويت للابحاث العلمية</t>
        </is>
      </c>
      <c r="C34" s="13" t="inlineStr">
        <is>
          <t>Eiman Ashkanani</t>
        </is>
      </c>
      <c r="D34" s="13" t="inlineStr">
        <is>
          <t>ممارسة رقم 2027/2026/86: يعلن معهد الكويت للأبحـاث العلمية عن طـــرح ممارسة رقم 86-M-2026/2027 توريد جهاز تحليل الخصائص الباردة للنفط الخام والمنتجات البترولية، ويمكن الحصول على وثائق الممارسة من موقع المعهد التالي: -</t>
        </is>
      </c>
      <c r="E34" s="13" t="inlineStr">
        <is>
          <t>أعمال وتوريدات يعلن معهد الكويت للأبحـاث العلمية عن طـــرح ممارسة رقم 86-M-2026/2027 توريد جهاز تحليل الخصائص الباردة للنفط الخام والمنتجات البترولية، ويمكن الحصول على وثائق الممارسة من موقع المعهد التالي: - لصالح معهد الكـويت للابحاث العلمية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2026-09-27</t>
        </is>
      </c>
      <c r="K34" s="14" t="inlineStr">
        <is>
          <t>2026-10-13</t>
        </is>
      </c>
      <c r="L34" s="14" t="inlineStr">
        <is>
          <t>-</t>
        </is>
      </c>
      <c r="M34" s="14" t="inlineStr">
        <is>
          <t>75.0</t>
        </is>
      </c>
      <c r="N34" s="21" t="inlineStr">
        <is>
          <t>NEW</t>
        </is>
      </c>
      <c r="O34" s="14" t="inlineStr">
        <is>
          <t>غير متوافقة مع اختصاصات KBM</t>
        </is>
      </c>
      <c r="P34" s="22">
        <f>HYPERLINK("https://kuwaitalyawm.media.gov.kw/Online/ViewAdsHTML?id=171718&amp;no=1", "عرض المصدر")</f>
        <v/>
      </c>
    </row>
    <row r="35">
      <c r="A35" s="11" t="inlineStr">
        <is>
          <t>RFQ/1063554</t>
        </is>
      </c>
      <c r="B35" s="11" t="inlineStr">
        <is>
          <t>شركة البترول الوطنية الكويتية</t>
        </is>
      </c>
      <c r="C35" s="11" t="inlineStr">
        <is>
          <t>Abrar Al-Qallaf</t>
        </is>
      </c>
      <c r="D35" s="11" t="inlineStr">
        <is>
          <t>ممارسة رقم RFQ/1063554: توريد العوامل المساعدة لوحدة نزع الكبريت (OCR Catalyst for ARDS Unit-12 Tr-2 - MAB) - شركة البترول الوطنية الكويتية</t>
        </is>
      </c>
      <c r="E35" s="11" t="inlineStr">
        <is>
          <t>توريد مواد كيميائية وعوامل مساعدة تكريرية (Catalyst) لوحدة نزع الكبريت بمصفاة ميناء الأحمدي.</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2026-10-22</t>
        </is>
      </c>
      <c r="L35" s="12" t="inlineStr">
        <is>
          <t>50000.0</t>
        </is>
      </c>
      <c r="M35" s="12" t="inlineStr">
        <is>
          <t>500.0</t>
        </is>
      </c>
      <c r="N35" s="21" t="inlineStr">
        <is>
          <t>NEW</t>
        </is>
      </c>
      <c r="O35" s="12" t="inlineStr">
        <is>
          <t>غير متوافقة</t>
        </is>
      </c>
      <c r="P35" s="23">
        <f>HYPERLINK("https://kuwaitalyawm.media.gov.kw/Online/ViewAdsHTML?id=171724&amp;no=1", "عرض المصدر")</f>
        <v/>
      </c>
    </row>
    <row r="36">
      <c r="A36" s="13" t="inlineStr">
        <is>
          <t>RFQ/1063825</t>
        </is>
      </c>
      <c r="B36" s="13" t="inlineStr">
        <is>
          <t>شركة البترول الوطنية الكويتية</t>
        </is>
      </c>
      <c r="C36" s="13" t="inlineStr">
        <is>
          <t>Abrar Al-Qallaf</t>
        </is>
      </c>
      <c r="D36" s="13" t="inlineStr">
        <is>
          <t>ممارسة رقم RFQ/1063825: توريد قطع غيار أنظمة الاتصالات (Spares for the Telecommunication System - LBP) - شركة البترول الوطنية الكويتية</t>
        </is>
      </c>
      <c r="E36" s="13" t="inlineStr">
        <is>
          <t>توريد قطع غيار ومعدات شبكات الاتصالات وأنظمة التراسل السلكي واللاسلكي لمصفاة ميناء عبد الله (LBP).</t>
        </is>
      </c>
      <c r="F36" s="13" t="inlineStr">
        <is>
          <t>وفقاً لشروط وإجراءات المناقصات والتوريد لدى شركة البترول الوطنية الكويتية (KNPC) عبر منصة K-Tendering.</t>
        </is>
      </c>
      <c r="G36" s="24" t="inlineStr">
        <is>
          <t>قطاع العمليات المدارة والدعم الفني متعدد الموردين</t>
        </is>
      </c>
      <c r="H36" s="14" t="inlineStr">
        <is>
          <t>75.0%</t>
        </is>
      </c>
      <c r="I36" s="14" t="inlineStr">
        <is>
          <t>oil_and_gas</t>
        </is>
      </c>
      <c r="J36" s="14" t="inlineStr">
        <is>
          <t>2026-09-27</t>
        </is>
      </c>
      <c r="K36" s="14" t="inlineStr">
        <is>
          <t>2026-10-22</t>
        </is>
      </c>
      <c r="L36" s="14" t="inlineStr">
        <is>
          <t>1000.0</t>
        </is>
      </c>
      <c r="M36" s="14" t="inlineStr">
        <is>
          <t>-</t>
        </is>
      </c>
      <c r="N36" s="21" t="inlineStr">
        <is>
          <t>NEW</t>
        </is>
      </c>
      <c r="O36" s="14" t="inlineStr">
        <is>
          <t>موصى بالتقديم</t>
        </is>
      </c>
      <c r="P36" s="22">
        <f>HYPERLINK("https://kuwaitalyawm.media.gov.kw/Online/ViewAdsHTML?id=171725&amp;no=1", "عرض المصدر")</f>
        <v/>
      </c>
    </row>
    <row r="37">
      <c r="A37" s="11" t="inlineStr">
        <is>
          <t>RFQ/1064135</t>
        </is>
      </c>
      <c r="B37" s="11" t="inlineStr">
        <is>
          <t>شركة البترول الوطنية الكويتية</t>
        </is>
      </c>
      <c r="C37" s="11" t="inlineStr">
        <is>
          <t>Abrar Al-Qallaf</t>
        </is>
      </c>
      <c r="D37" s="11" t="inlineStr">
        <is>
          <t>ممارسة رقم RFQ/1064135: توريد مواد ومهمات تشغيلية لزوم شركة البترول الوطنية الكويتية - شركة البترول الوطنية الكويتية</t>
        </is>
      </c>
      <c r="E37" s="11" t="inlineStr">
        <is>
          <t>أعمال وتوريدات تخصصية لزوم شركة البترول الوطنية الكويتية حسب وثائق الممارسة رقم RFQ/1064135 عبر منصة K-Tendering.</t>
        </is>
      </c>
      <c r="F37" s="11" t="inlineStr">
        <is>
          <t>وفقاً لشروط وإجراءات المناقصات والتوريد لدى شركة البترول الوطنية الكويتية (KNPC) عبر منصة K-Tendering.</t>
        </is>
      </c>
      <c r="G37" s="12" t="inlineStr">
        <is>
          <t>عام</t>
        </is>
      </c>
      <c r="H37" s="12" t="inlineStr">
        <is>
          <t>15.0%</t>
        </is>
      </c>
      <c r="I37" s="12" t="inlineStr">
        <is>
          <t>oil_and_gas</t>
        </is>
      </c>
      <c r="J37" s="12" t="inlineStr">
        <is>
          <t>2026-09-27</t>
        </is>
      </c>
      <c r="K37" s="12" t="inlineStr">
        <is>
          <t>2026-10-22</t>
        </is>
      </c>
      <c r="L37" s="12" t="inlineStr">
        <is>
          <t>1000.0</t>
        </is>
      </c>
      <c r="M37" s="12" t="inlineStr">
        <is>
          <t>-</t>
        </is>
      </c>
      <c r="N37" s="21" t="inlineStr">
        <is>
          <t>NEW</t>
        </is>
      </c>
      <c r="O37" s="12" t="inlineStr">
        <is>
          <t>غير متوافقة</t>
        </is>
      </c>
      <c r="P37" s="23">
        <f>HYPERLINK("https://kuwaitalyawm.media.gov.kw/Online/ViewAdsHTML?id=171726&amp;no=1", "عرض المصدر")</f>
        <v/>
      </c>
    </row>
    <row r="38">
      <c r="A38" s="13" t="inlineStr">
        <is>
          <t>RFQ/1063478</t>
        </is>
      </c>
      <c r="B38" s="13" t="inlineStr">
        <is>
          <t>شركة البترول الوطنية الكويتية</t>
        </is>
      </c>
      <c r="C38" s="13" t="inlineStr">
        <is>
          <t>Abrar Al-Qallaf</t>
        </is>
      </c>
      <c r="D38" s="13" t="inlineStr">
        <is>
          <t>ممارسة رقم RFQ/1063478: توريد مواد ومهمات تشغيلية لزوم شركة البترول الوطنية الكويتية - شركة البترول الوطنية الكويتية</t>
        </is>
      </c>
      <c r="E38" s="13" t="inlineStr">
        <is>
          <t>أعمال وتوريدات تخصصية لزوم شركة البترول الوطنية الكويتية حسب وثائق الممارسة رقم RFQ/1063478 عبر منصة K-Tendering.</t>
        </is>
      </c>
      <c r="F38" s="13" t="inlineStr">
        <is>
          <t>وفقاً لشروط وإجراءات المناقصات والتوريد لدى شركة البترول الوطنية الكويتية (KNPC) عبر منصة K-Tendering.</t>
        </is>
      </c>
      <c r="G38" s="14" t="inlineStr">
        <is>
          <t>عام</t>
        </is>
      </c>
      <c r="H38" s="14" t="inlineStr">
        <is>
          <t>15.0%</t>
        </is>
      </c>
      <c r="I38" s="14" t="inlineStr">
        <is>
          <t>oil_and_gas</t>
        </is>
      </c>
      <c r="J38" s="14" t="inlineStr">
        <is>
          <t>2026-09-27</t>
        </is>
      </c>
      <c r="K38" s="14" t="inlineStr">
        <is>
          <t>2026-10-22</t>
        </is>
      </c>
      <c r="L38" s="14" t="inlineStr">
        <is>
          <t>1000.0</t>
        </is>
      </c>
      <c r="M38" s="14" t="inlineStr">
        <is>
          <t>-</t>
        </is>
      </c>
      <c r="N38" s="21" t="inlineStr">
        <is>
          <t>NEW</t>
        </is>
      </c>
      <c r="O38" s="14" t="inlineStr">
        <is>
          <t>غير متوافقة</t>
        </is>
      </c>
      <c r="P38" s="22">
        <f>HYPERLINK("https://kuwaitalyawm.media.gov.kw/Online/ViewAdsHTML?id=171727&amp;no=1", "عرض المصدر")</f>
        <v/>
      </c>
    </row>
    <row r="39">
      <c r="A39" s="11" t="inlineStr">
        <is>
          <t>CB/CPC/2564/CNSL</t>
        </is>
      </c>
      <c r="B39" s="11" t="inlineStr">
        <is>
          <t>شركة البترول الوطنية الكويتية</t>
        </is>
      </c>
      <c r="C39" s="11" t="inlineStr">
        <is>
          <t>Abrar Al-Qallaf</t>
        </is>
      </c>
      <c r="D39" s="11" t="inlineStr">
        <is>
          <t>ممارسة رقم CB/CPC/2564/CNSL: توريد مواد ومهمات تشغيلية لزوم شركة البترول الوطنية الكويتية - شركة البترول الوطنية الكويتية</t>
        </is>
      </c>
      <c r="E39" s="11" t="inlineStr">
        <is>
          <t>أعمال وتوريدات تخصصية لزوم شركة البترول الوطنية الكويتية حسب وثائق الممارسة رقم CB/CPC/2564/CNSL عبر منصة K-Tendering.</t>
        </is>
      </c>
      <c r="F39" s="11" t="inlineStr">
        <is>
          <t>وفقاً لشروط وإجراءات المناقصات والتوريد لدى شركة البترول الوطنية الكويتية (KNPC) عبر منصة K-Tendering.</t>
        </is>
      </c>
      <c r="G39" s="12" t="inlineStr">
        <is>
          <t>عام</t>
        </is>
      </c>
      <c r="H39" s="12" t="inlineStr">
        <is>
          <t>15.0%</t>
        </is>
      </c>
      <c r="I39" s="12" t="inlineStr">
        <is>
          <t>oil_and_gas</t>
        </is>
      </c>
      <c r="J39" s="12" t="inlineStr">
        <is>
          <t>2026-09-27</t>
        </is>
      </c>
      <c r="K39" s="12" t="inlineStr">
        <is>
          <t>-</t>
        </is>
      </c>
      <c r="L39" s="12" t="inlineStr">
        <is>
          <t>-</t>
        </is>
      </c>
      <c r="M39" s="12" t="inlineStr">
        <is>
          <t>-</t>
        </is>
      </c>
      <c r="N39" s="21" t="inlineStr">
        <is>
          <t>NEW</t>
        </is>
      </c>
      <c r="O39" s="12" t="inlineStr">
        <is>
          <t>غير متوافقة</t>
        </is>
      </c>
      <c r="P39" s="23">
        <f>HYPERLINK("https://kuwaitalyawm.media.gov.kw/Online/ViewAdsHTML?id=171728&amp;no=1", "عرض المصدر")</f>
        <v/>
      </c>
    </row>
    <row r="40">
      <c r="A40" s="13" t="inlineStr">
        <is>
          <t>RFQ/1063250</t>
        </is>
      </c>
      <c r="B40" s="13" t="inlineStr">
        <is>
          <t>شركة البترول الوطنية الكويتية</t>
        </is>
      </c>
      <c r="C40" s="13" t="inlineStr">
        <is>
          <t>Abrar Al-Qallaf</t>
        </is>
      </c>
      <c r="D40" s="13" t="inlineStr">
        <is>
          <t>ممارسة رقم RFQ/1063250: توريد مواد ومهمات تشغيلية لزوم شركة البترول الوطنية الكويتية - شركة البترول الوطنية الكويتية</t>
        </is>
      </c>
      <c r="E40" s="13" t="inlineStr">
        <is>
          <t>أعمال وتوريدات تخصصية لزوم شركة البترول الوطنية الكويتية حسب وثائق الممارسة رقم RFQ/1063250 عبر منصة K-Tendering.</t>
        </is>
      </c>
      <c r="F40" s="13" t="inlineStr">
        <is>
          <t>وفقاً لشروط وإجراءات المناقصات والتوريد لدى شركة البترول الوطنية الكويتية (KNPC) عبر منصة K-Tendering.</t>
        </is>
      </c>
      <c r="G40" s="14" t="inlineStr">
        <is>
          <t>عام</t>
        </is>
      </c>
      <c r="H40" s="14" t="inlineStr">
        <is>
          <t>15.0%</t>
        </is>
      </c>
      <c r="I40" s="14" t="inlineStr">
        <is>
          <t>oil_and_gas</t>
        </is>
      </c>
      <c r="J40" s="14" t="inlineStr">
        <is>
          <t>2026-09-27</t>
        </is>
      </c>
      <c r="K40" s="14" t="inlineStr">
        <is>
          <t>2026-10-15</t>
        </is>
      </c>
      <c r="L40" s="14" t="inlineStr">
        <is>
          <t>1000.0</t>
        </is>
      </c>
      <c r="M40" s="14" t="inlineStr">
        <is>
          <t>-</t>
        </is>
      </c>
      <c r="N40" s="21" t="inlineStr">
        <is>
          <t>NEW</t>
        </is>
      </c>
      <c r="O40" s="14" t="inlineStr">
        <is>
          <t>غير متوافقة</t>
        </is>
      </c>
      <c r="P40" s="22">
        <f>HYPERLINK("https://kuwaitalyawm.media.gov.kw/Online/ViewAdsHTML?id=171729&amp;no=1", "عرض المصدر")</f>
        <v/>
      </c>
    </row>
    <row r="41">
      <c r="A41" s="11" t="inlineStr">
        <is>
          <t>2027/2026/967</t>
        </is>
      </c>
      <c r="B41" s="11" t="inlineStr">
        <is>
          <t>وزارة الاعلام</t>
        </is>
      </c>
      <c r="C41" s="11" t="inlineStr">
        <is>
          <t>Eiman Ashkanani</t>
        </is>
      </c>
      <c r="D41" s="11" t="inlineStr">
        <is>
          <t>ممارسة رقم 2027/2026/967: ستقوم وزارة الإعلام بعقد اجتماع تمهيدي يوم الأحد الموافق 27/9/2026 في تمام الساعة الحادية عشر ظهراً بقاعة اجتماعات السيد/ مدير عام الإدارة العامة للخدمات الهندسية و المساندة / الوكيل المساعد للشؤون الهندسية (سابقا) الدور الأرضي - مبنى الإذاعة -مجمع الإعلام - شارع السور ، وذلك للرد على الاستفسارات المقدمة بشأن الممارسة ، ويجوز لكل من قام بشراء وثائق الممارسة حضور الاجتماع بشخصه أو من يمثله ، ويعتبر كل ما يدون بمحضر الاجتماع جزءاً لا يتجزأ من وثائق الممارسة ، ويسرى في مواجهة مقدمي العطاءات ، وستقوم الوزارة بتعميم الاسئلة والاستفسارات والردود عليها بعد اعتمادها على جميع الممارسين قبل موعد اقفال العطاءات .</t>
        </is>
      </c>
      <c r="E41" s="11" t="inlineStr">
        <is>
          <t>أعمال وتوريدات ستقوم وزارة الإعلام بعقد اجتماع تمهيدي يوم الأحد الموافق 27/9/2026 في تمام الساعة الحادية عشر ظهراً بقاعة اجتماعات السيد/ مدير عام الإدارة العامة للخدمات الهندسية و المساندة / الوكيل المساعد للشؤون الهندسية (سابقا) الدور الأرضي - مبنى الإذاعة -مجمع الإعلام - شارع السور ، وذلك للرد على الاستفسارات المقدمة بشأن الممارسة ، ويجوز لكل من قام بشراء وثائق الممارسة حضور الاجتماع بشخصه أو من يمثله ، ويعتبر كل ما يدون بمحضر الاجتماع جزءاً لا يتجزأ من وثائق الممارسة ، ويسرى في مواجهة مقدمي العطاءات ، وستقوم الوزارة بتعميم الاسئلة والاستفسارات والردود عليها بعد اعتمادها على جميع الممارسين قبل موعد اقفال العطاءات . لصالح وزارة الاعلام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2026-09-20</t>
        </is>
      </c>
      <c r="K41" s="18" t="inlineStr">
        <is>
          <t>2026-10-08</t>
        </is>
      </c>
      <c r="L41" s="12" t="inlineStr">
        <is>
          <t>-</t>
        </is>
      </c>
      <c r="M41" s="12" t="inlineStr">
        <is>
          <t>50.0</t>
        </is>
      </c>
      <c r="N41" s="21" t="inlineStr">
        <is>
          <t>NEW</t>
        </is>
      </c>
      <c r="O41" s="12" t="inlineStr">
        <is>
          <t>غير متوافقة مع اختصاصات KBM</t>
        </is>
      </c>
      <c r="P41" s="23">
        <f>HYPERLINK("https://kuwaitalyawm.media.gov.kw/Online/ViewAdsHTML?id=170599&amp;no=1", "عرض المصدر")</f>
        <v/>
      </c>
    </row>
    <row r="42">
      <c r="A42" s="13" t="inlineStr">
        <is>
          <t>2027/2026/19</t>
        </is>
      </c>
      <c r="B42" s="13" t="inlineStr">
        <is>
          <t>وزارة الأوقاف والشئون الإسلامية</t>
        </is>
      </c>
      <c r="C42" s="13" t="inlineStr">
        <is>
          <t>Eiman Ashkanani</t>
        </is>
      </c>
      <c r="D42" s="13" t="inlineStr">
        <is>
          <t>ممارسة رقم 2027/2026/19: بتقديم خدمات إنترنت وخطوط اتصال لاسلكية للمواقع</t>
        </is>
      </c>
      <c r="E42" s="13" t="inlineStr">
        <is>
          <t>أعمال وتوريدات بتقديم خدمات إنترنت وخطوط اتصال لاسلكية للمواقع لصالح وزارة الأوقاف والشئون الإسلامية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2026-09-20</t>
        </is>
      </c>
      <c r="K42" s="18" t="inlineStr">
        <is>
          <t>2026-10-11</t>
        </is>
      </c>
      <c r="L42" s="14" t="inlineStr">
        <is>
          <t>600.0</t>
        </is>
      </c>
      <c r="M42" s="14" t="inlineStr">
        <is>
          <t>75.0</t>
        </is>
      </c>
      <c r="N42" s="21" t="inlineStr">
        <is>
          <t>NEW</t>
        </is>
      </c>
      <c r="O42" s="14" t="inlineStr">
        <is>
          <t>غير متوافقة مع اختصاصات KBM</t>
        </is>
      </c>
      <c r="P42" s="22">
        <f>HYPERLINK("https://kuwaitalyawm.media.gov.kw/Online/ViewAdsHTML?id=170600&amp;no=1", "عرض المصدر")</f>
        <v/>
      </c>
    </row>
    <row r="43">
      <c r="A43" s="11" t="inlineStr">
        <is>
          <t>2027/2026/20</t>
        </is>
      </c>
      <c r="B43" s="11" t="inlineStr">
        <is>
          <t>وزارة الداخلية</t>
        </is>
      </c>
      <c r="C43" s="11" t="inlineStr">
        <is>
          <t>Khaled Alabdallah</t>
        </is>
      </c>
      <c r="D43" s="11" t="inlineStr">
        <is>
          <t>مناقصة رقم 2027/2026/20: صيانة وإصلاح وتدريب وتوريد قطع الغيار لعدد (8) أبراج كندور وسيميوليتر وتوريد وضمان وتركيب وتشغيل وصيانة وتدريب للمنظار المستقل للقائد (CIV) لأبراج مدرعات الكندور لزوم الإدارة العامة لقوات الأمن الخاصة – للإدارة العامة للإمداد والتموين</t>
        </is>
      </c>
      <c r="E43" s="11" t="inlineStr">
        <is>
          <t>توفير خدمات الحراسة والأمن والسلامة للمباني والمنشآت وتأمين المداخل وتوفير الكوادر الأمنية المدربة.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قطاع العمليات المدارة والدعم الفني متعدد الموردين</t>
        </is>
      </c>
      <c r="H43" s="12" t="inlineStr">
        <is>
          <t>64.0%</t>
        </is>
      </c>
      <c r="I43" s="12" t="inlineStr">
        <is>
          <t>government</t>
        </is>
      </c>
      <c r="J43" s="12" t="inlineStr">
        <is>
          <t>2026-09-06</t>
        </is>
      </c>
      <c r="K43" s="18" t="inlineStr">
        <is>
          <t>2026-10-07</t>
        </is>
      </c>
      <c r="L43" s="12" t="inlineStr">
        <is>
          <t>700.0</t>
        </is>
      </c>
      <c r="M43" s="12" t="inlineStr">
        <is>
          <t>75.0</t>
        </is>
      </c>
      <c r="N43" s="21" t="inlineStr">
        <is>
          <t>NEW</t>
        </is>
      </c>
      <c r="O43" s="12" t="inlineStr">
        <is>
          <t>فرصة ICT متوافقة مع قدرات KBM</t>
        </is>
      </c>
      <c r="P43" s="23">
        <f>HYPERLINK("https://kuwaitalyawm.media.gov.kw/Online/ViewAdsHTML?id=170601&amp;no=1", "عرض المصدر")</f>
        <v/>
      </c>
    </row>
    <row r="44">
      <c r="A44" s="13" t="inlineStr">
        <is>
          <t>241410119341260</t>
        </is>
      </c>
      <c r="B44" s="13" t="inlineStr">
        <is>
          <t>وزارة الدفاع</t>
        </is>
      </c>
      <c r="C44" s="13" t="inlineStr">
        <is>
          <t>Eiman Ashkanani</t>
        </is>
      </c>
      <c r="D44" s="13" t="inlineStr">
        <is>
          <t>ممارسة رقم 241410119341260: تأثيث من خارج دليل الشراء</t>
        </is>
      </c>
      <c r="E44" s="13" t="inlineStr">
        <is>
          <t>أعمال وتوريدات تأثيث من خارج دليل الشراء لصالح وزارة الدفاع وفقاً للشروط والمواصفات المعتمدة في وثائق الطرح.</t>
        </is>
      </c>
      <c r="F44" s="13" t="inlineStr">
        <is>
          <t>• 1. تقديم كتاب تفويض من الشركة بشراء الوثائق .
• 2. أن تكون الشركة متخصصة في هذا المجال ومصنفة لدى مراقبة تصنيف الشركات بالوزارة لسنة 2026 .
• 3. أن تقدم الشركة شهادة دعم العمالة الوطنية لدى الشركات الغير حكومية .
• 4. سداد الرسوم المقررة لشراء وثائق الممارسة عن طريق الKent .
• 5. جميع التكاليف المترتبة على المشاركة في هذه الممارسة تقع على الممارسين المشاركين كما تحتفظ وزارة لدفاع بحقها بإلغاء أو تعديل أو الاستمرار في هذه الممارسة دون أدنى مسئولية تجاه الوزارة .
• للاستفسار: هاتف : 1844411 – 60395 .</t>
        </is>
      </c>
      <c r="G44" s="14" t="inlineStr">
        <is>
          <t>عام</t>
        </is>
      </c>
      <c r="H44" s="14" t="inlineStr">
        <is>
          <t>15.0%</t>
        </is>
      </c>
      <c r="I44" s="14" t="inlineStr">
        <is>
          <t>government</t>
        </is>
      </c>
      <c r="J44" s="14" t="inlineStr">
        <is>
          <t>2026-09-20</t>
        </is>
      </c>
      <c r="K44" s="18" t="inlineStr">
        <is>
          <t>2026-10-08</t>
        </is>
      </c>
      <c r="L44" s="14" t="inlineStr">
        <is>
          <t>2.0</t>
        </is>
      </c>
      <c r="M44" s="14" t="inlineStr">
        <is>
          <t>75.0</t>
        </is>
      </c>
      <c r="N44" s="21" t="inlineStr">
        <is>
          <t>NEW</t>
        </is>
      </c>
      <c r="O44" s="14" t="inlineStr">
        <is>
          <t>غير متوافقة مع اختصاصات KBM</t>
        </is>
      </c>
      <c r="P44" s="22">
        <f>HYPERLINK("https://kuwaitalyawm.media.gov.kw/Online/ViewAdsHTML?id=170976&amp;no=1", "عرض المصدر")</f>
        <v/>
      </c>
    </row>
    <row r="45">
      <c r="A45" s="11" t="inlineStr">
        <is>
          <t>2414/105/19973/26</t>
        </is>
      </c>
      <c r="B45" s="11" t="inlineStr">
        <is>
          <t>وزارة الدفاع</t>
        </is>
      </c>
      <c r="C45" s="11" t="inlineStr">
        <is>
          <t>Eiman Ashkanani</t>
        </is>
      </c>
      <c r="D45" s="11" t="inlineStr">
        <is>
          <t>ممارسة رقم 2414/105/19973/26: طلب شراء مفروشات لزوم / وزارة الدفاع</t>
        </is>
      </c>
      <c r="E45" s="11" t="inlineStr">
        <is>
          <t>أعمال وتوريدات طلب شراء مفروشات لزوم / وزارة الدفاع لصالح وزارة الدفاع وفقاً للشروط والمواصفات المعتمدة في وثائق الطرح.</t>
        </is>
      </c>
      <c r="F45"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5" s="12" t="inlineStr">
        <is>
          <t>عام</t>
        </is>
      </c>
      <c r="H45" s="12" t="inlineStr">
        <is>
          <t>15.0%</t>
        </is>
      </c>
      <c r="I45" s="12" t="inlineStr">
        <is>
          <t>government</t>
        </is>
      </c>
      <c r="J45" s="12" t="inlineStr">
        <is>
          <t>2026-09-20</t>
        </is>
      </c>
      <c r="K45" s="12" t="inlineStr">
        <is>
          <t>2026-10-15</t>
        </is>
      </c>
      <c r="L45" s="12" t="inlineStr">
        <is>
          <t>2.0</t>
        </is>
      </c>
      <c r="M45" s="12" t="inlineStr">
        <is>
          <t>-</t>
        </is>
      </c>
      <c r="N45" s="21" t="inlineStr">
        <is>
          <t>NEW</t>
        </is>
      </c>
      <c r="O45" s="12" t="inlineStr">
        <is>
          <t>غير متوافقة مع اختصاصات KBM</t>
        </is>
      </c>
      <c r="P45" s="23">
        <f>HYPERLINK("https://kuwaitalyawm.media.gov.kw/Online/ViewAdsHTML?id=170977&amp;no=1", "عرض المصدر")</f>
        <v/>
      </c>
    </row>
    <row r="46">
      <c r="A46" s="13" t="inlineStr">
        <is>
          <t>16-5</t>
        </is>
      </c>
      <c r="B46" s="13" t="inlineStr">
        <is>
          <t>وزارة الصحة</t>
        </is>
      </c>
      <c r="C46" s="13" t="inlineStr">
        <is>
          <t>Jana Al-Obaid</t>
        </is>
      </c>
      <c r="D46" s="13" t="inlineStr">
        <is>
          <t>ممارسة رقم 16-5 - وزارة الصحة</t>
        </is>
      </c>
      <c r="E46" s="13" t="inlineStr">
        <is>
          <t>أعمال وتوريدات ممارسة رقم 16-5 لصالح وزارة الصحة وفقاً للشروط والمواصفات المعتمدة في وثائق الطرح.</t>
        </is>
      </c>
      <c r="F46"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6" s="14" t="inlineStr">
        <is>
          <t>عام</t>
        </is>
      </c>
      <c r="H46" s="14" t="inlineStr">
        <is>
          <t>15.0%</t>
        </is>
      </c>
      <c r="I46" s="14" t="inlineStr">
        <is>
          <t>government</t>
        </is>
      </c>
      <c r="J46" s="14" t="inlineStr">
        <is>
          <t>2026-09-20</t>
        </is>
      </c>
      <c r="K46" s="14" t="inlineStr">
        <is>
          <t>2026-10-14</t>
        </is>
      </c>
      <c r="L46" s="14" t="inlineStr">
        <is>
          <t>-</t>
        </is>
      </c>
      <c r="M46" s="14" t="inlineStr">
        <is>
          <t>300.0</t>
        </is>
      </c>
      <c r="N46" s="21" t="inlineStr">
        <is>
          <t>NEW</t>
        </is>
      </c>
      <c r="O46" s="14" t="inlineStr">
        <is>
          <t>غير متوافقة مع اختصاصات KBM</t>
        </is>
      </c>
      <c r="P46" s="22">
        <f>HYPERLINK("https://kuwaitalyawm.media.gov.kw/Online/ViewAdsHTML?id=170980&amp;no=1", "عرض المصدر")</f>
        <v/>
      </c>
    </row>
    <row r="47">
      <c r="A47" s="11" t="inlineStr">
        <is>
          <t>370-278</t>
        </is>
      </c>
      <c r="B47" s="11" t="inlineStr">
        <is>
          <t>وزارة الصحة</t>
        </is>
      </c>
      <c r="C47" s="11" t="inlineStr">
        <is>
          <t>Jana Al-Obaid</t>
        </is>
      </c>
      <c r="D47" s="11" t="inlineStr">
        <is>
          <t>ممارسة رقم 370-278 - وزارة الصحة</t>
        </is>
      </c>
      <c r="E47" s="11" t="inlineStr">
        <is>
          <t>أعمال وتوريدات ممارسة رقم 370-278 لصالح وزارة الصحة وفقاً للشروط والمواصفات المعتمدة في وثائق الطرح.</t>
        </is>
      </c>
      <c r="F47"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47" s="12" t="inlineStr">
        <is>
          <t>قطاع الأمن السيبراني والدفاع الرقمي</t>
        </is>
      </c>
      <c r="H47" s="12" t="inlineStr">
        <is>
          <t>47.0%</t>
        </is>
      </c>
      <c r="I47" s="12" t="inlineStr">
        <is>
          <t>government</t>
        </is>
      </c>
      <c r="J47" s="12" t="inlineStr">
        <is>
          <t>2026-09-20</t>
        </is>
      </c>
      <c r="K47" s="18" t="inlineStr">
        <is>
          <t>2026-10-12</t>
        </is>
      </c>
      <c r="L47" s="12" t="inlineStr">
        <is>
          <t>-</t>
        </is>
      </c>
      <c r="M47" s="12" t="inlineStr">
        <is>
          <t>75.0</t>
        </is>
      </c>
      <c r="N47" s="21" t="inlineStr">
        <is>
          <t>NEW</t>
        </is>
      </c>
      <c r="O47" s="12" t="inlineStr">
        <is>
          <t>فرصة تتطلب شراكة أو دراسة نطاق</t>
        </is>
      </c>
      <c r="P47" s="23">
        <f>HYPERLINK("https://kuwaitalyawm.media.gov.kw/Online/ViewAdsHTML?id=170981&amp;no=1", "عرض المصدر")</f>
        <v/>
      </c>
    </row>
    <row r="48">
      <c r="A48" s="13" t="inlineStr">
        <is>
          <t>223-396</t>
        </is>
      </c>
      <c r="B48" s="13" t="inlineStr">
        <is>
          <t>وزارة الصحة</t>
        </is>
      </c>
      <c r="C48" s="13" t="inlineStr">
        <is>
          <t>Jana Al-Obaid</t>
        </is>
      </c>
      <c r="D48" s="13" t="inlineStr">
        <is>
          <t>ممارسة رقم 223-396 - وزارة الصحة</t>
        </is>
      </c>
      <c r="E48" s="13" t="inlineStr">
        <is>
          <t>أعمال وتوريدات ممارسة رقم 223-396 لصالح وزارة الصحة وفقاً للشروط والمواصفات المعتمدة في وثائق الطرح.</t>
        </is>
      </c>
      <c r="F48"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48" s="14" t="inlineStr">
        <is>
          <t>عام</t>
        </is>
      </c>
      <c r="H48" s="14" t="inlineStr">
        <is>
          <t>15.0%</t>
        </is>
      </c>
      <c r="I48" s="14" t="inlineStr">
        <is>
          <t>government</t>
        </is>
      </c>
      <c r="J48" s="14" t="inlineStr">
        <is>
          <t>2026-09-20</t>
        </is>
      </c>
      <c r="K48" s="18" t="inlineStr">
        <is>
          <t>2026-10-12</t>
        </is>
      </c>
      <c r="L48" s="14" t="inlineStr">
        <is>
          <t>-</t>
        </is>
      </c>
      <c r="M48" s="14" t="inlineStr">
        <is>
          <t>75.0</t>
        </is>
      </c>
      <c r="N48" s="21" t="inlineStr">
        <is>
          <t>NEW</t>
        </is>
      </c>
      <c r="O48" s="14" t="inlineStr">
        <is>
          <t>غير متوافقة مع اختصاصات KBM</t>
        </is>
      </c>
      <c r="P48" s="22">
        <f>HYPERLINK("https://kuwaitalyawm.media.gov.kw/Online/ViewAdsHTML?id=170982&amp;no=1", "عرض المصدر")</f>
        <v/>
      </c>
    </row>
    <row r="49">
      <c r="A49" s="11" t="inlineStr">
        <is>
          <t>294-293</t>
        </is>
      </c>
      <c r="B49" s="11" t="inlineStr">
        <is>
          <t>وزارة الصحة</t>
        </is>
      </c>
      <c r="C49" s="11" t="inlineStr">
        <is>
          <t>Jana Al-Obaid</t>
        </is>
      </c>
      <c r="D49" s="11" t="inlineStr">
        <is>
          <t>ممارسة رقم 294-293 - وزارة الصحة</t>
        </is>
      </c>
      <c r="E49" s="11" t="inlineStr">
        <is>
          <t>أعمال وتوريدات ممارسة رقم 294-293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government</t>
        </is>
      </c>
      <c r="J49" s="12" t="inlineStr">
        <is>
          <t>2026-09-20</t>
        </is>
      </c>
      <c r="K49" s="12" t="inlineStr">
        <is>
          <t>2026-10-21</t>
        </is>
      </c>
      <c r="L49" s="12" t="inlineStr">
        <is>
          <t>-</t>
        </is>
      </c>
      <c r="M49" s="12" t="inlineStr">
        <is>
          <t>75.0</t>
        </is>
      </c>
      <c r="N49" s="21" t="inlineStr">
        <is>
          <t>NEW</t>
        </is>
      </c>
      <c r="O49" s="12" t="inlineStr">
        <is>
          <t>غير متوافقة مع اختصاصات KBM</t>
        </is>
      </c>
      <c r="P49" s="23">
        <f>HYPERLINK("https://kuwaitalyawm.media.gov.kw/Online/ViewAdsHTML?id=170983&amp;no=1", "عرض المصدر")</f>
        <v/>
      </c>
    </row>
    <row r="50">
      <c r="A50" s="13" t="inlineStr">
        <is>
          <t>115-214</t>
        </is>
      </c>
      <c r="B50" s="13" t="inlineStr">
        <is>
          <t>وزارة الصحة</t>
        </is>
      </c>
      <c r="C50" s="13" t="inlineStr">
        <is>
          <t>Jana Al-Obaid</t>
        </is>
      </c>
      <c r="D50" s="13" t="inlineStr">
        <is>
          <t>ممارسة رقم 115-214 - وزارة الصحة</t>
        </is>
      </c>
      <c r="E50" s="13" t="inlineStr">
        <is>
          <t>أعمال وتوريدات ممارسة رقم 115-214 لصالح وزارة الصحة وفقاً للشروط والمواصفات المعتمدة في وثائق الطرح.</t>
        </is>
      </c>
      <c r="F50"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50" s="14" t="inlineStr">
        <is>
          <t>عام</t>
        </is>
      </c>
      <c r="H50" s="14" t="inlineStr">
        <is>
          <t>15.0%</t>
        </is>
      </c>
      <c r="I50" s="14" t="inlineStr">
        <is>
          <t>government</t>
        </is>
      </c>
      <c r="J50" s="14" t="inlineStr">
        <is>
          <t>2026-09-20</t>
        </is>
      </c>
      <c r="K50" s="18" t="inlineStr">
        <is>
          <t>2026-10-12</t>
        </is>
      </c>
      <c r="L50" s="14" t="inlineStr">
        <is>
          <t>-</t>
        </is>
      </c>
      <c r="M50" s="14" t="inlineStr">
        <is>
          <t>75.0</t>
        </is>
      </c>
      <c r="N50" s="21" t="inlineStr">
        <is>
          <t>NEW</t>
        </is>
      </c>
      <c r="O50" s="14" t="inlineStr">
        <is>
          <t>غير متوافقة مع اختصاصات KBM</t>
        </is>
      </c>
      <c r="P50" s="22">
        <f>HYPERLINK("https://kuwaitalyawm.media.gov.kw/Online/ViewAdsHTML?id=170984&amp;no=1", "عرض المصدر")</f>
        <v/>
      </c>
    </row>
    <row r="51">
      <c r="A51" s="11" t="inlineStr">
        <is>
          <t>331-16</t>
        </is>
      </c>
      <c r="B51" s="11" t="inlineStr">
        <is>
          <t>وزارة الصحة</t>
        </is>
      </c>
      <c r="C51" s="11" t="inlineStr">
        <is>
          <t>Jana Al-Obaid</t>
        </is>
      </c>
      <c r="D51" s="11" t="inlineStr">
        <is>
          <t>ممارسة رقم 331-16 - وزارة الصحة</t>
        </is>
      </c>
      <c r="E51" s="11" t="inlineStr">
        <is>
          <t>أعمال وتوريدات ممارسة رقم 331-16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government</t>
        </is>
      </c>
      <c r="J51" s="12" t="inlineStr">
        <is>
          <t>2026-09-20</t>
        </is>
      </c>
      <c r="K51" s="18" t="inlineStr">
        <is>
          <t>2026-10-12</t>
        </is>
      </c>
      <c r="L51" s="12" t="inlineStr">
        <is>
          <t>-</t>
        </is>
      </c>
      <c r="M51" s="12" t="inlineStr">
        <is>
          <t>75.0</t>
        </is>
      </c>
      <c r="N51" s="21" t="inlineStr">
        <is>
          <t>NEW</t>
        </is>
      </c>
      <c r="O51" s="12" t="inlineStr">
        <is>
          <t>غير متوافقة مع اختصاصات KBM</t>
        </is>
      </c>
      <c r="P51" s="23">
        <f>HYPERLINK("https://kuwaitalyawm.media.gov.kw/Online/ViewAdsHTML?id=170985&amp;no=1", "عرض المصدر")</f>
        <v/>
      </c>
    </row>
    <row r="52">
      <c r="A52" s="13" t="inlineStr">
        <is>
          <t>221-127</t>
        </is>
      </c>
      <c r="B52" s="13" t="inlineStr">
        <is>
          <t>وزارة الصحة</t>
        </is>
      </c>
      <c r="C52" s="13" t="inlineStr">
        <is>
          <t>Jana Al-Obaid</t>
        </is>
      </c>
      <c r="D52" s="13" t="inlineStr">
        <is>
          <t>ممارسة رقم 221-127 - وزارة الصحة</t>
        </is>
      </c>
      <c r="E52" s="13" t="inlineStr">
        <is>
          <t>أعمال وتوريدات ممارسة رقم 221-127 لصالح وزارة الصحة وفقاً للشروط والمواصفات المعتمدة في وثائق الطرح.</t>
        </is>
      </c>
      <c r="F52" s="13" t="inlineStr">
        <is>
          <t>• الشركة المحلية يجب أن تكون مسجلة لدى إدارة المستودعات الطبية بسجل الموردين
• الشركة المحلية يجب أن تكون متخصصة في المجال الطبي وموثق بشهادة معتمدة من غرفة التجارة والصناعة
• عند تقديم عرضين يجب شراء كراستين بوصلين مختلفين
•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تقديم عينات للمواد الجديدة سواءً كان منتج جديد يطلب لأول مرة أو من شركة مصنعة جديدة للمراقبة المختصة ( الأدوية – اللوازم الطبية)
• ارفاق شهادة نسبة دعم العمالة الوطنية
• يمكن الحصول على وثائق الممارسات في الموقع الإلكتروني الخاص بوزارة الصحة
• يمكن دفع رسوم شراء الكراسة من الموقع الإلكتروني لإرفاقه مع وثائق الممارسة
• تقديم عروض الأسعار بظرف مقفل شامل مع وثائق الممارسة حسب تاريخ الإقفال المحدد في الموقع الإلكتروني الخاص بوزارة الصحة</t>
        </is>
      </c>
      <c r="G52" s="14" t="inlineStr">
        <is>
          <t>عام</t>
        </is>
      </c>
      <c r="H52" s="14" t="inlineStr">
        <is>
          <t>0.0%</t>
        </is>
      </c>
      <c r="I52" s="14" t="inlineStr">
        <is>
          <t>government</t>
        </is>
      </c>
      <c r="J52" s="14" t="inlineStr">
        <is>
          <t>2026-09-20</t>
        </is>
      </c>
      <c r="K52" s="18" t="inlineStr">
        <is>
          <t>2026-10-05</t>
        </is>
      </c>
      <c r="L52" s="14" t="inlineStr">
        <is>
          <t>-</t>
        </is>
      </c>
      <c r="M52" s="14" t="inlineStr">
        <is>
          <t>1000.0</t>
        </is>
      </c>
      <c r="N52" s="21" t="inlineStr">
        <is>
          <t>NEW</t>
        </is>
      </c>
      <c r="O52" s="14" t="inlineStr">
        <is>
          <t>غير متوافقة مع اختصاصات KBM</t>
        </is>
      </c>
      <c r="P52" s="22">
        <f>HYPERLINK("https://kuwaitalyawm.media.gov.kw/Online/ViewAdsHTML?id=170986&amp;no=1", "عرض المصدر")</f>
        <v/>
      </c>
    </row>
    <row r="53">
      <c r="A53" s="11" t="inlineStr">
        <is>
          <t>41-40</t>
        </is>
      </c>
      <c r="B53" s="11" t="inlineStr">
        <is>
          <t>وزارة الصحة</t>
        </is>
      </c>
      <c r="C53" s="11" t="inlineStr">
        <is>
          <t>Jana Al-Obaid</t>
        </is>
      </c>
      <c r="D53" s="11" t="inlineStr">
        <is>
          <t>ممارسة رقم 41-40 - وزارة الصحة</t>
        </is>
      </c>
      <c r="E53" s="11" t="inlineStr">
        <is>
          <t>أعمال وتوريدات ممارسة رقم 41-40 لصالح وزارة الصحة وفقاً للشروط والمواصفات المعتمدة في وثائق الطرح.</t>
        </is>
      </c>
      <c r="F5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3" s="12" t="inlineStr">
        <is>
          <t>عام</t>
        </is>
      </c>
      <c r="H53" s="12" t="inlineStr">
        <is>
          <t>0.0%</t>
        </is>
      </c>
      <c r="I53" s="12" t="inlineStr">
        <is>
          <t>government</t>
        </is>
      </c>
      <c r="J53" s="12" t="inlineStr">
        <is>
          <t>2026-09-20</t>
        </is>
      </c>
      <c r="K53" s="18" t="inlineStr">
        <is>
          <t>2026-10-05</t>
        </is>
      </c>
      <c r="L53" s="12" t="inlineStr">
        <is>
          <t>-</t>
        </is>
      </c>
      <c r="M53" s="12" t="inlineStr">
        <is>
          <t>300.0</t>
        </is>
      </c>
      <c r="N53" s="21" t="inlineStr">
        <is>
          <t>NEW</t>
        </is>
      </c>
      <c r="O53" s="12" t="inlineStr">
        <is>
          <t>غير متوافقة مع اختصاصات KBM</t>
        </is>
      </c>
      <c r="P53" s="23">
        <f>HYPERLINK("https://kuwaitalyawm.media.gov.kw/Online/ViewAdsHTML?id=170987&amp;no=1", "عرض المصدر")</f>
        <v/>
      </c>
    </row>
    <row r="54">
      <c r="A54" s="13" t="inlineStr">
        <is>
          <t>61-16</t>
        </is>
      </c>
      <c r="B54" s="13" t="inlineStr">
        <is>
          <t>وزارة الصحة</t>
        </is>
      </c>
      <c r="C54" s="13" t="inlineStr">
        <is>
          <t>Jana Al-Obaid</t>
        </is>
      </c>
      <c r="D54" s="13" t="inlineStr">
        <is>
          <t>ممارسة رقم 61-16 - وزارة الصحة</t>
        </is>
      </c>
      <c r="E54" s="13" t="inlineStr">
        <is>
          <t>أعمال وتوريدات ممارسة رقم 61-16 لصالح وزارة الصحة وفقاً للشروط والمواصفات المعتمدة في وثائق الطرح.</t>
        </is>
      </c>
      <c r="F54"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4" s="14" t="inlineStr">
        <is>
          <t>عام</t>
        </is>
      </c>
      <c r="H54" s="14" t="inlineStr">
        <is>
          <t>0.0%</t>
        </is>
      </c>
      <c r="I54" s="14" t="inlineStr">
        <is>
          <t>government</t>
        </is>
      </c>
      <c r="J54" s="14" t="inlineStr">
        <is>
          <t>2026-09-20</t>
        </is>
      </c>
      <c r="K54" s="14" t="inlineStr">
        <is>
          <t>2026-10-21</t>
        </is>
      </c>
      <c r="L54" s="14" t="inlineStr">
        <is>
          <t>-</t>
        </is>
      </c>
      <c r="M54" s="14" t="inlineStr">
        <is>
          <t>75.0</t>
        </is>
      </c>
      <c r="N54" s="21" t="inlineStr">
        <is>
          <t>NEW</t>
        </is>
      </c>
      <c r="O54" s="14" t="inlineStr">
        <is>
          <t>غير متوافقة مع اختصاصات KBM</t>
        </is>
      </c>
      <c r="P54" s="22">
        <f>HYPERLINK("https://kuwaitalyawm.media.gov.kw/Online/ViewAdsHTML?id=170988&amp;no=1", "عرض المصدر")</f>
        <v/>
      </c>
    </row>
    <row r="55">
      <c r="A55" s="11" t="inlineStr">
        <is>
          <t>41-15</t>
        </is>
      </c>
      <c r="B55" s="11" t="inlineStr">
        <is>
          <t>وزارة الصحة</t>
        </is>
      </c>
      <c r="C55" s="11" t="inlineStr">
        <is>
          <t>Jana Al-Obaid</t>
        </is>
      </c>
      <c r="D55" s="11" t="inlineStr">
        <is>
          <t>ممارسة رقم 41-15 - وزارة الصحة</t>
        </is>
      </c>
      <c r="E55" s="11" t="inlineStr">
        <is>
          <t>أعمال وتوريدات ممارسة رقم 41-15 لصالح وزارة الصحة وفقاً للشروط والمواصفات المعتمدة في وثائق الطرح.</t>
        </is>
      </c>
      <c r="F5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5" s="12" t="inlineStr">
        <is>
          <t>عام</t>
        </is>
      </c>
      <c r="H55" s="12" t="inlineStr">
        <is>
          <t>0.0%</t>
        </is>
      </c>
      <c r="I55" s="12" t="inlineStr">
        <is>
          <t>government</t>
        </is>
      </c>
      <c r="J55" s="12" t="inlineStr">
        <is>
          <t>2026-09-20</t>
        </is>
      </c>
      <c r="K55" s="18" t="inlineStr">
        <is>
          <t>2026-10-07</t>
        </is>
      </c>
      <c r="L55" s="12" t="inlineStr">
        <is>
          <t>-</t>
        </is>
      </c>
      <c r="M55" s="12" t="inlineStr">
        <is>
          <t>75.0</t>
        </is>
      </c>
      <c r="N55" s="21" t="inlineStr">
        <is>
          <t>NEW</t>
        </is>
      </c>
      <c r="O55" s="12" t="inlineStr">
        <is>
          <t>غير متوافقة مع اختصاصات KBM</t>
        </is>
      </c>
      <c r="P55" s="23">
        <f>HYPERLINK("https://kuwaitalyawm.media.gov.kw/Online/ViewAdsHTML?id=170989&amp;no=1", "عرض المصدر")</f>
        <v/>
      </c>
    </row>
    <row r="56">
      <c r="A56" s="13" t="inlineStr">
        <is>
          <t>4-6</t>
        </is>
      </c>
      <c r="B56" s="13" t="inlineStr">
        <is>
          <t>وزارة الصحة</t>
        </is>
      </c>
      <c r="C56" s="13" t="inlineStr">
        <is>
          <t>Jana Al-Obaid</t>
        </is>
      </c>
      <c r="D56" s="13" t="inlineStr">
        <is>
          <t>ممارسة رقم 4-6 - وزارة الصحة</t>
        </is>
      </c>
      <c r="E56" s="13" t="inlineStr">
        <is>
          <t>أعمال وتوريدات ممارسة رقم 4-6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government</t>
        </is>
      </c>
      <c r="J56" s="14" t="inlineStr">
        <is>
          <t>2026-09-20</t>
        </is>
      </c>
      <c r="K56" s="14" t="inlineStr">
        <is>
          <t>2026-10-14</t>
        </is>
      </c>
      <c r="L56" s="14" t="inlineStr">
        <is>
          <t>-</t>
        </is>
      </c>
      <c r="M56" s="14" t="inlineStr">
        <is>
          <t>75.0</t>
        </is>
      </c>
      <c r="N56" s="21" t="inlineStr">
        <is>
          <t>NEW</t>
        </is>
      </c>
      <c r="O56" s="14" t="inlineStr">
        <is>
          <t>غير متوافقة مع اختصاصات KBM</t>
        </is>
      </c>
      <c r="P56" s="22">
        <f>HYPERLINK("https://kuwaitalyawm.media.gov.kw/Online/ViewAdsHTML?id=170990&amp;no=1", "عرض المصدر")</f>
        <v/>
      </c>
    </row>
    <row r="57">
      <c r="A57" s="11" t="inlineStr">
        <is>
          <t>2027/2026/72</t>
        </is>
      </c>
      <c r="B57" s="11" t="inlineStr">
        <is>
          <t>وزارة الصحة</t>
        </is>
      </c>
      <c r="C57" s="11" t="inlineStr">
        <is>
          <t>Jana Al-Obaid</t>
        </is>
      </c>
      <c r="D5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2026-09-20</t>
        </is>
      </c>
      <c r="K57" s="12" t="inlineStr">
        <is>
          <t>-</t>
        </is>
      </c>
      <c r="L57" s="12" t="inlineStr">
        <is>
          <t>-</t>
        </is>
      </c>
      <c r="M57" s="12" t="inlineStr">
        <is>
          <t>-</t>
        </is>
      </c>
      <c r="N57" s="21" t="inlineStr">
        <is>
          <t>NEW</t>
        </is>
      </c>
      <c r="O57" s="12" t="inlineStr">
        <is>
          <t>غير متوافقة مع اختصاصات KBM</t>
        </is>
      </c>
      <c r="P57" s="23">
        <f>HYPERLINK("https://kuwaitalyawm.media.gov.kw/Online/ViewAdsHTML?id=170991&amp;no=1", "عرض المصدر")</f>
        <v/>
      </c>
    </row>
    <row r="58">
      <c r="A58" s="13" t="inlineStr">
        <is>
          <t>2026/2025/10/2</t>
        </is>
      </c>
      <c r="B58" s="13" t="inlineStr">
        <is>
          <t>وزارة الأشغال العامة</t>
        </is>
      </c>
      <c r="C58" s="13" t="inlineStr">
        <is>
          <t>Eiman Ashkanani</t>
        </is>
      </c>
      <c r="D58" s="13" t="inlineStr">
        <is>
          <t>ممارسة رقم 2026/2025/10/2: تشغيل وصيانة كاميرات مراقبة أمنية لمواقع وزارة الأشغال العامة</t>
        </is>
      </c>
      <c r="E58" s="13" t="inlineStr">
        <is>
          <t>تنفيذ أعمال تشغيل وصيانة كاميرات مراقبة أمنية لمواقع وزارة الأشغال العامة،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الأمن السيبراني والدفاع الرقمي</t>
        </is>
      </c>
      <c r="H58" s="14" t="inlineStr">
        <is>
          <t>72.0%</t>
        </is>
      </c>
      <c r="I58" s="14" t="inlineStr">
        <is>
          <t>government</t>
        </is>
      </c>
      <c r="J58" s="14" t="inlineStr">
        <is>
          <t>2026-09-13</t>
        </is>
      </c>
      <c r="K58" s="14" t="inlineStr">
        <is>
          <t>2026-09-20</t>
        </is>
      </c>
      <c r="L58" s="14" t="inlineStr">
        <is>
          <t>-</t>
        </is>
      </c>
      <c r="M58" s="14" t="inlineStr">
        <is>
          <t>125.0</t>
        </is>
      </c>
      <c r="N58" s="21" t="inlineStr">
        <is>
          <t>NEW</t>
        </is>
      </c>
      <c r="O58" s="14" t="inlineStr">
        <is>
          <t>فرصة ICT متوافقة مع قدرات KBM</t>
        </is>
      </c>
      <c r="P58" s="22">
        <f>HYPERLINK("https://kuwaitalyawm.media.gov.kw/Online/ViewAdsHTML?id=169481&amp;no=1", "عرض المصدر")</f>
        <v/>
      </c>
    </row>
    <row r="59">
      <c r="A59" s="11" t="inlineStr">
        <is>
          <t>126-320</t>
        </is>
      </c>
      <c r="B59" s="11" t="inlineStr">
        <is>
          <t>وزارة الصحة</t>
        </is>
      </c>
      <c r="C59" s="11" t="inlineStr">
        <is>
          <t>Jana Al-Obaid</t>
        </is>
      </c>
      <c r="D59" s="11" t="inlineStr">
        <is>
          <t>ممارسة رقم 126-320 - وزارة الصحة</t>
        </is>
      </c>
      <c r="E59" s="11" t="inlineStr">
        <is>
          <t>أعمال وتوريدات ممارسة رقم 126-320 لصالح وزارة الصحة وفقاً للشروط والمواصفات المعتمدة في وثائق الطرح.</t>
        </is>
      </c>
      <c r="F5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9" s="12" t="inlineStr">
        <is>
          <t>عام</t>
        </is>
      </c>
      <c r="H59" s="12" t="inlineStr">
        <is>
          <t>15.0%</t>
        </is>
      </c>
      <c r="I59" s="12" t="inlineStr">
        <is>
          <t>government</t>
        </is>
      </c>
      <c r="J59" s="12" t="inlineStr">
        <is>
          <t>2026-09-13</t>
        </is>
      </c>
      <c r="K59" s="12" t="inlineStr">
        <is>
          <t>2026-10-14</t>
        </is>
      </c>
      <c r="L59" s="12" t="inlineStr">
        <is>
          <t>-</t>
        </is>
      </c>
      <c r="M59" s="12" t="inlineStr">
        <is>
          <t>75.0</t>
        </is>
      </c>
      <c r="N59" s="21" t="inlineStr">
        <is>
          <t>NEW</t>
        </is>
      </c>
      <c r="O59" s="12" t="inlineStr">
        <is>
          <t>غير متوافقة مع اختصاصات KBM</t>
        </is>
      </c>
      <c r="P59" s="23">
        <f>HYPERLINK("https://kuwaitalyawm.media.gov.kw/Online/ViewAdsHTML?id=169860&amp;no=1", "عرض المصدر")</f>
        <v/>
      </c>
    </row>
    <row r="60">
      <c r="A60" s="13" t="inlineStr">
        <is>
          <t>703-280</t>
        </is>
      </c>
      <c r="B60" s="13" t="inlineStr">
        <is>
          <t>وزارة الصحة</t>
        </is>
      </c>
      <c r="C60" s="13" t="inlineStr">
        <is>
          <t>Jana Al-Obaid</t>
        </is>
      </c>
      <c r="D60" s="13" t="inlineStr">
        <is>
          <t>ممارسة رقم 703-280 - وزارة الصحة</t>
        </is>
      </c>
      <c r="E60" s="13" t="inlineStr">
        <is>
          <t>أعمال وتوريدات ممارسة رقم 703-280 لصالح وزارة الصحة وفقاً للشروط والمواصفات المعتمدة في وثائق الطرح.</t>
        </is>
      </c>
      <c r="F6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60" s="14" t="inlineStr">
        <is>
          <t>عام</t>
        </is>
      </c>
      <c r="H60" s="14" t="inlineStr">
        <is>
          <t>15.0%</t>
        </is>
      </c>
      <c r="I60" s="14" t="inlineStr">
        <is>
          <t>government</t>
        </is>
      </c>
      <c r="J60" s="14" t="inlineStr">
        <is>
          <t>2026-09-13</t>
        </is>
      </c>
      <c r="K60" s="14" t="inlineStr">
        <is>
          <t>2026-10-14</t>
        </is>
      </c>
      <c r="L60" s="14" t="inlineStr">
        <is>
          <t>-</t>
        </is>
      </c>
      <c r="M60" s="14" t="inlineStr">
        <is>
          <t>75.0</t>
        </is>
      </c>
      <c r="N60" s="21" t="inlineStr">
        <is>
          <t>NEW</t>
        </is>
      </c>
      <c r="O60" s="14" t="inlineStr">
        <is>
          <t>غير متوافقة مع اختصاصات KBM</t>
        </is>
      </c>
      <c r="P60" s="22">
        <f>HYPERLINK("https://kuwaitalyawm.media.gov.kw/Online/ViewAdsHTML?id=169861&amp;no=1", "عرض المصدر")</f>
        <v/>
      </c>
    </row>
    <row r="61">
      <c r="A61" s="11" t="inlineStr">
        <is>
          <t>5-3</t>
        </is>
      </c>
      <c r="B61" s="11" t="inlineStr">
        <is>
          <t>وزارة الصحة</t>
        </is>
      </c>
      <c r="C61" s="11" t="inlineStr">
        <is>
          <t>Jana Al-Obaid</t>
        </is>
      </c>
      <c r="D61" s="11" t="inlineStr">
        <is>
          <t>ممارسة رقم 5-3 - وزارة الصحة</t>
        </is>
      </c>
      <c r="E61" s="11" t="inlineStr">
        <is>
          <t>أعمال وتوريدات ممارسة رقم 5-3 لصالح وزارة الصحة وفقاً للشروط والمواصفات المعتمدة في وثائق الطرح.</t>
        </is>
      </c>
      <c r="F6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61" s="12" t="inlineStr">
        <is>
          <t>عام</t>
        </is>
      </c>
      <c r="H61" s="12" t="inlineStr">
        <is>
          <t>0.0%</t>
        </is>
      </c>
      <c r="I61" s="12" t="inlineStr">
        <is>
          <t>government</t>
        </is>
      </c>
      <c r="J61" s="12" t="inlineStr">
        <is>
          <t>2026-09-13</t>
        </is>
      </c>
      <c r="K61" s="18" t="inlineStr">
        <is>
          <t>2026-10-12</t>
        </is>
      </c>
      <c r="L61" s="12" t="inlineStr">
        <is>
          <t>-</t>
        </is>
      </c>
      <c r="M61" s="12" t="inlineStr">
        <is>
          <t>75.0</t>
        </is>
      </c>
      <c r="N61" s="21" t="inlineStr">
        <is>
          <t>NEW</t>
        </is>
      </c>
      <c r="O61" s="12" t="inlineStr">
        <is>
          <t>غير متوافقة مع اختصاصات KBM</t>
        </is>
      </c>
      <c r="P61" s="23">
        <f>HYPERLINK("https://kuwaitalyawm.media.gov.kw/Online/ViewAdsHTML?id=169862&amp;no=1", "عرض المصدر")</f>
        <v/>
      </c>
    </row>
    <row r="62">
      <c r="A62" s="13" t="inlineStr">
        <is>
          <t>13-4</t>
        </is>
      </c>
      <c r="B62" s="13" t="inlineStr">
        <is>
          <t>وزارة الصحة</t>
        </is>
      </c>
      <c r="C62" s="13" t="inlineStr">
        <is>
          <t>Jana Al-Obaid</t>
        </is>
      </c>
      <c r="D62" s="13" t="inlineStr">
        <is>
          <t>ممارسة رقم 13-4 - وزارة الصحة</t>
        </is>
      </c>
      <c r="E62" s="13" t="inlineStr">
        <is>
          <t>أعمال وتوريدات ممارسة رقم 13-4 لصالح وزارة الصحة وفقاً للشروط والمواصفات المعتمدة في وثائق الطرح.</t>
        </is>
      </c>
      <c r="F6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62" s="14" t="inlineStr">
        <is>
          <t>عام</t>
        </is>
      </c>
      <c r="H62" s="14" t="inlineStr">
        <is>
          <t>15.0%</t>
        </is>
      </c>
      <c r="I62" s="14" t="inlineStr">
        <is>
          <t>government</t>
        </is>
      </c>
      <c r="J62" s="14" t="inlineStr">
        <is>
          <t>2026-09-13</t>
        </is>
      </c>
      <c r="K62" s="18" t="inlineStr">
        <is>
          <t>2026-10-05</t>
        </is>
      </c>
      <c r="L62" s="14" t="inlineStr">
        <is>
          <t>-</t>
        </is>
      </c>
      <c r="M62" s="14" t="inlineStr">
        <is>
          <t>75.0</t>
        </is>
      </c>
      <c r="N62" s="21" t="inlineStr">
        <is>
          <t>NEW</t>
        </is>
      </c>
      <c r="O62" s="14" t="inlineStr">
        <is>
          <t>غير متوافقة مع اختصاصات KBM</t>
        </is>
      </c>
      <c r="P62" s="22">
        <f>HYPERLINK("https://kuwaitalyawm.media.gov.kw/Online/ViewAdsHTML?id=169863&amp;no=1", "عرض المصدر")</f>
        <v/>
      </c>
    </row>
    <row r="63">
      <c r="A63" s="11" t="inlineStr">
        <is>
          <t>1-5</t>
        </is>
      </c>
      <c r="B63" s="11" t="inlineStr">
        <is>
          <t>وزارة الصحة</t>
        </is>
      </c>
      <c r="C63" s="11" t="inlineStr">
        <is>
          <t>Jana Al-Obaid</t>
        </is>
      </c>
      <c r="D63" s="11" t="inlineStr">
        <is>
          <t>ممارسة رقم 1-5 - وزارة الصحة</t>
        </is>
      </c>
      <c r="E63" s="11" t="inlineStr">
        <is>
          <t>أعمال وتوريدات ممارسة رقم 1-5 لصالح وزارة الصحة وفقاً للشروط والمواصفات المعتمدة في وثائق الطرح.</t>
        </is>
      </c>
      <c r="F6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63" s="12" t="inlineStr">
        <is>
          <t>عام</t>
        </is>
      </c>
      <c r="H63" s="12" t="inlineStr">
        <is>
          <t>15.0%</t>
        </is>
      </c>
      <c r="I63" s="12" t="inlineStr">
        <is>
          <t>government</t>
        </is>
      </c>
      <c r="J63" s="12" t="inlineStr">
        <is>
          <t>2026-09-13</t>
        </is>
      </c>
      <c r="K63" s="18" t="inlineStr">
        <is>
          <t>2026-10-07</t>
        </is>
      </c>
      <c r="L63" s="12" t="inlineStr">
        <is>
          <t>-</t>
        </is>
      </c>
      <c r="M63" s="12" t="inlineStr">
        <is>
          <t>75.0</t>
        </is>
      </c>
      <c r="N63" s="21" t="inlineStr">
        <is>
          <t>NEW</t>
        </is>
      </c>
      <c r="O63" s="12" t="inlineStr">
        <is>
          <t>غير متوافقة مع اختصاصات KBM</t>
        </is>
      </c>
      <c r="P63" s="23">
        <f>HYPERLINK("https://kuwaitalyawm.media.gov.kw/Online/ViewAdsHTML?id=169864&amp;no=1", "عرض المصدر")</f>
        <v/>
      </c>
    </row>
    <row r="64">
      <c r="A64" s="13" t="inlineStr">
        <is>
          <t>1-8</t>
        </is>
      </c>
      <c r="B64" s="13" t="inlineStr">
        <is>
          <t>وزارة الصحة</t>
        </is>
      </c>
      <c r="C64" s="13" t="inlineStr">
        <is>
          <t>Jana Al-Obaid</t>
        </is>
      </c>
      <c r="D64" s="13" t="inlineStr">
        <is>
          <t>ممارسة رقم 1-8 - وزارة الصحة</t>
        </is>
      </c>
      <c r="E64" s="13" t="inlineStr">
        <is>
          <t>أعمال وتوريدات ممارسة رقم 1-8 لصالح وزارة الصحة وفقاً للشروط والمواصفات المعتمدة في وثائق الطرح.</t>
        </is>
      </c>
      <c r="F64"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64" s="14" t="inlineStr">
        <is>
          <t>عام</t>
        </is>
      </c>
      <c r="H64" s="14" t="inlineStr">
        <is>
          <t>15.0%</t>
        </is>
      </c>
      <c r="I64" s="14" t="inlineStr">
        <is>
          <t>government</t>
        </is>
      </c>
      <c r="J64" s="14" t="inlineStr">
        <is>
          <t>2026-09-13</t>
        </is>
      </c>
      <c r="K64" s="14" t="inlineStr">
        <is>
          <t>2026-09-21</t>
        </is>
      </c>
      <c r="L64" s="14" t="inlineStr">
        <is>
          <t>-</t>
        </is>
      </c>
      <c r="M64" s="14" t="inlineStr">
        <is>
          <t>75.0</t>
        </is>
      </c>
      <c r="N64" s="21" t="inlineStr">
        <is>
          <t>NEW</t>
        </is>
      </c>
      <c r="O64" s="14" t="inlineStr">
        <is>
          <t>غير متوافقة مع اختصاصات KBM</t>
        </is>
      </c>
      <c r="P64" s="22">
        <f>HYPERLINK("https://kuwaitalyawm.media.gov.kw/Online/ViewAdsHTML?id=169865&amp;no=1", "عرض المصدر")</f>
        <v/>
      </c>
    </row>
    <row r="65">
      <c r="A65" s="11" t="inlineStr">
        <is>
          <t>274-20</t>
        </is>
      </c>
      <c r="B65" s="11" t="inlineStr">
        <is>
          <t>وزارة الصحة</t>
        </is>
      </c>
      <c r="C65" s="11" t="inlineStr">
        <is>
          <t>Jana Al-Obaid</t>
        </is>
      </c>
      <c r="D65" s="11" t="inlineStr">
        <is>
          <t>ممارسة رقم 274-20 - وزارة الصحة</t>
        </is>
      </c>
      <c r="E65" s="11" t="inlineStr">
        <is>
          <t>أعمال وتوريدات ممارسة رقم 274-20 لصالح وزارة الصحة وفقاً للشروط والمواصفات المعتمدة في وثائق الطرح.</t>
        </is>
      </c>
      <c r="F6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65" s="12" t="inlineStr">
        <is>
          <t>عام</t>
        </is>
      </c>
      <c r="H65" s="12" t="inlineStr">
        <is>
          <t>0.0%</t>
        </is>
      </c>
      <c r="I65" s="12" t="inlineStr">
        <is>
          <t>government</t>
        </is>
      </c>
      <c r="J65" s="12" t="inlineStr">
        <is>
          <t>2026-09-13</t>
        </is>
      </c>
      <c r="K65" s="12" t="inlineStr">
        <is>
          <t>2026-09-28</t>
        </is>
      </c>
      <c r="L65" s="12" t="inlineStr">
        <is>
          <t>-</t>
        </is>
      </c>
      <c r="M65" s="12" t="inlineStr">
        <is>
          <t>1000.0</t>
        </is>
      </c>
      <c r="N65" s="21" t="inlineStr">
        <is>
          <t>NEW</t>
        </is>
      </c>
      <c r="O65" s="12" t="inlineStr">
        <is>
          <t>غير متوافقة مع اختصاصات KBM</t>
        </is>
      </c>
      <c r="P65" s="23">
        <f>HYPERLINK("https://kuwaitalyawm.media.gov.kw/Online/ViewAdsHTML?id=169866&amp;no=1", "عرض المصدر")</f>
        <v/>
      </c>
    </row>
    <row r="66">
      <c r="A66" s="13" t="inlineStr">
        <is>
          <t>334-331</t>
        </is>
      </c>
      <c r="B66" s="13" t="inlineStr">
        <is>
          <t>وزارة الصحة</t>
        </is>
      </c>
      <c r="C66" s="13" t="inlineStr">
        <is>
          <t>Jana Al-Obaid</t>
        </is>
      </c>
      <c r="D66" s="13" t="inlineStr">
        <is>
          <t>ممارسة رقم 334-331 - وزارة الصحة</t>
        </is>
      </c>
      <c r="E66" s="13" t="inlineStr">
        <is>
          <t>أعمال وتوريدات ممارسة رقم 334-331 لصالح وزارة الصحة وفقاً للشروط والمواصفات المعتمدة في وثائق الطرح.</t>
        </is>
      </c>
      <c r="F6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66" s="14" t="inlineStr">
        <is>
          <t>عام</t>
        </is>
      </c>
      <c r="H66" s="14" t="inlineStr">
        <is>
          <t>0.0%</t>
        </is>
      </c>
      <c r="I66" s="14" t="inlineStr">
        <is>
          <t>government</t>
        </is>
      </c>
      <c r="J66" s="14" t="inlineStr">
        <is>
          <t>2026-09-13</t>
        </is>
      </c>
      <c r="K66" s="14" t="inlineStr">
        <is>
          <t>2026-10-14</t>
        </is>
      </c>
      <c r="L66" s="14" t="inlineStr">
        <is>
          <t>-</t>
        </is>
      </c>
      <c r="M66" s="14" t="inlineStr">
        <is>
          <t>75.0</t>
        </is>
      </c>
      <c r="N66" s="21" t="inlineStr">
        <is>
          <t>NEW</t>
        </is>
      </c>
      <c r="O66" s="14" t="inlineStr">
        <is>
          <t>غير متوافقة مع اختصاصات KBM</t>
        </is>
      </c>
      <c r="P66" s="22">
        <f>HYPERLINK("https://kuwaitalyawm.media.gov.kw/Online/ViewAdsHTML?id=169867&amp;no=1", "عرض المصدر")</f>
        <v/>
      </c>
    </row>
    <row r="67">
      <c r="A67" s="11" t="inlineStr">
        <is>
          <t>2026/2</t>
        </is>
      </c>
      <c r="B67" s="11" t="inlineStr">
        <is>
          <t>وزارة الأوقاف والشئون الإسلامية</t>
        </is>
      </c>
      <c r="C67" s="11" t="inlineStr">
        <is>
          <t>Eiman Ashkanani</t>
        </is>
      </c>
      <c r="D67" s="11" t="inlineStr">
        <is>
          <t>مناقصة رقم 2026/2: الخاصة بأعمال توريد وتركيب سجاد ولباد للمساجد التابعة</t>
        </is>
      </c>
      <c r="E6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15.0%</t>
        </is>
      </c>
      <c r="I67" s="12" t="inlineStr">
        <is>
          <t>government</t>
        </is>
      </c>
      <c r="J67" s="12" t="inlineStr">
        <is>
          <t>2026-09-27</t>
        </is>
      </c>
      <c r="K67" s="12" t="inlineStr">
        <is>
          <t>2026-10-15</t>
        </is>
      </c>
      <c r="L67" s="12" t="inlineStr">
        <is>
          <t>500.0</t>
        </is>
      </c>
      <c r="M67" s="12" t="inlineStr">
        <is>
          <t>500.0</t>
        </is>
      </c>
      <c r="N67" s="21" t="inlineStr">
        <is>
          <t>NEW</t>
        </is>
      </c>
      <c r="O67" s="12" t="inlineStr">
        <is>
          <t>غير متوافقة مع اختصاصات KBM</t>
        </is>
      </c>
      <c r="P67" s="23">
        <f>HYPERLINK("https://kuwaitalyawm.media.gov.kw/Online/ViewAdsHTML?id=171071&amp;no=1", "عرض المصدر")</f>
        <v/>
      </c>
    </row>
    <row r="68">
      <c r="A68" s="13" t="inlineStr">
        <is>
          <t>2027/2026/1443</t>
        </is>
      </c>
      <c r="B68" s="13" t="inlineStr">
        <is>
          <t>المؤسسة العامة للرعاية السكنية</t>
        </is>
      </c>
      <c r="C68" s="13" t="inlineStr">
        <is>
          <t>Eiman Ashkanani</t>
        </is>
      </c>
      <c r="D68" s="13" t="inlineStr">
        <is>
          <t>مناقصة رقم 2027/2026/1443 - المؤسسة العامة للرعاية السكنية</t>
        </is>
      </c>
      <c r="E68" s="13" t="inlineStr">
        <is>
          <t>أعمال وتوريدات مناقصة رقم 2027/2026/1443 لصالح المؤسسة العامة للرعاية السكنية وفقاً للشروط والمواصفات المعتمدة في وثائق الطرح.</t>
        </is>
      </c>
      <c r="F6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68" s="14" t="inlineStr">
        <is>
          <t>عام</t>
        </is>
      </c>
      <c r="H68" s="14" t="inlineStr">
        <is>
          <t>28.0%</t>
        </is>
      </c>
      <c r="I68" s="14" t="inlineStr">
        <is>
          <t>government</t>
        </is>
      </c>
      <c r="J68" s="14" t="inlineStr">
        <is>
          <t>2026-08-30</t>
        </is>
      </c>
      <c r="K68" s="14" t="inlineStr">
        <is>
          <t>2026-09-30</t>
        </is>
      </c>
      <c r="L68" s="14" t="inlineStr">
        <is>
          <t>500000.0</t>
        </is>
      </c>
      <c r="M68" s="14" t="inlineStr">
        <is>
          <t>3500.0</t>
        </is>
      </c>
      <c r="N68" s="21" t="inlineStr">
        <is>
          <t>NEW</t>
        </is>
      </c>
      <c r="O68" s="14" t="inlineStr">
        <is>
          <t>غير متوافقة مع اختصاصات KBM</t>
        </is>
      </c>
      <c r="P68" s="22">
        <f>HYPERLINK("https://kuwaitalyawm.media.gov.kw/Online/ViewAdsHTML?id=171709&amp;no=1", "عرض المصدر")</f>
        <v/>
      </c>
    </row>
    <row r="69">
      <c r="A69" s="11" t="inlineStr">
        <is>
          <t>2027/2026/1444</t>
        </is>
      </c>
      <c r="B69" s="11" t="inlineStr">
        <is>
          <t>المؤسسة العامة للرعاية السكنية</t>
        </is>
      </c>
      <c r="C69" s="11" t="inlineStr">
        <is>
          <t>Eiman Ashkanani</t>
        </is>
      </c>
      <c r="D69" s="11" t="inlineStr">
        <is>
          <t>مناقصة رقم 2027/2026/1444 - المؤسسة العامة للرعاية السكنية</t>
        </is>
      </c>
      <c r="E69" s="11" t="inlineStr">
        <is>
          <t>أعمال وتوريدات مناقصة رقم 2027/2026/1444 لصالح المؤسسة العامة للرعاية السكنية وفقاً للشروط والمواصفات المعتمدة في وثائق الطرح.</t>
        </is>
      </c>
      <c r="F6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69" s="12" t="inlineStr">
        <is>
          <t>عام</t>
        </is>
      </c>
      <c r="H69" s="12" t="inlineStr">
        <is>
          <t>28.0%</t>
        </is>
      </c>
      <c r="I69" s="12" t="inlineStr">
        <is>
          <t>government</t>
        </is>
      </c>
      <c r="J69" s="12" t="inlineStr">
        <is>
          <t>2026-08-30</t>
        </is>
      </c>
      <c r="K69" s="12" t="inlineStr">
        <is>
          <t>2026-09-30</t>
        </is>
      </c>
      <c r="L69" s="12" t="inlineStr">
        <is>
          <t>500000.0</t>
        </is>
      </c>
      <c r="M69" s="12" t="inlineStr">
        <is>
          <t>3500.0</t>
        </is>
      </c>
      <c r="N69" s="21" t="inlineStr">
        <is>
          <t>NEW</t>
        </is>
      </c>
      <c r="O69" s="12" t="inlineStr">
        <is>
          <t>غير متوافقة مع اختصاصات KBM</t>
        </is>
      </c>
      <c r="P69" s="23">
        <f>HYPERLINK("https://kuwaitalyawm.media.gov.kw/Online/ViewAdsHTML?id=171710&amp;no=1", "عرض المصدر")</f>
        <v/>
      </c>
    </row>
    <row r="70">
      <c r="A70" s="13" t="inlineStr">
        <is>
          <t>26/27-11</t>
        </is>
      </c>
      <c r="B70" s="13" t="inlineStr">
        <is>
          <t>الشركة الكويتية لتزويد الطائرات بالوقود</t>
        </is>
      </c>
      <c r="C70" s="13" t="inlineStr">
        <is>
          <t>Eiman Ashkanani</t>
        </is>
      </c>
      <c r="D70" s="13" t="inlineStr">
        <is>
          <t>مناقصة رقم 26/27-11 - الشركة الكويتية لتزويد الطائرات بالوقود</t>
        </is>
      </c>
      <c r="E7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2026-09-27</t>
        </is>
      </c>
      <c r="K70" s="14" t="inlineStr">
        <is>
          <t>-</t>
        </is>
      </c>
      <c r="L70" s="14" t="inlineStr">
        <is>
          <t>37400.0</t>
        </is>
      </c>
      <c r="M70" s="14" t="inlineStr">
        <is>
          <t>-</t>
        </is>
      </c>
      <c r="N70" s="21" t="inlineStr">
        <is>
          <t>NEW</t>
        </is>
      </c>
      <c r="O70" s="14" t="inlineStr">
        <is>
          <t>غير متوافقة مع اختصاصات KBM</t>
        </is>
      </c>
      <c r="P70" s="22">
        <f>HYPERLINK("https://kuwaitalyawm.media.gov.kw/Online/ViewAdsHTML?id=171719&amp;no=1", "عرض المصدر")</f>
        <v/>
      </c>
    </row>
    <row r="71">
      <c r="A71" s="11" t="inlineStr">
        <is>
          <t>25/26-38</t>
        </is>
      </c>
      <c r="B71" s="11" t="inlineStr">
        <is>
          <t>الشركة الكويتية لتزويد الطائرات بالوقود</t>
        </is>
      </c>
      <c r="C71" s="11" t="inlineStr">
        <is>
          <t>Eiman Ashkanani</t>
        </is>
      </c>
      <c r="D71" s="11" t="inlineStr">
        <is>
          <t>مناقصة رقم 25/26/38: تاريخ الاجتماع التمهيدي واخر موعد لشراء وثائق المناقصة</t>
        </is>
      </c>
      <c r="E7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0.0%</t>
        </is>
      </c>
      <c r="I71" s="12" t="inlineStr">
        <is>
          <t>government</t>
        </is>
      </c>
      <c r="J71" s="12" t="inlineStr">
        <is>
          <t>2026-08-30</t>
        </is>
      </c>
      <c r="K71" s="12" t="inlineStr">
        <is>
          <t>2026-08-30</t>
        </is>
      </c>
      <c r="L71" s="12" t="inlineStr">
        <is>
          <t>1000.0</t>
        </is>
      </c>
      <c r="M71" s="12" t="inlineStr">
        <is>
          <t>100.0</t>
        </is>
      </c>
      <c r="N71" s="21" t="inlineStr">
        <is>
          <t>NEW</t>
        </is>
      </c>
      <c r="O71" s="12" t="inlineStr">
        <is>
          <t>غير متوافقة مع اختصاصات KBM</t>
        </is>
      </c>
      <c r="P71" s="23">
        <f>HYPERLINK("https://kuwaitalyawm.media.gov.kw/Online/ViewAdsHTML?id=171720&amp;no=1", "عرض المصدر")</f>
        <v/>
      </c>
    </row>
    <row r="72">
      <c r="A72" s="13" t="inlineStr">
        <is>
          <t>23/24-30</t>
        </is>
      </c>
      <c r="B72" s="13" t="inlineStr">
        <is>
          <t>الشركة الكويتية لتزويد الطائرات بالوقود</t>
        </is>
      </c>
      <c r="C72" s="13" t="inlineStr">
        <is>
          <t>Eiman Ashkanani</t>
        </is>
      </c>
      <c r="D7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7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2026-09-13</t>
        </is>
      </c>
      <c r="K72" s="14" t="inlineStr">
        <is>
          <t>2026-10-13</t>
        </is>
      </c>
      <c r="L72" s="14" t="inlineStr">
        <is>
          <t>-</t>
        </is>
      </c>
      <c r="M72" s="14" t="inlineStr">
        <is>
          <t>-</t>
        </is>
      </c>
      <c r="N72" s="21" t="inlineStr">
        <is>
          <t>NEW</t>
        </is>
      </c>
      <c r="O72" s="14" t="inlineStr">
        <is>
          <t>غير متوافقة مع اختصاصات KBM</t>
        </is>
      </c>
      <c r="P72" s="22">
        <f>HYPERLINK("https://kuwaitalyawm.media.gov.kw/Online/ViewAdsHTML?id=171721&amp;no=1", "عرض المصدر")</f>
        <v/>
      </c>
    </row>
    <row r="73">
      <c r="A73" s="11" t="inlineStr">
        <is>
          <t>26/25/33</t>
        </is>
      </c>
      <c r="B73" s="11" t="inlineStr">
        <is>
          <t>الشركة الكويتية لتزويد الطائرات بالوقود</t>
        </is>
      </c>
      <c r="C73" s="11" t="inlineStr">
        <is>
          <t>Eiman Ashkanani</t>
        </is>
      </c>
      <c r="D7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7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2026-09-27</t>
        </is>
      </c>
      <c r="K73" s="12" t="inlineStr">
        <is>
          <t>2026-09-22</t>
        </is>
      </c>
      <c r="L73" s="12" t="inlineStr">
        <is>
          <t>-</t>
        </is>
      </c>
      <c r="M73" s="12" t="inlineStr">
        <is>
          <t>-</t>
        </is>
      </c>
      <c r="N73" s="21" t="inlineStr">
        <is>
          <t>NEW</t>
        </is>
      </c>
      <c r="O73" s="12" t="inlineStr">
        <is>
          <t>غير متوافقة مع اختصاصات KBM</t>
        </is>
      </c>
      <c r="P73" s="23">
        <f>HYPERLINK("https://kuwaitalyawm.media.gov.kw/Online/ViewAdsHTML?id=171722&amp;no=1", "عرض المصدر")</f>
        <v/>
      </c>
    </row>
    <row r="74">
      <c r="A74" s="13" t="inlineStr">
        <is>
          <t>PR 901782</t>
        </is>
      </c>
      <c r="B74" s="13" t="inlineStr">
        <is>
          <t>شركة البترول الكويتية العالمية</t>
        </is>
      </c>
      <c r="C74" s="13" t="inlineStr">
        <is>
          <t>Eiman Ashkanani</t>
        </is>
      </c>
      <c r="D74" s="13" t="inlineStr">
        <is>
          <t>مناقصة رقم PR 901782 - شركة البترول الكويتية العالمية</t>
        </is>
      </c>
      <c r="E74" s="13" t="inlineStr">
        <is>
          <t>أعمال وتوريدات مناقصة رقم PR 901782 لصالح شركة البترول الكويتية العالمية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28.0%</t>
        </is>
      </c>
      <c r="I74" s="14" t="inlineStr">
        <is>
          <t>government</t>
        </is>
      </c>
      <c r="J74" s="14" t="inlineStr">
        <is>
          <t>2026-09-27</t>
        </is>
      </c>
      <c r="K74" s="14" t="inlineStr">
        <is>
          <t>2026-10-27</t>
        </is>
      </c>
      <c r="L74" s="14" t="inlineStr">
        <is>
          <t>15000.0</t>
        </is>
      </c>
      <c r="M74" s="14" t="inlineStr">
        <is>
          <t>-</t>
        </is>
      </c>
      <c r="N74" s="21" t="inlineStr">
        <is>
          <t>NEW</t>
        </is>
      </c>
      <c r="O74" s="14" t="inlineStr">
        <is>
          <t>غير متوافقة مع اختصاصات KBM</t>
        </is>
      </c>
      <c r="P74" s="22">
        <f>HYPERLINK("https://kuwaitalyawm.media.gov.kw/Online/ViewAdsHTML?id=171723&amp;no=1", "عرض المصدر")</f>
        <v/>
      </c>
    </row>
    <row r="75">
      <c r="A75" s="11" t="inlineStr">
        <is>
          <t>CA/CPC/0964</t>
        </is>
      </c>
      <c r="B75" s="11" t="inlineStr">
        <is>
          <t>شركة البترول الوطنية الكويتية</t>
        </is>
      </c>
      <c r="C75" s="11" t="inlineStr">
        <is>
          <t>Abrar Al-Qallaf</t>
        </is>
      </c>
      <c r="D75" s="11" t="inlineStr">
        <is>
          <t>ممارسة رقم CA/CPC/0964: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CA/CPC/0964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2026-09-06</t>
        </is>
      </c>
      <c r="K75" s="12" t="inlineStr">
        <is>
          <t>-</t>
        </is>
      </c>
      <c r="L75" s="12" t="inlineStr">
        <is>
          <t>-</t>
        </is>
      </c>
      <c r="M75" s="12" t="inlineStr">
        <is>
          <t>-</t>
        </is>
      </c>
      <c r="N75" s="21" t="inlineStr">
        <is>
          <t>NEW</t>
        </is>
      </c>
      <c r="O75" s="12" t="inlineStr">
        <is>
          <t>غير متوافقة</t>
        </is>
      </c>
      <c r="P75" s="23">
        <f>HYPERLINK("https://kuwaitalyawm.media.gov.kw/Online/ViewAdsHTML?id=171736&amp;no=1", "عرض المصدر")</f>
        <v/>
      </c>
    </row>
    <row r="76">
      <c r="A76" s="13" t="inlineStr">
        <is>
          <t>RFQ/2167273</t>
        </is>
      </c>
      <c r="B76" s="13" t="inlineStr">
        <is>
          <t>شركة البترول الوطنية الكويتية</t>
        </is>
      </c>
      <c r="C76" s="13" t="inlineStr">
        <is>
          <t>Abrar Al-Qallaf</t>
        </is>
      </c>
      <c r="D76" s="13" t="inlineStr">
        <is>
          <t>ممارسة رقم RFQ/2167273: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RFQ/2167273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2026-09-27</t>
        </is>
      </c>
      <c r="L76" s="14" t="inlineStr">
        <is>
          <t>5000.0</t>
        </is>
      </c>
      <c r="M76" s="14" t="inlineStr">
        <is>
          <t>-</t>
        </is>
      </c>
      <c r="N76" s="21" t="inlineStr">
        <is>
          <t>NEW</t>
        </is>
      </c>
      <c r="O76" s="14" t="inlineStr">
        <is>
          <t>غير متوافقة</t>
        </is>
      </c>
      <c r="P76" s="22">
        <f>HYPERLINK("https://kuwaitalyawm.media.gov.kw/Online/ViewAdsHTML?id=171743&amp;no=1", "عرض المصدر")</f>
        <v/>
      </c>
    </row>
    <row r="77">
      <c r="A77" s="11" t="inlineStr">
        <is>
          <t>RFQ/2167277</t>
        </is>
      </c>
      <c r="B77" s="11" t="inlineStr">
        <is>
          <t>شركة البترول الوطنية الكويتية</t>
        </is>
      </c>
      <c r="C77" s="11" t="inlineStr">
        <is>
          <t>Abrar Al-Qallaf</t>
        </is>
      </c>
      <c r="D77" s="11" t="inlineStr">
        <is>
          <t>ممارسة رقم RFQ/2167277: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RFQ/2167277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2026-09-27</t>
        </is>
      </c>
      <c r="K77" s="12" t="inlineStr">
        <is>
          <t>2026-12-28</t>
        </is>
      </c>
      <c r="L77" s="12" t="inlineStr">
        <is>
          <t>1000.0</t>
        </is>
      </c>
      <c r="M77" s="12" t="inlineStr">
        <is>
          <t>100.0</t>
        </is>
      </c>
      <c r="N77" s="21" t="inlineStr">
        <is>
          <t>NEW</t>
        </is>
      </c>
      <c r="O77" s="12" t="inlineStr">
        <is>
          <t>غير متوافقة</t>
        </is>
      </c>
      <c r="P77" s="23">
        <f>HYPERLINK("https://kuwaitalyawm.media.gov.kw/Online/ViewAdsHTML?id=171744&amp;no=1", "عرض المصدر")</f>
        <v/>
      </c>
    </row>
    <row r="78">
      <c r="A78" s="13" t="inlineStr">
        <is>
          <t>RFQ/2163705</t>
        </is>
      </c>
      <c r="B78" s="13" t="inlineStr">
        <is>
          <t>شركة البترول الوطنية الكويتية</t>
        </is>
      </c>
      <c r="C78" s="13" t="inlineStr">
        <is>
          <t>Abrar Al-Qallaf</t>
        </is>
      </c>
      <c r="D78" s="13" t="inlineStr">
        <is>
          <t>ممارسة رقم RFQ/2163705: 2163705 - شركة البترول الوطنية الكويتية</t>
        </is>
      </c>
      <c r="E78" s="13" t="inlineStr">
        <is>
          <t>أعمال وتوريدات تخصصية لزوم شركة البترول الوطنية الكويتية حسب وثائق الممارسة رقم RFQ/2163705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2026-08-30</t>
        </is>
      </c>
      <c r="K78" s="18" t="inlineStr">
        <is>
          <t>2026-10-05</t>
        </is>
      </c>
      <c r="L78" s="14" t="inlineStr">
        <is>
          <t>-</t>
        </is>
      </c>
      <c r="M78" s="14" t="inlineStr">
        <is>
          <t>-</t>
        </is>
      </c>
      <c r="N78" s="21" t="inlineStr">
        <is>
          <t>NEW</t>
        </is>
      </c>
      <c r="O78" s="14" t="inlineStr">
        <is>
          <t>غير متوافقة</t>
        </is>
      </c>
      <c r="P78" s="22">
        <f>HYPERLINK("https://kuwaitalyawm.media.gov.kw/Online/ViewAdsHTML?id=171745&amp;no=1", "عرض المصدر")</f>
        <v/>
      </c>
    </row>
    <row r="79">
      <c r="A79" s="11" t="inlineStr">
        <is>
          <t>2027/2026/24</t>
        </is>
      </c>
      <c r="B79" s="11" t="inlineStr">
        <is>
          <t>وزارة الداخلية</t>
        </is>
      </c>
      <c r="C79" s="11" t="inlineStr">
        <is>
          <t>Khaled Alabdallah</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1" t="inlineStr">
        <is>
          <t>NEW</t>
        </is>
      </c>
      <c r="O79" s="12" t="inlineStr">
        <is>
          <t>فرصة استراتيجية رئيسية (موصى بالتقديم)</t>
        </is>
      </c>
      <c r="P79" s="23">
        <f>HYPERLINK("https://kuwaitalyawm.media.gov.kw/Online/ViewAdsHTML?id=170975&amp;no=1", "عرض المصدر")</f>
        <v/>
      </c>
    </row>
    <row r="80">
      <c r="A80" s="13" t="inlineStr">
        <is>
          <t>241121234261</t>
        </is>
      </c>
      <c r="B80" s="13" t="inlineStr">
        <is>
          <t>وزارة الدفاع</t>
        </is>
      </c>
      <c r="C80" s="13" t="inlineStr">
        <is>
          <t>Eiman Ashkanani</t>
        </is>
      </c>
      <c r="D80" s="13" t="inlineStr">
        <is>
          <t>مناقصة رقم 241121234261: لتوريد إطارات للآليات العسكرية الثقيلة والخفيفة لمدة سنة</t>
        </is>
      </c>
      <c r="E8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0" s="13" t="inlineStr">
        <is>
          <t>• 1/ تقديم كتاب تفويض من الشركة بشراء وثائق المناقصة.
• 2/ تقديم صورة عن شهادة دعم العمالة الوطنية لدى الشركات غير الحكومية ( السنوية).</t>
        </is>
      </c>
      <c r="G80" s="14" t="inlineStr">
        <is>
          <t>عام</t>
        </is>
      </c>
      <c r="H80" s="14" t="inlineStr">
        <is>
          <t>15.0%</t>
        </is>
      </c>
      <c r="I80" s="14" t="inlineStr">
        <is>
          <t>government</t>
        </is>
      </c>
      <c r="J80" s="14" t="inlineStr">
        <is>
          <t>2026-09-20</t>
        </is>
      </c>
      <c r="K80" s="14" t="inlineStr">
        <is>
          <t>-</t>
        </is>
      </c>
      <c r="L80" s="14" t="inlineStr">
        <is>
          <t>14000.0</t>
        </is>
      </c>
      <c r="M80" s="14" t="inlineStr">
        <is>
          <t>1000.0</t>
        </is>
      </c>
      <c r="N80" s="21" t="inlineStr">
        <is>
          <t>NEW</t>
        </is>
      </c>
      <c r="O80" s="14" t="inlineStr">
        <is>
          <t>غير متوافقة مع اختصاصات KBM</t>
        </is>
      </c>
      <c r="P80" s="22">
        <f>HYPERLINK("https://kuwaitalyawm.media.gov.kw/Online/ViewAdsHTML?id=170978&amp;no=1", "عرض المصدر")</f>
        <v/>
      </c>
    </row>
    <row r="81">
      <c r="A81" s="11" t="inlineStr">
        <is>
          <t>241113235253</t>
        </is>
      </c>
      <c r="B81" s="11" t="inlineStr">
        <is>
          <t>وزارة الدفاع</t>
        </is>
      </c>
      <c r="C81" s="11" t="inlineStr">
        <is>
          <t>Eiman Ashkanani</t>
        </is>
      </c>
      <c r="D81" s="11" t="inlineStr">
        <is>
          <t>مناقصة رقم 241113235253: لإصلاح وصيانة القاطرات والمقطورات</t>
        </is>
      </c>
      <c r="E81" s="11" t="inlineStr">
        <is>
          <t>أعمال وتوريدات لإصلاح وصيانة القاطرات والمقطورات لصالح وزارة الدفاع وفقاً للشروط والمواصفات المعتمدة في وثائق الطرح.</t>
        </is>
      </c>
      <c r="F8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1" s="12" t="inlineStr">
        <is>
          <t>عام</t>
        </is>
      </c>
      <c r="H81" s="12" t="inlineStr">
        <is>
          <t>15.0%</t>
        </is>
      </c>
      <c r="I81" s="12" t="inlineStr">
        <is>
          <t>government</t>
        </is>
      </c>
      <c r="J81" s="12" t="inlineStr">
        <is>
          <t>2026-09-20</t>
        </is>
      </c>
      <c r="K81" s="12" t="inlineStr">
        <is>
          <t>2026-10-04</t>
        </is>
      </c>
      <c r="L81" s="12" t="inlineStr">
        <is>
          <t>2.0</t>
        </is>
      </c>
      <c r="M81" s="12" t="inlineStr">
        <is>
          <t>1000.0</t>
        </is>
      </c>
      <c r="N81" s="21" t="inlineStr">
        <is>
          <t>NEW</t>
        </is>
      </c>
      <c r="O81" s="12" t="inlineStr">
        <is>
          <t>غير متوافقة مع اختصاصات KBM</t>
        </is>
      </c>
      <c r="P81" s="23">
        <f>HYPERLINK("https://kuwaitalyawm.media.gov.kw/Online/ViewAdsHTML?id=170979&amp;no=1", "عرض المصدر")</f>
        <v/>
      </c>
    </row>
    <row r="82">
      <c r="A82" s="13" t="inlineStr">
        <is>
          <t>2027/2026/18</t>
        </is>
      </c>
      <c r="B82" s="13" t="inlineStr">
        <is>
          <t>وزارة الداخلية</t>
        </is>
      </c>
      <c r="C82" s="13" t="inlineStr">
        <is>
          <t>Khaled Alabdallah</t>
        </is>
      </c>
      <c r="D82" s="13" t="inlineStr">
        <is>
          <t>مناقصة رقم 2027/2026/18: توريد المواد الكيميائية ـ الطلبية السنوية للسنة المالية</t>
        </is>
      </c>
      <c r="E8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2026-09-06</t>
        </is>
      </c>
      <c r="K82" s="18" t="inlineStr">
        <is>
          <t>2026-10-12</t>
        </is>
      </c>
      <c r="L82" s="14" t="inlineStr">
        <is>
          <t>-</t>
        </is>
      </c>
      <c r="M82" s="14" t="inlineStr">
        <is>
          <t>-</t>
        </is>
      </c>
      <c r="N82" s="21" t="inlineStr">
        <is>
          <t>NEW</t>
        </is>
      </c>
      <c r="O82" s="14" t="inlineStr">
        <is>
          <t>غير متوافقة مع اختصاصات KBM</t>
        </is>
      </c>
      <c r="P82" s="22">
        <f>HYPERLINK("https://kuwaitalyawm.media.gov.kw/Online/ViewAdsHTML?id=169855&amp;no=1", "عرض المصدر")</f>
        <v/>
      </c>
    </row>
    <row r="83">
      <c r="A83" s="11" t="inlineStr">
        <is>
          <t>2027/2026/33</t>
        </is>
      </c>
      <c r="B83" s="11" t="inlineStr">
        <is>
          <t>وزارة الداخلية</t>
        </is>
      </c>
      <c r="C83" s="11" t="inlineStr">
        <is>
          <t>Khaled Alabdallah</t>
        </is>
      </c>
      <c r="D83" s="11" t="inlineStr">
        <is>
          <t>مناقصة رقم 2027/2026/33 - وزارة الداخلية</t>
        </is>
      </c>
      <c r="E83" s="11" t="inlineStr">
        <is>
          <t>أعمال وتوريدات مناقصة رقم 2027/2026/33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15.0%</t>
        </is>
      </c>
      <c r="I83" s="12" t="inlineStr">
        <is>
          <t>government</t>
        </is>
      </c>
      <c r="J83" s="12" t="inlineStr">
        <is>
          <t>2026-09-13</t>
        </is>
      </c>
      <c r="K83" s="12" t="inlineStr">
        <is>
          <t>2026-11-09</t>
        </is>
      </c>
      <c r="L83" s="12" t="inlineStr">
        <is>
          <t>-</t>
        </is>
      </c>
      <c r="M83" s="12" t="inlineStr">
        <is>
          <t>75.0</t>
        </is>
      </c>
      <c r="N83" s="21" t="inlineStr">
        <is>
          <t>NEW</t>
        </is>
      </c>
      <c r="O83" s="12" t="inlineStr">
        <is>
          <t>غير متوافقة مع اختصاصات KBM</t>
        </is>
      </c>
      <c r="P83" s="23">
        <f>HYPERLINK("https://kuwaitalyawm.media.gov.kw/Online/ViewAdsHTML?id=169856&amp;no=1", "عرض المصدر")</f>
        <v/>
      </c>
    </row>
    <row r="84">
      <c r="A84" s="13" t="inlineStr">
        <is>
          <t>2027/2026/1529</t>
        </is>
      </c>
      <c r="B84" s="13" t="inlineStr">
        <is>
          <t>المؤسسة العامة للرعاية السكنية</t>
        </is>
      </c>
      <c r="C84" s="13" t="inlineStr">
        <is>
          <t>Eiman Ashkanani</t>
        </is>
      </c>
      <c r="D84" s="13" t="inlineStr">
        <is>
          <t>مناقصة رقم 2027/2026/1529 - المؤسسة العامة للرعاية السكنية</t>
        </is>
      </c>
      <c r="E84" s="13" t="inlineStr">
        <is>
          <t>أعمال وتوريدات مناقصة رقم 2027/2026/1529 لصالح المؤسسة العامة للرعاية السكنية وفقاً للشروط والمواصفات المعتمدة في وثائق الطرح.</t>
        </is>
      </c>
      <c r="F84" s="13" t="inlineStr">
        <is>
          <t>• - ورقتا صيغة العطاء وإجمالي قيمة العطاء (نسخاً أصلية) مستكملة البيانات ومختومة وموقعة.</t>
        </is>
      </c>
      <c r="G84" s="14" t="inlineStr">
        <is>
          <t>عام</t>
        </is>
      </c>
      <c r="H84" s="14" t="inlineStr">
        <is>
          <t>0.0%</t>
        </is>
      </c>
      <c r="I84" s="14" t="inlineStr">
        <is>
          <t>government</t>
        </is>
      </c>
      <c r="J84" s="14" t="inlineStr">
        <is>
          <t>2026-09-13</t>
        </is>
      </c>
      <c r="K84" s="14" t="inlineStr">
        <is>
          <t>-</t>
        </is>
      </c>
      <c r="L84" s="14" t="inlineStr">
        <is>
          <t>6000.0</t>
        </is>
      </c>
      <c r="M84" s="14" t="inlineStr">
        <is>
          <t>150.0</t>
        </is>
      </c>
      <c r="N84" s="21" t="inlineStr">
        <is>
          <t>NEW</t>
        </is>
      </c>
      <c r="O84" s="14" t="inlineStr">
        <is>
          <t>غير متوافقة مع اختصاصات KBM</t>
        </is>
      </c>
      <c r="P84" s="22">
        <f>HYPERLINK("https://kuwaitalyawm.media.gov.kw/Online/ViewAdsHTML?id=170492&amp;no=1", "عرض المصدر")</f>
        <v/>
      </c>
    </row>
    <row r="85">
      <c r="A85" s="11" t="inlineStr">
        <is>
          <t>2027/2026/1526</t>
        </is>
      </c>
      <c r="B85" s="11" t="inlineStr">
        <is>
          <t>المؤسسة العامة للرعاية السكنية</t>
        </is>
      </c>
      <c r="C85" s="11" t="inlineStr">
        <is>
          <t>Eiman Ashkanani</t>
        </is>
      </c>
      <c r="D85" s="11" t="inlineStr">
        <is>
          <t>مناقصة رقم 2027/2026/1526 - المؤسسة العامة للرعاية السكنية</t>
        </is>
      </c>
      <c r="E85" s="11" t="inlineStr">
        <is>
          <t>أعمال وتوريدات مناقصة رقم 2027/2026/1526 لصالح المؤسسة العامة للرعاية السكنية وفقاً للشروط والمواصفات المعتمدة في وثائق الطرح.</t>
        </is>
      </c>
      <c r="F8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85" s="12" t="inlineStr">
        <is>
          <t>عام</t>
        </is>
      </c>
      <c r="H85" s="12" t="inlineStr">
        <is>
          <t>28.0%</t>
        </is>
      </c>
      <c r="I85" s="12" t="inlineStr">
        <is>
          <t>government</t>
        </is>
      </c>
      <c r="J85" s="12" t="inlineStr">
        <is>
          <t>2026-09-13</t>
        </is>
      </c>
      <c r="K85" s="18" t="inlineStr">
        <is>
          <t>2026-10-11</t>
        </is>
      </c>
      <c r="L85" s="12" t="inlineStr">
        <is>
          <t>10000.0</t>
        </is>
      </c>
      <c r="M85" s="12" t="inlineStr">
        <is>
          <t>300.0</t>
        </is>
      </c>
      <c r="N85" s="21" t="inlineStr">
        <is>
          <t>NEW</t>
        </is>
      </c>
      <c r="O85" s="12" t="inlineStr">
        <is>
          <t>غير متوافقة مع اختصاصات KBM</t>
        </is>
      </c>
      <c r="P85" s="23">
        <f>HYPERLINK("https://kuwaitalyawm.media.gov.kw/Online/ViewAdsHTML?id=170493&amp;no=1", "عرض المصدر")</f>
        <v/>
      </c>
    </row>
    <row r="86">
      <c r="A86" s="13" t="inlineStr">
        <is>
          <t>2026/09/07</t>
        </is>
      </c>
      <c r="B86" s="13" t="inlineStr">
        <is>
          <t>شركة إدارة المرافق العمومية</t>
        </is>
      </c>
      <c r="C86" s="13" t="inlineStr">
        <is>
          <t>Eiman Ashkanani</t>
        </is>
      </c>
      <c r="D86" s="13" t="inlineStr">
        <is>
          <t>مناقصة رقم 2026/09/07: بخصـوص القيام بأعمال الصيانة والإصلاح وإعادة التأهيل</t>
        </is>
      </c>
      <c r="E8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8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86" s="14" t="inlineStr">
        <is>
          <t>عام</t>
        </is>
      </c>
      <c r="H86" s="14" t="inlineStr">
        <is>
          <t>0.0%</t>
        </is>
      </c>
      <c r="I86" s="14" t="inlineStr">
        <is>
          <t>government</t>
        </is>
      </c>
      <c r="J86" s="14" t="inlineStr">
        <is>
          <t>2026-09-13</t>
        </is>
      </c>
      <c r="K86" s="18" t="inlineStr">
        <is>
          <t>2026-10-08</t>
        </is>
      </c>
      <c r="L86" s="14" t="inlineStr">
        <is>
          <t>1500.0</t>
        </is>
      </c>
      <c r="M86" s="14" t="inlineStr">
        <is>
          <t>150.0</t>
        </is>
      </c>
      <c r="N86" s="21" t="inlineStr">
        <is>
          <t>NEW</t>
        </is>
      </c>
      <c r="O86" s="14" t="inlineStr">
        <is>
          <t>غير متوافقة مع اختصاصات KBM</t>
        </is>
      </c>
      <c r="P86" s="22">
        <f>HYPERLINK("https://kuwaitalyawm.media.gov.kw/Online/ViewAdsHTML?id=170505&amp;no=1", "عرض المصدر")</f>
        <v/>
      </c>
    </row>
    <row r="87">
      <c r="A87" s="11" t="inlineStr">
        <is>
          <t>CA CPC 4780</t>
        </is>
      </c>
      <c r="B87" s="11" t="inlineStr">
        <is>
          <t>شركة البترول الوطنية الكويتية</t>
        </is>
      </c>
      <c r="C87" s="11" t="inlineStr">
        <is>
          <t>Abrar Al-Qallaf</t>
        </is>
      </c>
      <c r="D87" s="11" t="inlineStr">
        <is>
          <t>ممارسة رقم CA CPC 4780: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CA CPC 4780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2026-12-17</t>
        </is>
      </c>
      <c r="L87" s="12" t="inlineStr">
        <is>
          <t>50000.0</t>
        </is>
      </c>
      <c r="M87" s="12" t="inlineStr">
        <is>
          <t>500.0</t>
        </is>
      </c>
      <c r="N87" s="21" t="inlineStr">
        <is>
          <t>NEW</t>
        </is>
      </c>
      <c r="O87" s="12" t="inlineStr">
        <is>
          <t>غير متوافقة</t>
        </is>
      </c>
      <c r="P87" s="23">
        <f>HYPERLINK("https://kuwaitalyawm.media.gov.kw/Online/ViewAdsHTML?id=170511&amp;no=1", "عرض المصدر")</f>
        <v/>
      </c>
    </row>
    <row r="88">
      <c r="A88" s="13" t="inlineStr">
        <is>
          <t>RFQ 1060201</t>
        </is>
      </c>
      <c r="B88" s="13" t="inlineStr">
        <is>
          <t>شركة البترول الوطنية الكويتية</t>
        </is>
      </c>
      <c r="C88" s="13" t="inlineStr">
        <is>
          <t>Abrar Al-Qallaf</t>
        </is>
      </c>
      <c r="D88" s="13" t="inlineStr">
        <is>
          <t>ممارسة رقم RFQ 1060201: Tendering) - شركة البترول الوطنية الكويتية</t>
        </is>
      </c>
      <c r="E88" s="13" t="inlineStr">
        <is>
          <t>أعمال وتوريدات تخصصية لزوم شركة البترول الوطنية الكويتية حسب وثائق الممارسة رقم RFQ 1060201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2026-12-17</t>
        </is>
      </c>
      <c r="L88" s="14" t="inlineStr">
        <is>
          <t>1000.0</t>
        </is>
      </c>
      <c r="M88" s="14" t="inlineStr">
        <is>
          <t>100.0</t>
        </is>
      </c>
      <c r="N88" s="21" t="inlineStr">
        <is>
          <t>NEW</t>
        </is>
      </c>
      <c r="O88" s="14" t="inlineStr">
        <is>
          <t>غير متوافقة</t>
        </is>
      </c>
      <c r="P88" s="22">
        <f>HYPERLINK("https://kuwaitalyawm.media.gov.kw/Online/ViewAdsHTML?id=170512&amp;no=1", "عرض المصدر")</f>
        <v/>
      </c>
    </row>
    <row r="89">
      <c r="A89" s="11" t="inlineStr">
        <is>
          <t>RFQ 1063791</t>
        </is>
      </c>
      <c r="B89" s="11" t="inlineStr">
        <is>
          <t>شركة البترول الوطنية الكويتية</t>
        </is>
      </c>
      <c r="C89" s="11" t="inlineStr">
        <is>
          <t>Abrar Al-Qallaf</t>
        </is>
      </c>
      <c r="D89" s="11" t="inlineStr">
        <is>
          <t>ممارسة رقم RFQ 1063791: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 1063791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2026-12-17</t>
        </is>
      </c>
      <c r="L89" s="12" t="inlineStr">
        <is>
          <t>1000.0</t>
        </is>
      </c>
      <c r="M89" s="12" t="inlineStr">
        <is>
          <t>100.0</t>
        </is>
      </c>
      <c r="N89" s="21" t="inlineStr">
        <is>
          <t>NEW</t>
        </is>
      </c>
      <c r="O89" s="12" t="inlineStr">
        <is>
          <t>غير متوافقة</t>
        </is>
      </c>
      <c r="P89" s="23">
        <f>HYPERLINK("https://kuwaitalyawm.media.gov.kw/Online/ViewAdsHTML?id=170513&amp;no=1", "عرض المصدر")</f>
        <v/>
      </c>
    </row>
    <row r="90">
      <c r="A90" s="13" t="inlineStr">
        <is>
          <t>2026/1</t>
        </is>
      </c>
      <c r="B90" s="13" t="inlineStr">
        <is>
          <t>شركة ناقلات النفط الكويتية</t>
        </is>
      </c>
      <c r="C90" s="13" t="inlineStr">
        <is>
          <t>Ahmed Habib</t>
        </is>
      </c>
      <c r="D90" s="13" t="inlineStr">
        <is>
          <t>مناقصة رقم 2026/1: إعلان طرح المناقصة الخاصة بتقديم خدمات الانترنت</t>
        </is>
      </c>
      <c r="E9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عام</t>
        </is>
      </c>
      <c r="H90" s="14" t="inlineStr">
        <is>
          <t>0.0%</t>
        </is>
      </c>
      <c r="I90" s="14" t="inlineStr">
        <is>
          <t>government</t>
        </is>
      </c>
      <c r="J90" s="14" t="inlineStr">
        <is>
          <t>2026-09-13</t>
        </is>
      </c>
      <c r="K90" s="14" t="inlineStr">
        <is>
          <t>2026-10-20</t>
        </is>
      </c>
      <c r="L90" s="14" t="inlineStr">
        <is>
          <t>2500.0</t>
        </is>
      </c>
      <c r="M90" s="14" t="inlineStr">
        <is>
          <t>100.0</t>
        </is>
      </c>
      <c r="N90" s="21" t="inlineStr">
        <is>
          <t>NEW</t>
        </is>
      </c>
      <c r="O90" s="14" t="inlineStr">
        <is>
          <t>غير متوافقة مع اختصاصات KBM</t>
        </is>
      </c>
      <c r="P90" s="22">
        <f>HYPERLINK("https://kuwaitalyawm.media.gov.kw/Online/ViewAdsHTML?id=170514&amp;no=1", "عرض المصدر")</f>
        <v/>
      </c>
    </row>
    <row r="91">
      <c r="A91" s="11" t="inlineStr">
        <is>
          <t>RFQ/2163185</t>
        </is>
      </c>
      <c r="B91" s="11" t="inlineStr">
        <is>
          <t>شركة البترول الوطنية الكويتية</t>
        </is>
      </c>
      <c r="C91" s="11" t="inlineStr">
        <is>
          <t>Abrar Al-Qallaf</t>
        </is>
      </c>
      <c r="D91" s="11" t="inlineStr">
        <is>
          <t>ممارسة رقم RFQ/2163185: 2163185 - شركة البترول الوطنية الكويتية</t>
        </is>
      </c>
      <c r="E91" s="11" t="inlineStr">
        <is>
          <t>أعمال وتوريدات تخصصية لزوم شركة البترول الوطنية الكويتية حسب وثائق الممارسة رقم RFQ/2163185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t>
        </is>
      </c>
      <c r="L91" s="12" t="inlineStr">
        <is>
          <t>-</t>
        </is>
      </c>
      <c r="M91" s="12" t="inlineStr">
        <is>
          <t>-</t>
        </is>
      </c>
      <c r="N91" s="21" t="inlineStr">
        <is>
          <t>NEW</t>
        </is>
      </c>
      <c r="O91" s="12" t="inlineStr">
        <is>
          <t>غير متوافقة</t>
        </is>
      </c>
      <c r="P91" s="23">
        <f>HYPERLINK("https://kuwaitalyawm.media.gov.kw/Online/ViewAdsHTML?id=170525&amp;no=1", "عرض المصدر")</f>
        <v/>
      </c>
    </row>
    <row r="92">
      <c r="A92" s="13" t="inlineStr">
        <is>
          <t>RFQ/2163729</t>
        </is>
      </c>
      <c r="B92" s="13" t="inlineStr">
        <is>
          <t>شركة البترول الوطنية الكويتية</t>
        </is>
      </c>
      <c r="C92" s="13" t="inlineStr">
        <is>
          <t>Abrar Al-Qallaf</t>
        </is>
      </c>
      <c r="D92" s="13" t="inlineStr">
        <is>
          <t>ممارسة رقم RFQ/2163729: 2163729 - شركة البترول الوطنية الكويتية</t>
        </is>
      </c>
      <c r="E92" s="13" t="inlineStr">
        <is>
          <t>أعمال وتوريدات تخصصية لزوم شركة البترول الوطنية الكويتية حسب وثائق الممارسة رقم RFQ/2163729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t>
        </is>
      </c>
      <c r="N92" s="21" t="inlineStr">
        <is>
          <t>NEW</t>
        </is>
      </c>
      <c r="O92" s="14" t="inlineStr">
        <is>
          <t>غير متوافقة</t>
        </is>
      </c>
      <c r="P92" s="22">
        <f>HYPERLINK("https://kuwaitalyawm.media.gov.kw/Online/ViewAdsHTML?id=170526&amp;no=1", "عرض المصدر")</f>
        <v/>
      </c>
    </row>
    <row r="93">
      <c r="A93" s="11" t="inlineStr">
        <is>
          <t>RFQ/2160171</t>
        </is>
      </c>
      <c r="B93" s="11" t="inlineStr">
        <is>
          <t>شركة البترول الوطنية الكويتية</t>
        </is>
      </c>
      <c r="C93" s="11" t="inlineStr">
        <is>
          <t>Abrar Al-Qallaf</t>
        </is>
      </c>
      <c r="D93" s="11" t="inlineStr">
        <is>
          <t>ممارسة رقم RFQ/2160171: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RFQ/2160171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2026-08-30</t>
        </is>
      </c>
      <c r="K93" s="18" t="inlineStr">
        <is>
          <t>2026-10-05</t>
        </is>
      </c>
      <c r="L93" s="12" t="inlineStr">
        <is>
          <t>-</t>
        </is>
      </c>
      <c r="M93" s="12" t="inlineStr">
        <is>
          <t>-</t>
        </is>
      </c>
      <c r="N93" s="21" t="inlineStr">
        <is>
          <t>NEW</t>
        </is>
      </c>
      <c r="O93" s="12" t="inlineStr">
        <is>
          <t>غير متوافقة</t>
        </is>
      </c>
      <c r="P93" s="23">
        <f>HYPERLINK("https://kuwaitalyawm.media.gov.kw/Online/ViewAdsHTML?id=170527&amp;no=1", "عرض المصدر")</f>
        <v/>
      </c>
    </row>
    <row r="94">
      <c r="A94" s="13" t="inlineStr">
        <is>
          <t>RFQ/2162788</t>
        </is>
      </c>
      <c r="B94" s="13" t="inlineStr">
        <is>
          <t>شركة البترول الوطنية الكويتية</t>
        </is>
      </c>
      <c r="C94" s="13" t="inlineStr">
        <is>
          <t>Abrar Al-Qallaf</t>
        </is>
      </c>
      <c r="D94" s="13" t="inlineStr">
        <is>
          <t>ممارسة رقم RFQ/2162788: 2162788 - شركة البترول الوطنية الكويتية</t>
        </is>
      </c>
      <c r="E94" s="13" t="inlineStr">
        <is>
          <t>أعمال وتوريدات تخصصية لزوم شركة البترول الوطنية الكويتية حسب وثائق الممارسة رقم RFQ/2162788 عبر منصة K-Tendering.</t>
        </is>
      </c>
      <c r="F94" s="13" t="inlineStr">
        <is>
          <t>وفقاً لشروط وإجراءات المناقصات والتوريد لدى شركة البترول الوطنية الكويتية (KNPC) عبر منصة K-Tendering.</t>
        </is>
      </c>
      <c r="G94" s="14" t="inlineStr">
        <is>
          <t>عام</t>
        </is>
      </c>
      <c r="H94" s="14" t="inlineStr">
        <is>
          <t>15.0%</t>
        </is>
      </c>
      <c r="I94" s="14" t="inlineStr">
        <is>
          <t>oil_and_gas</t>
        </is>
      </c>
      <c r="J94" s="14" t="inlineStr">
        <is>
          <t>2026-08-30</t>
        </is>
      </c>
      <c r="K94" s="14" t="inlineStr">
        <is>
          <t>-</t>
        </is>
      </c>
      <c r="L94" s="14" t="inlineStr">
        <is>
          <t>-</t>
        </is>
      </c>
      <c r="M94" s="14" t="inlineStr">
        <is>
          <t>-</t>
        </is>
      </c>
      <c r="N94" s="21" t="inlineStr">
        <is>
          <t>NEW</t>
        </is>
      </c>
      <c r="O94" s="14" t="inlineStr">
        <is>
          <t>غير متوافقة</t>
        </is>
      </c>
      <c r="P94" s="22">
        <f>HYPERLINK("https://kuwaitalyawm.media.gov.kw/Online/ViewAdsHTML?id=170528&amp;no=1", "عرض المصدر")</f>
        <v/>
      </c>
    </row>
    <row r="95">
      <c r="A95" s="11" t="inlineStr">
        <is>
          <t>RFQ/2161574</t>
        </is>
      </c>
      <c r="B95" s="11" t="inlineStr">
        <is>
          <t>شركة البترول الوطنية الكويتية</t>
        </is>
      </c>
      <c r="C95" s="11" t="inlineStr">
        <is>
          <t>Abrar Al-Qallaf</t>
        </is>
      </c>
      <c r="D95" s="11" t="inlineStr">
        <is>
          <t>ممارسة رقم RFQ/2161574: توريد مواد ومهمات تشغيلية لزوم شركة البترول الوطنية الكويتية - شركة البترول الوطنية الكويتية</t>
        </is>
      </c>
      <c r="E95" s="11" t="inlineStr">
        <is>
          <t>أعمال وتوريدات تخصصية لزوم شركة البترول الوطنية الكويتية حسب وثائق الممارسة رقم RFQ/2161574 عبر منصة K-Tendering.</t>
        </is>
      </c>
      <c r="F95" s="11" t="inlineStr">
        <is>
          <t>وفقاً لشروط وإجراءات المناقصات والتوريد لدى شركة البترول الوطنية الكويتية (KNPC) عبر منصة K-Tendering.</t>
        </is>
      </c>
      <c r="G95" s="12" t="inlineStr">
        <is>
          <t>عام</t>
        </is>
      </c>
      <c r="H95" s="12" t="inlineStr">
        <is>
          <t>15.0%</t>
        </is>
      </c>
      <c r="I95" s="12" t="inlineStr">
        <is>
          <t>oil_and_gas</t>
        </is>
      </c>
      <c r="J95" s="12" t="inlineStr">
        <is>
          <t>2026-09-13</t>
        </is>
      </c>
      <c r="K95" s="12" t="inlineStr">
        <is>
          <t>2026-09-14</t>
        </is>
      </c>
      <c r="L95" s="12" t="inlineStr">
        <is>
          <t>-</t>
        </is>
      </c>
      <c r="M95" s="12" t="inlineStr">
        <is>
          <t>-</t>
        </is>
      </c>
      <c r="N95" s="21" t="inlineStr">
        <is>
          <t>NEW</t>
        </is>
      </c>
      <c r="O95" s="12" t="inlineStr">
        <is>
          <t>غير متوافقة</t>
        </is>
      </c>
      <c r="P95" s="23">
        <f>HYPERLINK("https://kuwaitalyawm.media.gov.kw/Online/ViewAdsHTML?id=170529&amp;no=1", "عرض المصدر")</f>
        <v/>
      </c>
    </row>
    <row r="96">
      <c r="A96" s="13" t="inlineStr">
        <is>
          <t>RFQ/2163773</t>
        </is>
      </c>
      <c r="B96" s="13" t="inlineStr">
        <is>
          <t>شركة البترول الوطنية الكويتية</t>
        </is>
      </c>
      <c r="C96" s="13" t="inlineStr">
        <is>
          <t>Abrar Al-Qallaf</t>
        </is>
      </c>
      <c r="D96" s="13" t="inlineStr">
        <is>
          <t>ممارسة رقم RFQ/2163773: 2163773 - شركة البترول الوطنية الكويتية</t>
        </is>
      </c>
      <c r="E96" s="13" t="inlineStr">
        <is>
          <t>أعمال وتوريدات تخصصية لزوم شركة البترول الوطنية الكويتية حسب وثائق الممارسة رقم RFQ/2163773 عبر منصة K-Tendering.</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2026-09-13</t>
        </is>
      </c>
      <c r="K96" s="14" t="inlineStr">
        <is>
          <t>-</t>
        </is>
      </c>
      <c r="L96" s="14" t="inlineStr">
        <is>
          <t>-</t>
        </is>
      </c>
      <c r="M96" s="14" t="inlineStr">
        <is>
          <t>-</t>
        </is>
      </c>
      <c r="N96" s="21" t="inlineStr">
        <is>
          <t>NEW</t>
        </is>
      </c>
      <c r="O96" s="14" t="inlineStr">
        <is>
          <t>غير متوافقة</t>
        </is>
      </c>
      <c r="P96" s="22">
        <f>HYPERLINK("https://kuwaitalyawm.media.gov.kw/Online/ViewAdsHTML?id=170530&amp;no=1", "عرض المصدر")</f>
        <v/>
      </c>
    </row>
    <row r="97">
      <c r="A97" s="11" t="inlineStr">
        <is>
          <t>RFQ/2166412</t>
        </is>
      </c>
      <c r="B97" s="11" t="inlineStr">
        <is>
          <t>شركة البترول الوطنية الكويتية</t>
        </is>
      </c>
      <c r="C97" s="11" t="inlineStr">
        <is>
          <t>Abrar Al-Qallaf</t>
        </is>
      </c>
      <c r="D97" s="11" t="inlineStr">
        <is>
          <t>ممارسة رقم RFQ/2166412: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RFQ/2166412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2026-09-13</t>
        </is>
      </c>
      <c r="K97" s="12" t="inlineStr">
        <is>
          <t>2026-12-14</t>
        </is>
      </c>
      <c r="L97" s="12" t="inlineStr">
        <is>
          <t>15000.0</t>
        </is>
      </c>
      <c r="M97" s="12" t="inlineStr">
        <is>
          <t>-</t>
        </is>
      </c>
      <c r="N97" s="21" t="inlineStr">
        <is>
          <t>NEW</t>
        </is>
      </c>
      <c r="O97" s="12" t="inlineStr">
        <is>
          <t>غير متوافقة</t>
        </is>
      </c>
      <c r="P97" s="23">
        <f>HYPERLINK("https://kuwaitalyawm.media.gov.kw/Online/ViewAdsHTML?id=170531&amp;no=1", "عرض المصدر")</f>
        <v/>
      </c>
    </row>
    <row r="98">
      <c r="A98" s="13" t="inlineStr">
        <is>
          <t>RFQ/2167182</t>
        </is>
      </c>
      <c r="B98" s="13" t="inlineStr">
        <is>
          <t>شركة البترول الوطنية الكويتية</t>
        </is>
      </c>
      <c r="C98" s="13" t="inlineStr">
        <is>
          <t>Abrar Al-Qallaf</t>
        </is>
      </c>
      <c r="D98" s="13" t="inlineStr">
        <is>
          <t>ممارسة رقم RFQ/2167182: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RFQ/2167182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2026-09-13</t>
        </is>
      </c>
      <c r="K98" s="14" t="inlineStr">
        <is>
          <t>2026-12-21</t>
        </is>
      </c>
      <c r="L98" s="14" t="inlineStr">
        <is>
          <t>2500.0</t>
        </is>
      </c>
      <c r="M98" s="14" t="inlineStr">
        <is>
          <t>-</t>
        </is>
      </c>
      <c r="N98" s="21" t="inlineStr">
        <is>
          <t>NEW</t>
        </is>
      </c>
      <c r="O98" s="14" t="inlineStr">
        <is>
          <t>غير متوافقة</t>
        </is>
      </c>
      <c r="P98" s="22">
        <f>HYPERLINK("https://kuwaitalyawm.media.gov.kw/Online/ViewAdsHTML?id=170532&amp;no=1", "عرض المصدر")</f>
        <v/>
      </c>
    </row>
    <row r="99">
      <c r="A99" s="11" t="inlineStr">
        <is>
          <t>RFQ/2167044</t>
        </is>
      </c>
      <c r="B99" s="11" t="inlineStr">
        <is>
          <t>شركة البترول الوطنية الكويتية</t>
        </is>
      </c>
      <c r="C99" s="11" t="inlineStr">
        <is>
          <t>Abrar Al-Qallaf</t>
        </is>
      </c>
      <c r="D99" s="11" t="inlineStr">
        <is>
          <t>ممارسة رقم RFQ/2167044: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RFQ/2167044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2026-09-13</t>
        </is>
      </c>
      <c r="K99" s="12" t="inlineStr">
        <is>
          <t>2026-12-21</t>
        </is>
      </c>
      <c r="L99" s="12" t="inlineStr">
        <is>
          <t>1000.0</t>
        </is>
      </c>
      <c r="M99" s="12" t="inlineStr">
        <is>
          <t>100.0</t>
        </is>
      </c>
      <c r="N99" s="21" t="inlineStr">
        <is>
          <t>NEW</t>
        </is>
      </c>
      <c r="O99" s="12" t="inlineStr">
        <is>
          <t>غير متوافقة</t>
        </is>
      </c>
      <c r="P99" s="23">
        <f>HYPERLINK("https://kuwaitalyawm.media.gov.kw/Online/ViewAdsHTML?id=170533&amp;no=1", "عرض المصدر")</f>
        <v/>
      </c>
    </row>
    <row r="100">
      <c r="A100" s="13" t="inlineStr">
        <is>
          <t>RFQ/2163441</t>
        </is>
      </c>
      <c r="B100" s="13" t="inlineStr">
        <is>
          <t>شركة البترول الوطنية الكويتية</t>
        </is>
      </c>
      <c r="C100" s="13" t="inlineStr">
        <is>
          <t>Abrar Al-Qallaf</t>
        </is>
      </c>
      <c r="D100" s="13" t="inlineStr">
        <is>
          <t>ممارسة رقم RFQ/2163441: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RFQ/2163441 عبر منصة K-Tendering.</t>
        </is>
      </c>
      <c r="F100" s="13" t="inlineStr">
        <is>
          <t>وفقاً لشروط وإجراءات المناقصات والتوريد لدى شركة البترول الوطنية الكويتية (KNPC) عبر منصة K-Tendering.</t>
        </is>
      </c>
      <c r="G100" s="14" t="inlineStr">
        <is>
          <t>عام</t>
        </is>
      </c>
      <c r="H100" s="14" t="inlineStr">
        <is>
          <t>15.0%</t>
        </is>
      </c>
      <c r="I100" s="14" t="inlineStr">
        <is>
          <t>oil_and_gas</t>
        </is>
      </c>
      <c r="J100" s="14" t="inlineStr">
        <is>
          <t>2026-09-13</t>
        </is>
      </c>
      <c r="K100" s="14" t="inlineStr">
        <is>
          <t>2026-12-14</t>
        </is>
      </c>
      <c r="L100" s="14" t="inlineStr">
        <is>
          <t>1000.0</t>
        </is>
      </c>
      <c r="M100" s="14" t="inlineStr">
        <is>
          <t>100.0</t>
        </is>
      </c>
      <c r="N100" s="21" t="inlineStr">
        <is>
          <t>NEW</t>
        </is>
      </c>
      <c r="O100" s="14" t="inlineStr">
        <is>
          <t>غير متوافقة</t>
        </is>
      </c>
      <c r="P100" s="22">
        <f>HYPERLINK("https://kuwaitalyawm.media.gov.kw/Online/ViewAdsHTML?id=170534&amp;no=1", "عرض المصدر")</f>
        <v/>
      </c>
    </row>
    <row r="101">
      <c r="A101" s="11" t="inlineStr">
        <is>
          <t>RFP/2161845</t>
        </is>
      </c>
      <c r="B101" s="11" t="inlineStr">
        <is>
          <t>شركة البترول الوطنية الكويتية</t>
        </is>
      </c>
      <c r="C101" s="11" t="inlineStr">
        <is>
          <t>Abrar Al-Qallaf</t>
        </is>
      </c>
      <c r="D101" s="11" t="inlineStr">
        <is>
          <t>ممارسة رقم RFP/2161845: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RFP/2161845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2026-09-13</t>
        </is>
      </c>
      <c r="K101" s="18" t="inlineStr">
        <is>
          <t>2026-10-12</t>
        </is>
      </c>
      <c r="L101" s="12" t="inlineStr">
        <is>
          <t>30000.0</t>
        </is>
      </c>
      <c r="M101" s="12" t="inlineStr">
        <is>
          <t>-</t>
        </is>
      </c>
      <c r="N101" s="21" t="inlineStr">
        <is>
          <t>NEW</t>
        </is>
      </c>
      <c r="O101" s="12" t="inlineStr">
        <is>
          <t>غير متوافقة</t>
        </is>
      </c>
      <c r="P101" s="23">
        <f>HYPERLINK("https://kuwaitalyawm.media.gov.kw/Online/ViewAdsHTML?id=170535&amp;no=1", "عرض المصدر")</f>
        <v/>
      </c>
    </row>
    <row r="102">
      <c r="A102" s="13" t="inlineStr">
        <is>
          <t>RFP/2161888</t>
        </is>
      </c>
      <c r="B102" s="13" t="inlineStr">
        <is>
          <t>شركة البترول الوطنية الكويتية</t>
        </is>
      </c>
      <c r="C102" s="13" t="inlineStr">
        <is>
          <t>Abrar Al-Qallaf</t>
        </is>
      </c>
      <c r="D102" s="13" t="inlineStr">
        <is>
          <t>ممارسة رقم RFP/2161888: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RFP/2161888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2026-09-13</t>
        </is>
      </c>
      <c r="K102" s="14" t="inlineStr">
        <is>
          <t>-</t>
        </is>
      </c>
      <c r="L102" s="14" t="inlineStr">
        <is>
          <t>-</t>
        </is>
      </c>
      <c r="M102" s="14" t="inlineStr">
        <is>
          <t>250.0</t>
        </is>
      </c>
      <c r="N102" s="21" t="inlineStr">
        <is>
          <t>NEW</t>
        </is>
      </c>
      <c r="O102" s="14" t="inlineStr">
        <is>
          <t>غير متوافقة</t>
        </is>
      </c>
      <c r="P102" s="22">
        <f>HYPERLINK("https://kuwaitalyawm.media.gov.kw/Online/ViewAdsHTML?id=170536&amp;no=1", "عرض المصدر")</f>
        <v/>
      </c>
    </row>
    <row r="103">
      <c r="A103" s="11" t="inlineStr">
        <is>
          <t>CATEGORY KS 01.21</t>
        </is>
      </c>
      <c r="B103" s="11" t="inlineStr">
        <is>
          <t>شركة نفط الكويت</t>
        </is>
      </c>
      <c r="C103" s="11" t="inlineStr">
        <is>
          <t>Ahmed Habib</t>
        </is>
      </c>
      <c r="D103" s="11" t="inlineStr">
        <is>
          <t>مناقصة رقم CATEGORY KS 01.21 - شركة نفط الكويت</t>
        </is>
      </c>
      <c r="E103" s="11" t="inlineStr">
        <is>
          <t>أعمال وتوريدات مناقصة رقم CATEGORY KS 01.21 لصالح شركة نفط الكويت وفقاً للشروط والمواصفات المعتمدة في وثائق الطرح.</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15.0%</t>
        </is>
      </c>
      <c r="I103" s="12" t="inlineStr">
        <is>
          <t>government</t>
        </is>
      </c>
      <c r="J103" s="12" t="inlineStr">
        <is>
          <t>2026-09-13</t>
        </is>
      </c>
      <c r="K103" s="12" t="inlineStr">
        <is>
          <t>-</t>
        </is>
      </c>
      <c r="L103" s="12" t="inlineStr">
        <is>
          <t>-</t>
        </is>
      </c>
      <c r="M103" s="12" t="inlineStr">
        <is>
          <t>-</t>
        </is>
      </c>
      <c r="N103" s="21" t="inlineStr">
        <is>
          <t>NEW</t>
        </is>
      </c>
      <c r="O103" s="12" t="inlineStr">
        <is>
          <t>غير متوافقة مع اختصاصات KBM</t>
        </is>
      </c>
      <c r="P103" s="23">
        <f>HYPERLINK("https://kuwaitalyawm.media.gov.kw/Online/ViewAdsHTML?id=170537&amp;no=1", "عرض المصدر")</f>
        <v/>
      </c>
    </row>
    <row r="104">
      <c r="A104" s="13" t="inlineStr">
        <is>
          <t>24114235253</t>
        </is>
      </c>
      <c r="B104" s="13" t="inlineStr">
        <is>
          <t>وزارة الدفاع</t>
        </is>
      </c>
      <c r="C104" s="13" t="inlineStr">
        <is>
          <t>Eiman Ashkanani</t>
        </is>
      </c>
      <c r="D104" s="13" t="inlineStr">
        <is>
          <t>مناقصة رقم 24114235253: لإصلاح وصيانة القاطرات والمقطورات والآليات المتوسطة شامل</t>
        </is>
      </c>
      <c r="E10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0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04" s="14" t="inlineStr">
        <is>
          <t>عام</t>
        </is>
      </c>
      <c r="H104" s="14" t="inlineStr">
        <is>
          <t>15.0%</t>
        </is>
      </c>
      <c r="I104" s="14" t="inlineStr">
        <is>
          <t>government</t>
        </is>
      </c>
      <c r="J104" s="14" t="inlineStr">
        <is>
          <t>2026-09-06</t>
        </is>
      </c>
      <c r="K104" s="14" t="inlineStr">
        <is>
          <t>2026-10-04</t>
        </is>
      </c>
      <c r="L104" s="14" t="inlineStr">
        <is>
          <t>2.0</t>
        </is>
      </c>
      <c r="M104" s="14" t="inlineStr">
        <is>
          <t>1000.0</t>
        </is>
      </c>
      <c r="N104" s="21" t="inlineStr">
        <is>
          <t>NEW</t>
        </is>
      </c>
      <c r="O104" s="14" t="inlineStr">
        <is>
          <t>غير متوافقة مع اختصاصات KBM</t>
        </is>
      </c>
      <c r="P104" s="22">
        <f>HYPERLINK("https://kuwaitalyawm.media.gov.kw/Online/ViewAdsHTML?id=169152&amp;no=1", "عرض المصدر")</f>
        <v/>
      </c>
    </row>
    <row r="105">
      <c r="A105" s="11" t="inlineStr">
        <is>
          <t>2027/2026/1532</t>
        </is>
      </c>
      <c r="B105" s="11" t="inlineStr">
        <is>
          <t>المؤسسة العامة للرعاية السكنية</t>
        </is>
      </c>
      <c r="C105" s="11" t="inlineStr">
        <is>
          <t>Eiman Ashkanani</t>
        </is>
      </c>
      <c r="D105" s="11" t="inlineStr">
        <is>
          <t>مناقصة رقم 2027/2026/1532: تاريخ الإقفال وتقديم العطاءات: 24/9/2026 بدلا من 6/9/2026م.</t>
        </is>
      </c>
      <c r="E105" s="11" t="inlineStr">
        <is>
          <t>أعمال وتوريدات 24/9/2026 بدلا من 6/9/2026م. لصالح المؤسسة العامة للرعاية السكنية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28.0%</t>
        </is>
      </c>
      <c r="I105" s="12" t="inlineStr">
        <is>
          <t>government</t>
        </is>
      </c>
      <c r="J105" s="12" t="inlineStr">
        <is>
          <t>2026-09-06</t>
        </is>
      </c>
      <c r="K105" s="12" t="inlineStr">
        <is>
          <t>2026-09-24</t>
        </is>
      </c>
      <c r="L105" s="12" t="inlineStr">
        <is>
          <t>-</t>
        </is>
      </c>
      <c r="M105" s="12" t="inlineStr">
        <is>
          <t>-</t>
        </is>
      </c>
      <c r="N105" s="21" t="inlineStr">
        <is>
          <t>NEW</t>
        </is>
      </c>
      <c r="O105" s="12" t="inlineStr">
        <is>
          <t>غير متوافقة مع اختصاصات KBM</t>
        </is>
      </c>
      <c r="P105" s="23">
        <f>HYPERLINK("https://kuwaitalyawm.media.gov.kw/Online/ViewAdsHTML?id=169402&amp;no=1", "عرض المصدر")</f>
        <v/>
      </c>
    </row>
    <row r="106">
      <c r="A106" s="13" t="inlineStr">
        <is>
          <t>507</t>
        </is>
      </c>
      <c r="B106" s="13" t="inlineStr">
        <is>
          <t>مؤسسة البترول الكويتية</t>
        </is>
      </c>
      <c r="C106" s="13" t="inlineStr">
        <is>
          <t>Eiman Ashkanani</t>
        </is>
      </c>
      <c r="D106" s="13" t="inlineStr">
        <is>
          <t>مناقصة رقم 507: استئجار آلات تصوير مستندات</t>
        </is>
      </c>
      <c r="E106" s="13" t="inlineStr">
        <is>
          <t>أعمال وتوريدات استئجار آلات تصوير مستندات لصالح مؤسسة البترول الكويتية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14" t="inlineStr">
        <is>
          <t>عام</t>
        </is>
      </c>
      <c r="H106" s="14" t="inlineStr">
        <is>
          <t>0.0%</t>
        </is>
      </c>
      <c r="I106" s="14" t="inlineStr">
        <is>
          <t>government</t>
        </is>
      </c>
      <c r="J106" s="14" t="inlineStr">
        <is>
          <t>2026-09-06</t>
        </is>
      </c>
      <c r="K106" s="14" t="inlineStr">
        <is>
          <t>2026-10-13</t>
        </is>
      </c>
      <c r="L106" s="14" t="inlineStr">
        <is>
          <t>2500.0</t>
        </is>
      </c>
      <c r="M106" s="14" t="inlineStr">
        <is>
          <t>100.0</t>
        </is>
      </c>
      <c r="N106" s="21" t="inlineStr">
        <is>
          <t>NEW</t>
        </is>
      </c>
      <c r="O106" s="14" t="inlineStr">
        <is>
          <t>غير متوافقة مع اختصاصات KBM</t>
        </is>
      </c>
      <c r="P106" s="22">
        <f>HYPERLINK("https://kuwaitalyawm.media.gov.kw/Online/ViewAdsHTML?id=169407&amp;no=1", "عرض المصدر")</f>
        <v/>
      </c>
    </row>
    <row r="107">
      <c r="A107" s="11" t="inlineStr">
        <is>
          <t>CB CPC 2551</t>
        </is>
      </c>
      <c r="B107" s="11" t="inlineStr">
        <is>
          <t>شركة البترول الوطنية الكويتية</t>
        </is>
      </c>
      <c r="C107" s="11" t="inlineStr">
        <is>
          <t>Abrar Al-Qallaf</t>
        </is>
      </c>
      <c r="D107" s="11" t="inlineStr">
        <is>
          <t>ممارسة رقم CB CPC 2551: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CB CPC 2551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2026-09-06</t>
        </is>
      </c>
      <c r="K107" s="12" t="inlineStr">
        <is>
          <t>-</t>
        </is>
      </c>
      <c r="L107" s="12" t="inlineStr">
        <is>
          <t>-</t>
        </is>
      </c>
      <c r="M107" s="12" t="inlineStr">
        <is>
          <t>-</t>
        </is>
      </c>
      <c r="N107" s="21" t="inlineStr">
        <is>
          <t>NEW</t>
        </is>
      </c>
      <c r="O107" s="12" t="inlineStr">
        <is>
          <t>غير متوافقة</t>
        </is>
      </c>
      <c r="P107" s="23">
        <f>HYPERLINK("https://kuwaitalyawm.media.gov.kw/Online/ViewAdsHTML?id=169420&amp;no=1", "عرض المصدر")</f>
        <v/>
      </c>
    </row>
    <row r="108">
      <c r="A108" s="13" t="inlineStr">
        <is>
          <t>RFQ 1061885</t>
        </is>
      </c>
      <c r="B108" s="13" t="inlineStr">
        <is>
          <t>شركة البترول الوطنية الكويتية</t>
        </is>
      </c>
      <c r="C108" s="13" t="inlineStr">
        <is>
          <t>Abrar Al-Qallaf</t>
        </is>
      </c>
      <c r="D108" s="13" t="inlineStr">
        <is>
          <t>ممارسة رقم RFQ 1061885: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1061885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2026-09-06</t>
        </is>
      </c>
      <c r="K108" s="14" t="inlineStr">
        <is>
          <t>-</t>
        </is>
      </c>
      <c r="L108" s="14" t="inlineStr">
        <is>
          <t>-</t>
        </is>
      </c>
      <c r="M108" s="14" t="inlineStr">
        <is>
          <t>-</t>
        </is>
      </c>
      <c r="N108" s="21" t="inlineStr">
        <is>
          <t>NEW</t>
        </is>
      </c>
      <c r="O108" s="14" t="inlineStr">
        <is>
          <t>غير متوافقة</t>
        </is>
      </c>
      <c r="P108" s="22">
        <f>HYPERLINK("https://kuwaitalyawm.media.gov.kw/Online/ViewAdsHTML?id=169422&amp;no=1", "عرض المصدر")</f>
        <v/>
      </c>
    </row>
    <row r="109">
      <c r="A109" s="11" t="inlineStr">
        <is>
          <t>MNA-14-2026</t>
        </is>
      </c>
      <c r="B109" s="11" t="inlineStr">
        <is>
          <t>شركة صناعة الكيماويات البترولية</t>
        </is>
      </c>
      <c r="C109" s="11" t="inlineStr">
        <is>
          <t>Abrar Al-Qallaf</t>
        </is>
      </c>
      <c r="D109" s="11" t="inlineStr">
        <is>
          <t>مناقصة رقم MNA-14-2026 - شركة صناعة الكيماويات البترولية</t>
        </is>
      </c>
      <c r="E109" s="11" t="inlineStr">
        <is>
          <t>أعمال وتوريدات مناقصة رقم MNA-14-2026 لصالح شركة صناعة الكيماويات البترولية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15.0%</t>
        </is>
      </c>
      <c r="I109" s="12" t="inlineStr">
        <is>
          <t>government</t>
        </is>
      </c>
      <c r="J109" s="12" t="inlineStr">
        <is>
          <t>2026-09-06</t>
        </is>
      </c>
      <c r="K109" s="18" t="inlineStr">
        <is>
          <t>2026-10-11</t>
        </is>
      </c>
      <c r="L109" s="12" t="inlineStr">
        <is>
          <t>750.0</t>
        </is>
      </c>
      <c r="M109" s="12" t="inlineStr">
        <is>
          <t>-</t>
        </is>
      </c>
      <c r="N109" s="21" t="inlineStr">
        <is>
          <t>NEW</t>
        </is>
      </c>
      <c r="O109" s="12" t="inlineStr">
        <is>
          <t>غير متوافقة مع اختصاصات KBM</t>
        </is>
      </c>
      <c r="P109" s="23">
        <f>HYPERLINK("https://kuwaitalyawm.media.gov.kw/Online/ViewAdsHTML?id=169423&amp;no=1", "عرض المصدر")</f>
        <v/>
      </c>
    </row>
    <row r="110">
      <c r="A110" s="13" t="inlineStr">
        <is>
          <t>MNA-19-2026</t>
        </is>
      </c>
      <c r="B110" s="13" t="inlineStr">
        <is>
          <t>شركة صناعة الكيماويات البترولية</t>
        </is>
      </c>
      <c r="C110" s="13" t="inlineStr">
        <is>
          <t>Abrar Al-Qallaf</t>
        </is>
      </c>
      <c r="D110" s="13" t="inlineStr">
        <is>
          <t>مناقصة رقم MNA-19-2026: Network Maintenance and Managed Network Support Services (صيانة الشبكات والدعم المدار) - شركة صناعة الكيماويات البترولية</t>
        </is>
      </c>
      <c r="E11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1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10" s="24" t="inlineStr">
        <is>
          <t>قطاع العمليات المدارة والدعم الفني متعدد الموردين</t>
        </is>
      </c>
      <c r="H110" s="14" t="inlineStr">
        <is>
          <t>95.0%</t>
        </is>
      </c>
      <c r="I110" s="14" t="inlineStr">
        <is>
          <t>oil_and_gas</t>
        </is>
      </c>
      <c r="J110" s="14" t="inlineStr">
        <is>
          <t>2026-09-06</t>
        </is>
      </c>
      <c r="K110" s="18" t="inlineStr">
        <is>
          <t>2026-10-06</t>
        </is>
      </c>
      <c r="L110" s="14" t="inlineStr">
        <is>
          <t>15000.0</t>
        </is>
      </c>
      <c r="M110" s="14" t="inlineStr">
        <is>
          <t>-</t>
        </is>
      </c>
      <c r="N110" s="21" t="inlineStr">
        <is>
          <t>NEW</t>
        </is>
      </c>
      <c r="O110" s="14" t="inlineStr">
        <is>
          <t>موصى بالتقديم</t>
        </is>
      </c>
      <c r="P110" s="22">
        <f>HYPERLINK("https://kuwaitalyawm.media.gov.kw/Online/ViewAdsHTML?id=169424&amp;no=1", "عرض المصدر")</f>
        <v/>
      </c>
    </row>
    <row r="111">
      <c r="A111" s="11" t="inlineStr">
        <is>
          <t>MNA-24-2026</t>
        </is>
      </c>
      <c r="B111" s="11" t="inlineStr">
        <is>
          <t>شركة صناعة الكيماويات البترولية</t>
        </is>
      </c>
      <c r="C111" s="11" t="inlineStr">
        <is>
          <t>Abrar Al-Qallaf</t>
        </is>
      </c>
      <c r="D111" s="11" t="inlineStr">
        <is>
          <t>مناقصة رقم MNA-24-2026: IBM Maximo Application Suite (MAS) MAS-IT (ICD) License Renewal and Support Services - شركة صناعة الكيماويات البترولية</t>
        </is>
      </c>
      <c r="E11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1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11" s="24" t="inlineStr">
        <is>
          <t>قطاع برمجيات IBM وحلول الذكاء الاصطناعي وRed Hat</t>
        </is>
      </c>
      <c r="H111" s="12" t="inlineStr">
        <is>
          <t>95.0%</t>
        </is>
      </c>
      <c r="I111" s="12" t="inlineStr">
        <is>
          <t>oil_and_gas</t>
        </is>
      </c>
      <c r="J111" s="12" t="inlineStr">
        <is>
          <t>2026-09-06</t>
        </is>
      </c>
      <c r="K111" s="18" t="inlineStr">
        <is>
          <t>2026-10-06</t>
        </is>
      </c>
      <c r="L111" s="12" t="inlineStr">
        <is>
          <t>15000.0</t>
        </is>
      </c>
      <c r="M111" s="12" t="inlineStr">
        <is>
          <t>-</t>
        </is>
      </c>
      <c r="N111" s="21" t="inlineStr">
        <is>
          <t>NEW</t>
        </is>
      </c>
      <c r="O111" s="12" t="inlineStr">
        <is>
          <t>موصى بالتقديم</t>
        </is>
      </c>
      <c r="P111" s="23">
        <f>HYPERLINK("https://kuwaitalyawm.media.gov.kw/Online/ViewAdsHTML?id=169425&amp;no=1", "عرض المصدر")</f>
        <v/>
      </c>
    </row>
    <row r="112">
      <c r="A112" s="13" t="inlineStr">
        <is>
          <t>RFP 2165609</t>
        </is>
      </c>
      <c r="B112" s="13" t="inlineStr">
        <is>
          <t>شركة البترول الوطنية الكويتية</t>
        </is>
      </c>
      <c r="C112" s="13" t="inlineStr">
        <is>
          <t>Abrar Al-Qallaf</t>
        </is>
      </c>
      <c r="D112" s="13" t="inlineStr">
        <is>
          <t>ممارسة رقم RFP 2165609: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RFP 2165609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2026-09-06</t>
        </is>
      </c>
      <c r="K112" s="14" t="inlineStr">
        <is>
          <t>2026-12-07</t>
        </is>
      </c>
      <c r="L112" s="14" t="inlineStr">
        <is>
          <t>2500.0</t>
        </is>
      </c>
      <c r="M112" s="14" t="inlineStr">
        <is>
          <t>-</t>
        </is>
      </c>
      <c r="N112" s="21" t="inlineStr">
        <is>
          <t>NEW</t>
        </is>
      </c>
      <c r="O112" s="14" t="inlineStr">
        <is>
          <t>غير متوافقة</t>
        </is>
      </c>
      <c r="P112" s="22">
        <f>HYPERLINK("https://kuwaitalyawm.media.gov.kw/Online/ViewAdsHTML?id=169428&amp;no=1", "عرض المصدر")</f>
        <v/>
      </c>
    </row>
    <row r="113">
      <c r="A113" s="11" t="inlineStr">
        <is>
          <t>RFP 2156844</t>
        </is>
      </c>
      <c r="B113" s="11" t="inlineStr">
        <is>
          <t>شركة البترول الوطنية الكويتية</t>
        </is>
      </c>
      <c r="C113" s="11" t="inlineStr">
        <is>
          <t>Abrar Al-Qallaf</t>
        </is>
      </c>
      <c r="D113" s="11" t="inlineStr">
        <is>
          <t>ممارسة رقم RFP 2156844: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RFP 2156844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2026-09-06</t>
        </is>
      </c>
      <c r="K113" s="18" t="inlineStr">
        <is>
          <t>2026-10-12</t>
        </is>
      </c>
      <c r="L113" s="12" t="inlineStr">
        <is>
          <t>30000.0</t>
        </is>
      </c>
      <c r="M113" s="12" t="inlineStr">
        <is>
          <t>-</t>
        </is>
      </c>
      <c r="N113" s="21" t="inlineStr">
        <is>
          <t>NEW</t>
        </is>
      </c>
      <c r="O113" s="12" t="inlineStr">
        <is>
          <t>غير متوافقة</t>
        </is>
      </c>
      <c r="P113" s="23">
        <f>HYPERLINK("https://kuwaitalyawm.media.gov.kw/Online/ViewAdsHTML?id=169429&amp;no=1", "عرض المصدر")</f>
        <v/>
      </c>
    </row>
    <row r="114">
      <c r="A114" s="13" t="inlineStr">
        <is>
          <t>2026/2025/37</t>
        </is>
      </c>
      <c r="B114" s="13" t="inlineStr">
        <is>
          <t>وزارة الداخلية</t>
        </is>
      </c>
      <c r="C114" s="13" t="inlineStr">
        <is>
          <t>Khaled Alabdallah</t>
        </is>
      </c>
      <c r="D114" s="13" t="inlineStr">
        <is>
          <t>مناقصة رقم 2026/2025/37: تطوير أنظمة الإدارة والمراقبة وتوفير خدمات تشغيلية لمراكز البيانات</t>
        </is>
      </c>
      <c r="E11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15.0%</t>
        </is>
      </c>
      <c r="I114" s="14" t="inlineStr">
        <is>
          <t>government</t>
        </is>
      </c>
      <c r="J114" s="14" t="inlineStr">
        <is>
          <t>2026-08-30</t>
        </is>
      </c>
      <c r="K114" s="14" t="inlineStr">
        <is>
          <t>2026-09-23</t>
        </is>
      </c>
      <c r="L114" s="14" t="inlineStr">
        <is>
          <t>-</t>
        </is>
      </c>
      <c r="M114" s="14" t="inlineStr">
        <is>
          <t>-</t>
        </is>
      </c>
      <c r="N114" s="21" t="inlineStr">
        <is>
          <t>NEW</t>
        </is>
      </c>
      <c r="O114" s="14" t="inlineStr">
        <is>
          <t>غير متوافقة مع اختصاصات KBM</t>
        </is>
      </c>
      <c r="P114" s="22">
        <f>HYPERLINK("https://kuwaitalyawm.media.gov.kw/Online/ViewAdsHTML?id=168277&amp;no=1", "عرض المصدر")</f>
        <v/>
      </c>
    </row>
    <row r="115">
      <c r="A115" s="11" t="inlineStr">
        <is>
          <t>1092925</t>
        </is>
      </c>
      <c r="B115" s="11" t="inlineStr">
        <is>
          <t>وزارة الدفاع</t>
        </is>
      </c>
      <c r="C115" s="11" t="inlineStr">
        <is>
          <t>Eiman Ashkanani</t>
        </is>
      </c>
      <c r="D115" s="11" t="inlineStr">
        <is>
          <t>مناقصة رقم 1092925: أعمال صيانة شاملة للمعسكرات التابعة لمراقبة لواء مبارك 15</t>
        </is>
      </c>
      <c r="E11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15.0%</t>
        </is>
      </c>
      <c r="I115" s="12" t="inlineStr">
        <is>
          <t>government</t>
        </is>
      </c>
      <c r="J115" s="12" t="inlineStr">
        <is>
          <t>2026-08-30</t>
        </is>
      </c>
      <c r="K115" s="12" t="inlineStr">
        <is>
          <t>-</t>
        </is>
      </c>
      <c r="L115" s="12" t="inlineStr">
        <is>
          <t>23000.0</t>
        </is>
      </c>
      <c r="M115" s="12" t="inlineStr">
        <is>
          <t>1000.0</t>
        </is>
      </c>
      <c r="N115" s="21" t="inlineStr">
        <is>
          <t>NEW</t>
        </is>
      </c>
      <c r="O115" s="12" t="inlineStr">
        <is>
          <t>غير متوافقة مع اختصاصات KBM</t>
        </is>
      </c>
      <c r="P115" s="23">
        <f>HYPERLINK("https://kuwaitalyawm.media.gov.kw/Online/ViewAdsHTML?id=168278&amp;no=1", "عرض المصدر")</f>
        <v/>
      </c>
    </row>
    <row r="116">
      <c r="A116" s="13" t="inlineStr">
        <is>
          <t>1042826</t>
        </is>
      </c>
      <c r="B116" s="13" t="inlineStr">
        <is>
          <t>وزارة الدفاع</t>
        </is>
      </c>
      <c r="C116" s="13" t="inlineStr">
        <is>
          <t>Eiman Ashkanani</t>
        </is>
      </c>
      <c r="D116" s="13" t="inlineStr">
        <is>
          <t>مناقصة رقم 1042826: تشغيل وصيانة وإصلاح لمحطات الوقود بمعسكرات</t>
        </is>
      </c>
      <c r="E116" s="13" t="inlineStr">
        <is>
          <t>أعمال وتوريدات تشغيل وصيانة وإصلاح لمحطات الوقود بمعسكرات لصالح وزارة الدفاع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government</t>
        </is>
      </c>
      <c r="J116" s="14" t="inlineStr">
        <is>
          <t>2026-08-30</t>
        </is>
      </c>
      <c r="K116" s="14" t="inlineStr">
        <is>
          <t>2026-10-27</t>
        </is>
      </c>
      <c r="L116" s="14" t="inlineStr">
        <is>
          <t>15000.0</t>
        </is>
      </c>
      <c r="M116" s="14" t="inlineStr">
        <is>
          <t>1000.0</t>
        </is>
      </c>
      <c r="N116" s="21" t="inlineStr">
        <is>
          <t>NEW</t>
        </is>
      </c>
      <c r="O116" s="14" t="inlineStr">
        <is>
          <t>فرصة ICT متوافقة مع قدرات KBM</t>
        </is>
      </c>
      <c r="P116" s="22">
        <f>HYPERLINK("https://kuwaitalyawm.media.gov.kw/Online/ViewAdsHTML?id=168279&amp;no=1", "عرض المصدر")</f>
        <v/>
      </c>
    </row>
    <row r="117">
      <c r="A117" s="11" t="inlineStr">
        <is>
          <t>2026/504</t>
        </is>
      </c>
      <c r="B117" s="11" t="inlineStr">
        <is>
          <t>مؤسسة البترول الكويتية</t>
        </is>
      </c>
      <c r="C117" s="11" t="inlineStr">
        <is>
          <t>Eiman Ashkanani</t>
        </is>
      </c>
      <c r="D117" s="11" t="inlineStr">
        <is>
          <t>مناقصة رقم 2026/504: توريد مواد تموينية غذائية</t>
        </is>
      </c>
      <c r="E117" s="11" t="inlineStr">
        <is>
          <t>أعمال وتوريدات توريد مواد تموينية غذائية لصالح مؤسسة البترول الكويتية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2026-08-30</t>
        </is>
      </c>
      <c r="K117" s="12" t="inlineStr">
        <is>
          <t>-</t>
        </is>
      </c>
      <c r="L117" s="12" t="inlineStr">
        <is>
          <t>-</t>
        </is>
      </c>
      <c r="M117" s="12" t="inlineStr">
        <is>
          <t>-</t>
        </is>
      </c>
      <c r="N117" s="21" t="inlineStr">
        <is>
          <t>NEW</t>
        </is>
      </c>
      <c r="O117" s="12" t="inlineStr">
        <is>
          <t>غير متوافقة مع اختصاصات KBM</t>
        </is>
      </c>
      <c r="P117" s="23">
        <f>HYPERLINK("https://kuwaitalyawm.media.gov.kw/Online/ViewAdsHTML?id=168747&amp;no=1", "عرض المصدر")</f>
        <v/>
      </c>
    </row>
    <row r="118">
      <c r="A118" s="13" t="inlineStr">
        <is>
          <t>2026/2025/33</t>
        </is>
      </c>
      <c r="B118" s="13" t="inlineStr">
        <is>
          <t>الشركة الكويتية لتزويد الطائرات بالوقود</t>
        </is>
      </c>
      <c r="C118" s="13" t="inlineStr">
        <is>
          <t>Eiman Ashkanani</t>
        </is>
      </c>
      <c r="D11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1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14" t="inlineStr">
        <is>
          <t>عام</t>
        </is>
      </c>
      <c r="H118" s="14" t="inlineStr">
        <is>
          <t>0.0%</t>
        </is>
      </c>
      <c r="I118" s="14" t="inlineStr">
        <is>
          <t>government</t>
        </is>
      </c>
      <c r="J118" s="14" t="inlineStr">
        <is>
          <t>2026-08-30</t>
        </is>
      </c>
      <c r="K118" s="14" t="inlineStr">
        <is>
          <t>2026-09-15</t>
        </is>
      </c>
      <c r="L118" s="14" t="inlineStr">
        <is>
          <t>-</t>
        </is>
      </c>
      <c r="M118" s="14" t="inlineStr">
        <is>
          <t>-</t>
        </is>
      </c>
      <c r="N118" s="21" t="inlineStr">
        <is>
          <t>NEW</t>
        </is>
      </c>
      <c r="O118" s="14" t="inlineStr">
        <is>
          <t>غير متوافقة مع اختصاصات KBM</t>
        </is>
      </c>
      <c r="P118" s="22">
        <f>HYPERLINK("https://kuwaitalyawm.media.gov.kw/Online/ViewAdsHTML?id=168756&amp;no=1", "عرض المصدر")</f>
        <v/>
      </c>
    </row>
    <row r="119">
      <c r="A119" s="11" t="inlineStr">
        <is>
          <t>HO/CC066-R0/SV26</t>
        </is>
      </c>
      <c r="B119" s="11" t="inlineStr">
        <is>
          <t>الشركة الكويتية لنفط الخليج</t>
        </is>
      </c>
      <c r="C119" s="11" t="inlineStr">
        <is>
          <t>Eiman Ashkanani</t>
        </is>
      </c>
      <c r="D119" s="11" t="inlineStr">
        <is>
          <t>مناقصة رقم HO/CC066-R0/SV26 - الشركة الكويتية لنفط الخليج</t>
        </is>
      </c>
      <c r="E1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government</t>
        </is>
      </c>
      <c r="J119" s="12" t="inlineStr">
        <is>
          <t>2026-08-30</t>
        </is>
      </c>
      <c r="K119" s="12" t="inlineStr">
        <is>
          <t>2026-12-01</t>
        </is>
      </c>
      <c r="L119" s="12" t="inlineStr">
        <is>
          <t>50000.0</t>
        </is>
      </c>
      <c r="M119" s="12" t="inlineStr">
        <is>
          <t>-</t>
        </is>
      </c>
      <c r="N119" s="21" t="inlineStr">
        <is>
          <t>NEW</t>
        </is>
      </c>
      <c r="O119" s="12" t="inlineStr">
        <is>
          <t>غير متوافقة مع اختصاصات KBM</t>
        </is>
      </c>
      <c r="P119" s="23">
        <f>HYPERLINK("https://kuwaitalyawm.media.gov.kw/Online/ViewAdsHTML?id=168757&amp;no=1", "عرض المصدر")</f>
        <v/>
      </c>
    </row>
    <row r="120">
      <c r="A120" s="13" t="inlineStr">
        <is>
          <t>2026/8/10</t>
        </is>
      </c>
      <c r="B120" s="13" t="inlineStr">
        <is>
          <t>شركة إدارة المرافق العمومية</t>
        </is>
      </c>
      <c r="C120" s="13" t="inlineStr">
        <is>
          <t>Eiman Ashkanani</t>
        </is>
      </c>
      <c r="D120" s="13" t="inlineStr">
        <is>
          <t>مناقصة رقم 2026/8/10: بخصـوص القيام بأعمـال تعديل وصيانة وإعادة توزيع مكاتب مقر شركة إدارة المرافق العمومية - بموقف الأحمدية متعدد الأدوار</t>
        </is>
      </c>
      <c r="E12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2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20" s="14" t="inlineStr">
        <is>
          <t>عام</t>
        </is>
      </c>
      <c r="H120" s="14" t="inlineStr">
        <is>
          <t>0.0%</t>
        </is>
      </c>
      <c r="I120" s="14" t="inlineStr">
        <is>
          <t>government</t>
        </is>
      </c>
      <c r="J120" s="14" t="inlineStr">
        <is>
          <t>2026-08-30</t>
        </is>
      </c>
      <c r="K120" s="14" t="inlineStr">
        <is>
          <t>2026-09-10</t>
        </is>
      </c>
      <c r="L120" s="14" t="inlineStr">
        <is>
          <t>2000.0</t>
        </is>
      </c>
      <c r="M120" s="14" t="inlineStr">
        <is>
          <t>150.0</t>
        </is>
      </c>
      <c r="N120" s="21" t="inlineStr">
        <is>
          <t>NEW</t>
        </is>
      </c>
      <c r="O120" s="14" t="inlineStr">
        <is>
          <t>غير متوافقة مع اختصاصات KBM</t>
        </is>
      </c>
      <c r="P120" s="22">
        <f>HYPERLINK("https://kuwaitalyawm.media.gov.kw/Online/ViewAdsHTML?id=168758&amp;no=1", "عرض المصدر")</f>
        <v/>
      </c>
    </row>
    <row r="121">
      <c r="A121" s="11" t="inlineStr">
        <is>
          <t>601750</t>
        </is>
      </c>
      <c r="B121" s="11" t="inlineStr">
        <is>
          <t>شركة البترول الكويتية العالمية</t>
        </is>
      </c>
      <c r="C121" s="11" t="inlineStr">
        <is>
          <t>Eiman Ashkanani</t>
        </is>
      </c>
      <c r="D121" s="11" t="inlineStr">
        <is>
          <t>مناقصة رقم 601750 - شركة البترول الكويتية العالمية</t>
        </is>
      </c>
      <c r="E121" s="11" t="inlineStr">
        <is>
          <t>أعمال وتوريدات مناقصة رقم 601750 لصالح شركة البترول الكويتية العالمية وفقاً للشروط والمواصفات المعتمدة في وثائق الطرح.</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government</t>
        </is>
      </c>
      <c r="J121" s="12" t="inlineStr">
        <is>
          <t>2026-08-30</t>
        </is>
      </c>
      <c r="K121" s="12" t="inlineStr">
        <is>
          <t>2026-09-29</t>
        </is>
      </c>
      <c r="L121" s="12" t="inlineStr">
        <is>
          <t>2500.0</t>
        </is>
      </c>
      <c r="M121" s="12" t="inlineStr">
        <is>
          <t>-</t>
        </is>
      </c>
      <c r="N121" s="21" t="inlineStr">
        <is>
          <t>NEW</t>
        </is>
      </c>
      <c r="O121" s="12" t="inlineStr">
        <is>
          <t>غير متوافقة مع اختصاصات KBM</t>
        </is>
      </c>
      <c r="P121" s="23">
        <f>HYPERLINK("https://kuwaitalyawm.media.gov.kw/Online/ViewAdsHTML?id=168759&amp;no=1", "عرض المصدر")</f>
        <v/>
      </c>
    </row>
    <row r="122">
      <c r="A122" s="13" t="inlineStr">
        <is>
          <t>CC CMS 6104</t>
        </is>
      </c>
      <c r="B122" s="13" t="inlineStr">
        <is>
          <t>شركة البترول الوطنية الكويتية</t>
        </is>
      </c>
      <c r="C122" s="13" t="inlineStr">
        <is>
          <t>Abrar Al-Qallaf</t>
        </is>
      </c>
      <c r="D122" s="13" t="inlineStr">
        <is>
          <t>ممارسة رقم CC CMS 6104: توريد مواد ومهمات تشغيلية لزوم شركة البترول الوطنية الكويتية - شركة البترول الوطنية الكويتية</t>
        </is>
      </c>
      <c r="E122" s="13" t="inlineStr">
        <is>
          <t>أعمال وتوريدات تخصصية لزوم شركة البترول الوطنية الكويتية حسب وثائق الممارسة رقم CC CMS 6104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2026-08-30</t>
        </is>
      </c>
      <c r="K122" s="14" t="inlineStr">
        <is>
          <t>2026-10-01</t>
        </is>
      </c>
      <c r="L122" s="14" t="inlineStr">
        <is>
          <t>50000.0</t>
        </is>
      </c>
      <c r="M122" s="14" t="inlineStr">
        <is>
          <t>500.0</t>
        </is>
      </c>
      <c r="N122" s="21" t="inlineStr">
        <is>
          <t>NEW</t>
        </is>
      </c>
      <c r="O122" s="14" t="inlineStr">
        <is>
          <t>غير متوافقة</t>
        </is>
      </c>
      <c r="P122" s="22">
        <f>HYPERLINK("https://kuwaitalyawm.media.gov.kw/Online/ViewAdsHTML?id=168768&amp;no=1", "عرض المصدر")</f>
        <v/>
      </c>
    </row>
    <row r="123">
      <c r="A123" s="11" t="inlineStr">
        <is>
          <t>126</t>
        </is>
      </c>
      <c r="B123" s="11" t="inlineStr">
        <is>
          <t>شركة البترول الوطنية الكويتية</t>
        </is>
      </c>
      <c r="C123" s="11" t="inlineStr">
        <is>
          <t>Abrar Al-Qallaf</t>
        </is>
      </c>
      <c r="D123" s="11" t="inlineStr">
        <is>
          <t>ممارسة رقم 126: توريد مواد ومهمات تشغيلية لزوم شركة البترول الوطنية الكويتية - شركة البترول الوطنية الكويتية</t>
        </is>
      </c>
      <c r="E123" s="11" t="inlineStr">
        <is>
          <t>أعمال وتوريدات تخصصية لزوم شركة البترول الوطنية الكويتية حسب وثائق الممارسة رقم 126 عبر منصة K-Tendering.</t>
        </is>
      </c>
      <c r="F123" s="11" t="inlineStr">
        <is>
          <t>وفقاً لشروط وإجراءات المناقصات والتوريد لدى شركة البترول الوطنية الكويتية (KNPC) عبر منصة K-Tendering.</t>
        </is>
      </c>
      <c r="G123" s="12" t="inlineStr">
        <is>
          <t>عام</t>
        </is>
      </c>
      <c r="H123" s="12" t="inlineStr">
        <is>
          <t>15.0%</t>
        </is>
      </c>
      <c r="I123" s="12" t="inlineStr">
        <is>
          <t>oil_and_gas</t>
        </is>
      </c>
      <c r="J123" s="12" t="inlineStr">
        <is>
          <t>2026-08-30</t>
        </is>
      </c>
      <c r="K123" s="12" t="inlineStr">
        <is>
          <t>-</t>
        </is>
      </c>
      <c r="L123" s="12" t="inlineStr">
        <is>
          <t>-</t>
        </is>
      </c>
      <c r="M123" s="12" t="inlineStr">
        <is>
          <t>-</t>
        </is>
      </c>
      <c r="N123" s="21" t="inlineStr">
        <is>
          <t>NEW</t>
        </is>
      </c>
      <c r="O123" s="12" t="inlineStr">
        <is>
          <t>غير متوافقة</t>
        </is>
      </c>
      <c r="P123" s="23">
        <f>HYPERLINK("https://kuwaitalyawm.media.gov.kw/Online/ViewAdsHTML?id=168769&amp;no=1", "عرض المصدر")</f>
        <v/>
      </c>
    </row>
    <row r="124">
      <c r="A124" s="13" t="inlineStr">
        <is>
          <t>2026/4</t>
        </is>
      </c>
      <c r="B124" s="13" t="inlineStr">
        <is>
          <t>شركة ناقلات النفط الكويتية</t>
        </is>
      </c>
      <c r="C124" s="13" t="inlineStr">
        <is>
          <t>Ahmed Habib</t>
        </is>
      </c>
      <c r="D124" s="13" t="inlineStr">
        <is>
          <t>مناقصة رقم 2026/4: إعلان طرح المناقصة الخاصة بتقديم خدمات النظافة والمناولة لشركة ناقلات النفط الكويتية</t>
        </is>
      </c>
      <c r="E124" s="13" t="inlineStr">
        <is>
          <t>توفير خدمات وأعمال النظافة العامة والشاملة للمباني والمرافق وتوفير العمالة والمعدات والمستهلكات اللازمة.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2026-08-30</t>
        </is>
      </c>
      <c r="K124" s="14" t="inlineStr">
        <is>
          <t>2026-10-13</t>
        </is>
      </c>
      <c r="L124" s="14" t="inlineStr">
        <is>
          <t>15000.0</t>
        </is>
      </c>
      <c r="M124" s="14" t="inlineStr">
        <is>
          <t>-</t>
        </is>
      </c>
      <c r="N124" s="21" t="inlineStr">
        <is>
          <t>NEW</t>
        </is>
      </c>
      <c r="O124" s="14" t="inlineStr">
        <is>
          <t>غير متوافقة مع اختصاصات KBM</t>
        </is>
      </c>
      <c r="P124" s="22">
        <f>HYPERLINK("https://kuwaitalyawm.media.gov.kw/Online/ViewAdsHTML?id=168772&amp;no=1", "عرض المصدر")</f>
        <v/>
      </c>
    </row>
    <row r="125">
      <c r="A125" s="11" t="inlineStr">
        <is>
          <t>RFQ 2163800</t>
        </is>
      </c>
      <c r="B125" s="11" t="inlineStr">
        <is>
          <t>شركة البترول الوطنية الكويتية</t>
        </is>
      </c>
      <c r="C125" s="11" t="inlineStr">
        <is>
          <t>Abrar Al-Qallaf</t>
        </is>
      </c>
      <c r="D125" s="11" t="inlineStr">
        <is>
          <t>ممارسة رقم RFQ 2163800: 2163800 - شركة البترول الوطنية الكويتية</t>
        </is>
      </c>
      <c r="E125" s="11" t="inlineStr">
        <is>
          <t>أعمال وتوريدات تخصصية لزوم شركة البترول الوطنية الكويتية حسب وثائق الممارسة رقم RFQ 2163800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2026-08-30</t>
        </is>
      </c>
      <c r="K125" s="12" t="inlineStr">
        <is>
          <t>-</t>
        </is>
      </c>
      <c r="L125" s="12" t="inlineStr">
        <is>
          <t>-</t>
        </is>
      </c>
      <c r="M125" s="12" t="inlineStr">
        <is>
          <t>-</t>
        </is>
      </c>
      <c r="N125" s="21" t="inlineStr">
        <is>
          <t>NEW</t>
        </is>
      </c>
      <c r="O125" s="12" t="inlineStr">
        <is>
          <t>غير متوافقة</t>
        </is>
      </c>
      <c r="P125" s="23">
        <f>HYPERLINK("https://kuwaitalyawm.media.gov.kw/Online/ViewAdsHTML?id=168778&amp;no=1", "عرض المصدر")</f>
        <v/>
      </c>
    </row>
    <row r="126">
      <c r="A126" s="13" t="inlineStr">
        <is>
          <t>RFQ 2161955</t>
        </is>
      </c>
      <c r="B126" s="13" t="inlineStr">
        <is>
          <t>شركة البترول الوطنية الكويتية</t>
        </is>
      </c>
      <c r="C126" s="13" t="inlineStr">
        <is>
          <t>Abrar Al-Qallaf</t>
        </is>
      </c>
      <c r="D126" s="13" t="inlineStr">
        <is>
          <t>ممارسة رقم RFQ 2161955: توريد مواد ومهمات تشغيلية لزوم شركة البترول الوطنية الكويتية - شركة البترول الوطنية الكويتية</t>
        </is>
      </c>
      <c r="E126" s="13" t="inlineStr">
        <is>
          <t>أعمال وتوريدات تخصصية لزوم شركة البترول الوطنية الكويتية حسب وثائق الممارسة رقم RFQ 2161955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2026-08-30</t>
        </is>
      </c>
      <c r="K126" s="14" t="inlineStr">
        <is>
          <t>-</t>
        </is>
      </c>
      <c r="L126" s="14" t="inlineStr">
        <is>
          <t>-</t>
        </is>
      </c>
      <c r="M126" s="14" t="inlineStr">
        <is>
          <t>-</t>
        </is>
      </c>
      <c r="N126" s="21" t="inlineStr">
        <is>
          <t>NEW</t>
        </is>
      </c>
      <c r="O126" s="14" t="inlineStr">
        <is>
          <t>غير متوافقة</t>
        </is>
      </c>
      <c r="P126" s="22">
        <f>HYPERLINK("https://kuwaitalyawm.media.gov.kw/Online/ViewAdsHTML?id=168779&amp;no=1", "عرض المصدر")</f>
        <v/>
      </c>
    </row>
    <row r="127">
      <c r="A127" s="11" t="inlineStr">
        <is>
          <t>RFQ 2151259</t>
        </is>
      </c>
      <c r="B127" s="11" t="inlineStr">
        <is>
          <t>شركة البترول الوطنية الكويتية</t>
        </is>
      </c>
      <c r="C127" s="11" t="inlineStr">
        <is>
          <t>Abrar Al-Qallaf</t>
        </is>
      </c>
      <c r="D127" s="11" t="inlineStr">
        <is>
          <t>ممارسة رقم RFQ 2151259: PALEOZOIC HPHT ONSHORE EXPLORATORY WELLS - شركة البترول الوطنية الكويتية</t>
        </is>
      </c>
      <c r="E127" s="11" t="inlineStr">
        <is>
          <t>أعمال وتوريدات تخصصية لزوم شركة البترول الوطنية الكويتية حسب وثائق الممارسة رقم RFQ 2151259 عبر منصة K-Tendering.</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2026-08-30</t>
        </is>
      </c>
      <c r="K127" s="12" t="inlineStr">
        <is>
          <t>-</t>
        </is>
      </c>
      <c r="L127" s="12" t="inlineStr">
        <is>
          <t>-</t>
        </is>
      </c>
      <c r="M127" s="12" t="inlineStr">
        <is>
          <t>-</t>
        </is>
      </c>
      <c r="N127" s="21" t="inlineStr">
        <is>
          <t>NEW</t>
        </is>
      </c>
      <c r="O127" s="12" t="inlineStr">
        <is>
          <t>غير متوافقة</t>
        </is>
      </c>
      <c r="P127" s="23">
        <f>HYPERLINK("https://kuwaitalyawm.media.gov.kw/Online/ViewAdsHTML?id=168780&amp;no=1", "عرض المصدر")</f>
        <v/>
      </c>
    </row>
    <row r="128">
      <c r="A128" s="13" t="inlineStr">
        <is>
          <t>RFQ 2160432</t>
        </is>
      </c>
      <c r="B128" s="13" t="inlineStr">
        <is>
          <t>شركة البترول الوطنية الكويتية</t>
        </is>
      </c>
      <c r="C128" s="13" t="inlineStr">
        <is>
          <t>Abrar Al-Qallaf</t>
        </is>
      </c>
      <c r="D128" s="13" t="inlineStr">
        <is>
          <t>ممارسة رقم RFQ 2160432: 2160432 - شركة البترول الوطنية الكويتية</t>
        </is>
      </c>
      <c r="E128" s="13" t="inlineStr">
        <is>
          <t>أعمال وتوريدات تخصصية لزوم شركة البترول الوطنية الكويتية حسب وثائق الممارسة رقم RFQ 2160432 عبر منصة K-Tendering.</t>
        </is>
      </c>
      <c r="F128" s="13" t="inlineStr">
        <is>
          <t>وفقاً لشروط وإجراءات المناقصات والتوريد لدى شركة البترول الوطنية الكويتية (KNPC) عبر منصة K-Tendering.</t>
        </is>
      </c>
      <c r="G128" s="14" t="inlineStr">
        <is>
          <t>عام</t>
        </is>
      </c>
      <c r="H128" s="14" t="inlineStr">
        <is>
          <t>15.0%</t>
        </is>
      </c>
      <c r="I128" s="14" t="inlineStr">
        <is>
          <t>oil_and_gas</t>
        </is>
      </c>
      <c r="J128" s="14" t="inlineStr">
        <is>
          <t>2026-08-30</t>
        </is>
      </c>
      <c r="K128" s="14" t="inlineStr">
        <is>
          <t>-</t>
        </is>
      </c>
      <c r="L128" s="14" t="inlineStr">
        <is>
          <t>-</t>
        </is>
      </c>
      <c r="M128" s="14" t="inlineStr">
        <is>
          <t>-</t>
        </is>
      </c>
      <c r="N128" s="21" t="inlineStr">
        <is>
          <t>NEW</t>
        </is>
      </c>
      <c r="O128" s="14" t="inlineStr">
        <is>
          <t>غير متوافقة</t>
        </is>
      </c>
      <c r="P128" s="22">
        <f>HYPERLINK("https://kuwaitalyawm.media.gov.kw/Online/ViewAdsHTML?id=168781&amp;no=1", "عرض المصدر")</f>
        <v/>
      </c>
    </row>
    <row r="129">
      <c r="A129" s="11" t="inlineStr">
        <is>
          <t>RFQ 2164511</t>
        </is>
      </c>
      <c r="B129" s="11" t="inlineStr">
        <is>
          <t>شركة البترول الوطنية الكويتية</t>
        </is>
      </c>
      <c r="C129" s="11" t="inlineStr">
        <is>
          <t>Abrar Al-Qallaf</t>
        </is>
      </c>
      <c r="D129" s="11" t="inlineStr">
        <is>
          <t>ممارسة رقم RFQ 2164511: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 2164511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2026-08-30</t>
        </is>
      </c>
      <c r="K129" s="12" t="inlineStr">
        <is>
          <t>2026-12-07</t>
        </is>
      </c>
      <c r="L129" s="12" t="inlineStr">
        <is>
          <t>5000.0</t>
        </is>
      </c>
      <c r="M129" s="12" t="inlineStr">
        <is>
          <t>-</t>
        </is>
      </c>
      <c r="N129" s="21" t="inlineStr">
        <is>
          <t>NEW</t>
        </is>
      </c>
      <c r="O129" s="12" t="inlineStr">
        <is>
          <t>غير متوافقة</t>
        </is>
      </c>
      <c r="P129" s="23">
        <f>HYPERLINK("https://kuwaitalyawm.media.gov.kw/Online/ViewAdsHTML?id=168784&amp;no=1", "عرض المصدر")</f>
        <v/>
      </c>
    </row>
    <row r="130">
      <c r="A130" s="13" t="inlineStr">
        <is>
          <t>RFQ 2166316</t>
        </is>
      </c>
      <c r="B130" s="13" t="inlineStr">
        <is>
          <t>شركة البترول الوطنية الكويتية</t>
        </is>
      </c>
      <c r="C130" s="13" t="inlineStr">
        <is>
          <t>Abrar Al-Qallaf</t>
        </is>
      </c>
      <c r="D130" s="13" t="inlineStr">
        <is>
          <t>ممارسة رقم RFQ 2166316: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2166316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2026-08-30</t>
        </is>
      </c>
      <c r="K130" s="14" t="inlineStr">
        <is>
          <t>2026-11-30</t>
        </is>
      </c>
      <c r="L130" s="14" t="inlineStr">
        <is>
          <t>150000.0</t>
        </is>
      </c>
      <c r="M130" s="14" t="inlineStr">
        <is>
          <t>-</t>
        </is>
      </c>
      <c r="N130" s="21" t="inlineStr">
        <is>
          <t>NEW</t>
        </is>
      </c>
      <c r="O130" s="14" t="inlineStr">
        <is>
          <t>غير متوافقة</t>
        </is>
      </c>
      <c r="P130" s="22">
        <f>HYPERLINK("https://kuwaitalyawm.media.gov.kw/Online/ViewAdsHTML?id=168785&amp;no=1", "عرض المصدر")</f>
        <v/>
      </c>
    </row>
    <row r="131">
      <c r="A131" s="11" t="inlineStr">
        <is>
          <t>RFP 2162824</t>
        </is>
      </c>
      <c r="B131" s="11" t="inlineStr">
        <is>
          <t>شركة البترول الوطنية الكويتية</t>
        </is>
      </c>
      <c r="C131" s="11" t="inlineStr">
        <is>
          <t>Abrar Al-Qallaf</t>
        </is>
      </c>
      <c r="D131" s="11" t="inlineStr">
        <is>
          <t>ممارسة رقم RFP 2162824: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RFP 2162824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2026-08-30</t>
        </is>
      </c>
      <c r="K131" s="12" t="inlineStr">
        <is>
          <t>2026-11-30</t>
        </is>
      </c>
      <c r="L131" s="12" t="inlineStr">
        <is>
          <t>50000.0</t>
        </is>
      </c>
      <c r="M131" s="12" t="inlineStr">
        <is>
          <t>-</t>
        </is>
      </c>
      <c r="N131" s="21" t="inlineStr">
        <is>
          <t>NEW</t>
        </is>
      </c>
      <c r="O131" s="12" t="inlineStr">
        <is>
          <t>غير متوافقة</t>
        </is>
      </c>
      <c r="P131" s="23">
        <f>HYPERLINK("https://kuwaitalyawm.media.gov.kw/Online/ViewAdsHTML?id=168786&amp;no=1", "عرض المصدر")</f>
        <v/>
      </c>
    </row>
    <row r="132">
      <c r="A132" s="13" t="inlineStr">
        <is>
          <t>2026/2025/41</t>
        </is>
      </c>
      <c r="B132" s="13" t="inlineStr">
        <is>
          <t>وزارة الداخلية</t>
        </is>
      </c>
      <c r="C132" s="13" t="inlineStr">
        <is>
          <t>Khaled Alabdallah</t>
        </is>
      </c>
      <c r="D13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3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2026-08-23</t>
        </is>
      </c>
      <c r="K132" s="14" t="inlineStr">
        <is>
          <t>-</t>
        </is>
      </c>
      <c r="L132" s="14" t="inlineStr">
        <is>
          <t>12000.0</t>
        </is>
      </c>
      <c r="M132" s="14" t="inlineStr">
        <is>
          <t>-</t>
        </is>
      </c>
      <c r="N132" s="21" t="inlineStr">
        <is>
          <t>NEW</t>
        </is>
      </c>
      <c r="O132" s="14" t="inlineStr">
        <is>
          <t>غير متوافقة مع اختصاصات KBM</t>
        </is>
      </c>
      <c r="P132" s="22">
        <f>HYPERLINK("https://kuwaitalyawm.media.gov.kw/Online/ViewAdsHTML?id=167483&amp;no=1", "عرض المصدر")</f>
        <v/>
      </c>
    </row>
    <row r="133">
      <c r="A133" s="11" t="inlineStr">
        <is>
          <t>2027/2026/1302</t>
        </is>
      </c>
      <c r="B133" s="11" t="inlineStr">
        <is>
          <t>المؤسسة العامة للرعاية السكنية</t>
        </is>
      </c>
      <c r="C133" s="11" t="inlineStr">
        <is>
          <t>Eiman Ashkanani</t>
        </is>
      </c>
      <c r="D133" s="11" t="inlineStr">
        <is>
          <t>مناقصة رقم 2027/2026/1302: أعمال إنشاء وإنـجاز وصيانة طبقة الاسفلت السطحية</t>
        </is>
      </c>
      <c r="E133" s="11" t="inlineStr">
        <is>
          <t>تنفيذ الأعمال المدنية والإنشائية والترميم والصيانة العامة للمباني والمنشآت والمرافق التابعة للجهة.</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28.0%</t>
        </is>
      </c>
      <c r="I133" s="12" t="inlineStr">
        <is>
          <t>government</t>
        </is>
      </c>
      <c r="J133" s="12" t="inlineStr">
        <is>
          <t>2026-08-23</t>
        </is>
      </c>
      <c r="K133" s="12" t="inlineStr">
        <is>
          <t>2026-09-13</t>
        </is>
      </c>
      <c r="L133" s="12" t="inlineStr">
        <is>
          <t>-</t>
        </is>
      </c>
      <c r="M133" s="12" t="inlineStr">
        <is>
          <t>-</t>
        </is>
      </c>
      <c r="N133" s="21" t="inlineStr">
        <is>
          <t>NEW</t>
        </is>
      </c>
      <c r="O133" s="12" t="inlineStr">
        <is>
          <t>غير متوافقة مع اختصاصات KBM</t>
        </is>
      </c>
      <c r="P133" s="23">
        <f>HYPERLINK("https://kuwaitalyawm.media.gov.kw/Online/ViewAdsHTML?id=167880&amp;no=1", "عرض المصدر")</f>
        <v/>
      </c>
    </row>
    <row r="134">
      <c r="A134" s="13" t="inlineStr">
        <is>
          <t>2027/2026/1434</t>
        </is>
      </c>
      <c r="B134" s="13" t="inlineStr">
        <is>
          <t>المؤسسة العامة للرعاية السكنية</t>
        </is>
      </c>
      <c r="C134" s="13" t="inlineStr">
        <is>
          <t>Eiman Ashkanani</t>
        </is>
      </c>
      <c r="D134" s="13" t="inlineStr">
        <is>
          <t>مناقصة رقم 2027/2026/1434 - المؤسسة العامة للرعاية السكنية</t>
        </is>
      </c>
      <c r="E134" s="13" t="inlineStr">
        <is>
          <t>أعمال وتوريدات مناقصة رقم 2027/2026/1434 لصالح المؤسسة العامة للرعاية السكنية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government</t>
        </is>
      </c>
      <c r="J134" s="14" t="inlineStr">
        <is>
          <t>2026-08-23</t>
        </is>
      </c>
      <c r="K134" s="14" t="inlineStr">
        <is>
          <t>2026-08-26</t>
        </is>
      </c>
      <c r="L134" s="14" t="inlineStr">
        <is>
          <t>-</t>
        </is>
      </c>
      <c r="M134" s="14" t="inlineStr">
        <is>
          <t>-</t>
        </is>
      </c>
      <c r="N134" s="21" t="inlineStr">
        <is>
          <t>NEW</t>
        </is>
      </c>
      <c r="O134" s="14" t="inlineStr">
        <is>
          <t>غير متوافقة مع اختصاصات KBM</t>
        </is>
      </c>
      <c r="P134" s="22">
        <f>HYPERLINK("https://kuwaitalyawm.media.gov.kw/Online/ViewAdsHTML?id=167881&amp;no=1", "عرض المصدر")</f>
        <v/>
      </c>
    </row>
    <row r="135">
      <c r="A135" s="11" t="inlineStr">
        <is>
          <t>2027/2026/1435</t>
        </is>
      </c>
      <c r="B135" s="11" t="inlineStr">
        <is>
          <t>المؤسسة العامة للرعاية السكنية</t>
        </is>
      </c>
      <c r="C135" s="11" t="inlineStr">
        <is>
          <t>Eiman Ashkanani</t>
        </is>
      </c>
      <c r="D135" s="11" t="inlineStr">
        <is>
          <t>مناقصة رقم 2027/2026/1435 - المؤسسة العامة للرعاية السكنية</t>
        </is>
      </c>
      <c r="E135" s="11" t="inlineStr">
        <is>
          <t>أعمال وتوريدات مناقصة رقم 2027/2026/1435 لصالح المؤسسة العامة للرعاية السكنية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2026-08-23</t>
        </is>
      </c>
      <c r="K135" s="12" t="inlineStr">
        <is>
          <t>2026-08-26</t>
        </is>
      </c>
      <c r="L135" s="12" t="inlineStr">
        <is>
          <t>-</t>
        </is>
      </c>
      <c r="M135" s="12" t="inlineStr">
        <is>
          <t>-</t>
        </is>
      </c>
      <c r="N135" s="21" t="inlineStr">
        <is>
          <t>NEW</t>
        </is>
      </c>
      <c r="O135" s="12" t="inlineStr">
        <is>
          <t>غير متوافقة مع اختصاصات KBM</t>
        </is>
      </c>
      <c r="P135" s="23">
        <f>HYPERLINK("https://kuwaitalyawm.media.gov.kw/Online/ViewAdsHTML?id=167882&amp;no=1", "عرض المصدر")</f>
        <v/>
      </c>
    </row>
    <row r="136">
      <c r="A136" s="13" t="inlineStr">
        <is>
          <t>2026/2025/15</t>
        </is>
      </c>
      <c r="B136" s="13" t="inlineStr">
        <is>
          <t>الشركة الكويتية لتزويد الطائرات بالوقود</t>
        </is>
      </c>
      <c r="C136" s="13" t="inlineStr">
        <is>
          <t>Eiman Ashkanani</t>
        </is>
      </c>
      <c r="D136" s="13" t="inlineStr">
        <is>
          <t>مناقصة رقم 2026/2025/15 - الشركة الكويتية لتزويد الطائرات بالوقود</t>
        </is>
      </c>
      <c r="E13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t>
        </is>
      </c>
      <c r="L136" s="14" t="inlineStr">
        <is>
          <t>19998.5</t>
        </is>
      </c>
      <c r="M136" s="14" t="inlineStr">
        <is>
          <t>-</t>
        </is>
      </c>
      <c r="N136" s="21" t="inlineStr">
        <is>
          <t>NEW</t>
        </is>
      </c>
      <c r="O136" s="14" t="inlineStr">
        <is>
          <t>غير متوافقة مع اختصاصات KBM</t>
        </is>
      </c>
      <c r="P136" s="22">
        <f>HYPERLINK("https://kuwaitalyawm.media.gov.kw/Online/ViewAdsHTML?id=167896&amp;no=1", "عرض المصدر")</f>
        <v/>
      </c>
    </row>
    <row r="137">
      <c r="A137" s="11" t="inlineStr">
        <is>
          <t>2024/2023/30</t>
        </is>
      </c>
      <c r="B137" s="11" t="inlineStr">
        <is>
          <t>الشركة الكويتية لتزويد الطائرات بالوقود</t>
        </is>
      </c>
      <c r="C137" s="11" t="inlineStr">
        <is>
          <t>Eiman Ashkanani</t>
        </is>
      </c>
      <c r="D13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0.0%</t>
        </is>
      </c>
      <c r="I137" s="12" t="inlineStr">
        <is>
          <t>government</t>
        </is>
      </c>
      <c r="J137" s="12" t="inlineStr">
        <is>
          <t>2026-08-23</t>
        </is>
      </c>
      <c r="K137" s="12" t="inlineStr">
        <is>
          <t>-</t>
        </is>
      </c>
      <c r="L137" s="12" t="inlineStr">
        <is>
          <t>-</t>
        </is>
      </c>
      <c r="M137" s="12" t="inlineStr">
        <is>
          <t>-</t>
        </is>
      </c>
      <c r="N137" s="21" t="inlineStr">
        <is>
          <t>NEW</t>
        </is>
      </c>
      <c r="O137" s="12" t="inlineStr">
        <is>
          <t>غير متوافقة مع اختصاصات KBM</t>
        </is>
      </c>
      <c r="P137" s="23">
        <f>HYPERLINK("https://kuwaitalyawm.media.gov.kw/Online/ViewAdsHTML?id=167897&amp;no=1", "عرض المصدر")</f>
        <v/>
      </c>
    </row>
    <row r="138">
      <c r="A138" s="13" t="inlineStr">
        <is>
          <t>HO/TC146000/R0/PM&amp;E26</t>
        </is>
      </c>
      <c r="B138" s="13" t="inlineStr">
        <is>
          <t>الشركة الكويتية لنفط الخليج</t>
        </is>
      </c>
      <c r="C138" s="13" t="inlineStr">
        <is>
          <t>Eiman Ashkanani</t>
        </is>
      </c>
      <c r="D138" s="13" t="inlineStr">
        <is>
          <t>مناقصة رقم HO/TC146000/R0/PM&amp;E26 - الشركة الكويتية لنفط الخليج</t>
        </is>
      </c>
      <c r="E13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2026-08-23</t>
        </is>
      </c>
      <c r="K138" s="14" t="inlineStr">
        <is>
          <t>2026-12-29</t>
        </is>
      </c>
      <c r="L138" s="14" t="inlineStr">
        <is>
          <t>10000000.0</t>
        </is>
      </c>
      <c r="M138" s="14" t="inlineStr">
        <is>
          <t>-</t>
        </is>
      </c>
      <c r="N138" s="21" t="inlineStr">
        <is>
          <t>NEW</t>
        </is>
      </c>
      <c r="O138" s="14" t="inlineStr">
        <is>
          <t>غير متوافقة مع اختصاصات KBM</t>
        </is>
      </c>
      <c r="P138" s="22">
        <f>HYPERLINK("https://kuwaitalyawm.media.gov.kw/Online/ViewAdsHTML?id=167899&amp;no=1", "عرض المصدر")</f>
        <v/>
      </c>
    </row>
    <row r="139">
      <c r="A139" s="11" t="inlineStr">
        <is>
          <t>CB CPC 2562</t>
        </is>
      </c>
      <c r="B139" s="11" t="inlineStr">
        <is>
          <t>شركة البترول الوطنية الكويتية</t>
        </is>
      </c>
      <c r="C139" s="11" t="inlineStr">
        <is>
          <t>Abrar Al-Qallaf</t>
        </is>
      </c>
      <c r="D139" s="11" t="inlineStr">
        <is>
          <t>ممارسة رقم CB CPC 2562: Filter - شركة البترول الوطنية الكويتية</t>
        </is>
      </c>
      <c r="E139" s="11" t="inlineStr">
        <is>
          <t>أعمال وتوريدات تخصصية لزوم شركة البترول الوطنية الكويتية حسب وثائق الممارسة رقم CB CPC 2562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2026-08-23</t>
        </is>
      </c>
      <c r="K139" s="12" t="inlineStr">
        <is>
          <t>2026-11-26</t>
        </is>
      </c>
      <c r="L139" s="12" t="inlineStr">
        <is>
          <t>5000.0</t>
        </is>
      </c>
      <c r="M139" s="12" t="inlineStr">
        <is>
          <t>150.0</t>
        </is>
      </c>
      <c r="N139" s="21" t="inlineStr">
        <is>
          <t>NEW</t>
        </is>
      </c>
      <c r="O139" s="12" t="inlineStr">
        <is>
          <t>غير متوافقة</t>
        </is>
      </c>
      <c r="P139" s="23">
        <f>HYPERLINK("https://kuwaitalyawm.media.gov.kw/Online/ViewAdsHTML?id=167906&amp;no=1", "عرض المصدر")</f>
        <v/>
      </c>
    </row>
    <row r="140">
      <c r="A140" s="13" t="inlineStr">
        <is>
          <t>RFQ 1063574</t>
        </is>
      </c>
      <c r="B140" s="13" t="inlineStr">
        <is>
          <t>شركة البترول الوطنية الكويتية</t>
        </is>
      </c>
      <c r="C140" s="13" t="inlineStr">
        <is>
          <t>Abrar Al-Qallaf</t>
        </is>
      </c>
      <c r="D140" s="13" t="inlineStr">
        <is>
          <t>ممارسة رقم RFQ 1063574: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 1063574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2026-08-23</t>
        </is>
      </c>
      <c r="K140" s="14" t="inlineStr">
        <is>
          <t>2026-12-03</t>
        </is>
      </c>
      <c r="L140" s="14" t="inlineStr">
        <is>
          <t>1000.0</t>
        </is>
      </c>
      <c r="M140" s="14" t="inlineStr">
        <is>
          <t>-</t>
        </is>
      </c>
      <c r="N140" s="21" t="inlineStr">
        <is>
          <t>NEW</t>
        </is>
      </c>
      <c r="O140" s="14" t="inlineStr">
        <is>
          <t>غير متوافقة</t>
        </is>
      </c>
      <c r="P140" s="22">
        <f>HYPERLINK("https://kuwaitalyawm.media.gov.kw/Online/ViewAdsHTML?id=167907&amp;no=1", "عرض المصدر")</f>
        <v/>
      </c>
    </row>
    <row r="141">
      <c r="A141" s="11" t="inlineStr">
        <is>
          <t>1000</t>
        </is>
      </c>
      <c r="B141" s="11" t="inlineStr">
        <is>
          <t>شركة البترول الوطنية الكويتية</t>
        </is>
      </c>
      <c r="C141" s="11" t="inlineStr">
        <is>
          <t>Abrar Al-Qallaf</t>
        </is>
      </c>
      <c r="D141" s="11" t="inlineStr">
        <is>
          <t>ممارسة رقم 1000: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1000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2026-08-23</t>
        </is>
      </c>
      <c r="K141" s="12" t="inlineStr">
        <is>
          <t>-</t>
        </is>
      </c>
      <c r="L141" s="12" t="inlineStr">
        <is>
          <t>-</t>
        </is>
      </c>
      <c r="M141" s="12" t="inlineStr">
        <is>
          <t>-</t>
        </is>
      </c>
      <c r="N141" s="21" t="inlineStr">
        <is>
          <t>NEW</t>
        </is>
      </c>
      <c r="O141" s="12" t="inlineStr">
        <is>
          <t>غير متوافقة</t>
        </is>
      </c>
      <c r="P141" s="23">
        <f>HYPERLINK("https://kuwaitalyawm.media.gov.kw/Online/ViewAdsHTML?id=167908&amp;no=1", "عرض المصدر")</f>
        <v/>
      </c>
    </row>
    <row r="142">
      <c r="A142" s="13" t="inlineStr">
        <is>
          <t>4-65</t>
        </is>
      </c>
      <c r="B142" s="13" t="inlineStr">
        <is>
          <t>وزارة الصحة</t>
        </is>
      </c>
      <c r="C142" s="13" t="inlineStr">
        <is>
          <t>Jana Al-Obaid</t>
        </is>
      </c>
      <c r="D142" s="13" t="inlineStr">
        <is>
          <t>ممارسة رقم 4-65 - وزارة الصحة</t>
        </is>
      </c>
      <c r="E142" s="13" t="inlineStr">
        <is>
          <t>أعمال وتوريدات ممارسة رقم 4-65 لصالح وزارة الصحة وفقاً للشروط والمواصفات المعتمدة في وثائق الطرح.</t>
        </is>
      </c>
      <c r="F14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42" s="14" t="inlineStr">
        <is>
          <t>عام</t>
        </is>
      </c>
      <c r="H142" s="14" t="inlineStr">
        <is>
          <t>15.0%</t>
        </is>
      </c>
      <c r="I142" s="14" t="inlineStr">
        <is>
          <t>healthcare</t>
        </is>
      </c>
      <c r="J142" s="14" t="inlineStr">
        <is>
          <t>2026-09-27</t>
        </is>
      </c>
      <c r="K142" s="18" t="inlineStr">
        <is>
          <t>2026-10-12</t>
        </is>
      </c>
      <c r="L142" s="14" t="inlineStr">
        <is>
          <t>-</t>
        </is>
      </c>
      <c r="M142" s="14" t="inlineStr">
        <is>
          <t>75.0</t>
        </is>
      </c>
      <c r="N142" s="21" t="inlineStr">
        <is>
          <t>NEW</t>
        </is>
      </c>
      <c r="O142" s="14" t="inlineStr">
        <is>
          <t>غير متوافقة مع اختصاصات KBM</t>
        </is>
      </c>
      <c r="P142" s="22">
        <f>HYPERLINK("https://kuwaitalyawm.media.gov.kw/Online/ViewAdsHTML?id=171550&amp;no=1", "عرض المصدر")</f>
        <v/>
      </c>
    </row>
    <row r="143">
      <c r="A143" s="11" t="inlineStr">
        <is>
          <t>32-8</t>
        </is>
      </c>
      <c r="B143" s="11" t="inlineStr">
        <is>
          <t>وزارة الصحة</t>
        </is>
      </c>
      <c r="C143" s="11" t="inlineStr">
        <is>
          <t>Jana Al-Obaid</t>
        </is>
      </c>
      <c r="D143" s="11" t="inlineStr">
        <is>
          <t>ممارسة رقم 32-8 - وزارة الصحة</t>
        </is>
      </c>
      <c r="E143" s="11" t="inlineStr">
        <is>
          <t>أعمال وتوريدات ممارسة رقم 32-8 لصالح وزارة الصحة وفقاً للشروط والمواصفات المعتمدة في وثائق الطرح.</t>
        </is>
      </c>
      <c r="F143"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43" s="12" t="inlineStr">
        <is>
          <t>عام</t>
        </is>
      </c>
      <c r="H143" s="12" t="inlineStr">
        <is>
          <t>0.0%</t>
        </is>
      </c>
      <c r="I143" s="12" t="inlineStr">
        <is>
          <t>healthcare</t>
        </is>
      </c>
      <c r="J143" s="12" t="inlineStr">
        <is>
          <t>2026-09-27</t>
        </is>
      </c>
      <c r="K143" s="18" t="inlineStr">
        <is>
          <t>2026-10-12</t>
        </is>
      </c>
      <c r="L143" s="12" t="inlineStr">
        <is>
          <t>-</t>
        </is>
      </c>
      <c r="M143" s="12" t="inlineStr">
        <is>
          <t>150.0</t>
        </is>
      </c>
      <c r="N143" s="21" t="inlineStr">
        <is>
          <t>NEW</t>
        </is>
      </c>
      <c r="O143" s="12" t="inlineStr">
        <is>
          <t>غير متوافقة مع اختصاصات KBM</t>
        </is>
      </c>
      <c r="P143" s="23">
        <f>HYPERLINK("https://kuwaitalyawm.media.gov.kw/Online/ViewAdsHTML?id=171549&amp;no=1", "عرض المصدر")</f>
        <v/>
      </c>
    </row>
    <row r="144">
      <c r="A144" s="13" t="inlineStr">
        <is>
          <t>268-274</t>
        </is>
      </c>
      <c r="B144" s="13" t="inlineStr">
        <is>
          <t>وزارة الصحة</t>
        </is>
      </c>
      <c r="C144" s="13" t="inlineStr">
        <is>
          <t>Jana Al-Obaid</t>
        </is>
      </c>
      <c r="D144" s="13" t="inlineStr">
        <is>
          <t>ممارسة رقم 268-274 - وزارة الصحة</t>
        </is>
      </c>
      <c r="E144" s="13" t="inlineStr">
        <is>
          <t>أعمال وتوريدات ممارسة رقم 268-274 لصالح وزارة الصحة وفقاً للشروط والمواصفات المعتمدة في وثائق الطرح.</t>
        </is>
      </c>
      <c r="F1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44" s="14" t="inlineStr">
        <is>
          <t>عام</t>
        </is>
      </c>
      <c r="H144" s="14" t="inlineStr">
        <is>
          <t>15.0%</t>
        </is>
      </c>
      <c r="I144" s="14" t="inlineStr">
        <is>
          <t>healthcare</t>
        </is>
      </c>
      <c r="J144" s="14" t="inlineStr">
        <is>
          <t>2026-09-27</t>
        </is>
      </c>
      <c r="K144" s="14" t="inlineStr">
        <is>
          <t>-</t>
        </is>
      </c>
      <c r="L144" s="14" t="inlineStr">
        <is>
          <t>-</t>
        </is>
      </c>
      <c r="M144" s="14" t="inlineStr">
        <is>
          <t>75.0</t>
        </is>
      </c>
      <c r="N144" s="21" t="inlineStr">
        <is>
          <t>NEW</t>
        </is>
      </c>
      <c r="O144" s="14" t="inlineStr">
        <is>
          <t>غير متوافقة مع اختصاصات KBM</t>
        </is>
      </c>
      <c r="P144" s="22">
        <f>HYPERLINK("https://kuwaitalyawm.media.gov.kw/Online/ViewAdsHTML?id=171548&amp;no=1", "عرض المصدر")</f>
        <v/>
      </c>
    </row>
    <row r="145">
      <c r="A145" s="11" t="inlineStr">
        <is>
          <t>313-225</t>
        </is>
      </c>
      <c r="B145" s="11" t="inlineStr">
        <is>
          <t>وزارة الصحة</t>
        </is>
      </c>
      <c r="C145" s="11" t="inlineStr">
        <is>
          <t>Jana Al-Obaid</t>
        </is>
      </c>
      <c r="D145" s="11" t="inlineStr">
        <is>
          <t>ممارسة رقم 313-225: توريد WASTE DISPOSAL SYSTEM MACERATOR</t>
        </is>
      </c>
      <c r="E145" s="11" t="inlineStr">
        <is>
          <t>أعمال وتوريدات توريد WASTE DISPOSAL SYSTEM MACERATOR لصالح وزارة الصحة وفقاً للشروط والمواصفات المعتمدة في وثائق الطرح.</t>
        </is>
      </c>
      <c r="F14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45" s="12" t="inlineStr">
        <is>
          <t>عام</t>
        </is>
      </c>
      <c r="H145" s="12" t="inlineStr">
        <is>
          <t>15.0%</t>
        </is>
      </c>
      <c r="I145" s="12" t="inlineStr">
        <is>
          <t>healthcare</t>
        </is>
      </c>
      <c r="J145" s="12" t="inlineStr">
        <is>
          <t>2026-09-27</t>
        </is>
      </c>
      <c r="K145" s="12" t="inlineStr">
        <is>
          <t>2026-10-28</t>
        </is>
      </c>
      <c r="L145" s="12" t="inlineStr">
        <is>
          <t>-</t>
        </is>
      </c>
      <c r="M145" s="12" t="inlineStr">
        <is>
          <t>150.0</t>
        </is>
      </c>
      <c r="N145" s="21" t="inlineStr">
        <is>
          <t>NEW</t>
        </is>
      </c>
      <c r="O145" s="12" t="inlineStr">
        <is>
          <t>غير متوافقة مع اختصاصات KBM</t>
        </is>
      </c>
      <c r="P145" s="23">
        <f>HYPERLINK("https://kuwaitalyawm.media.gov.kw/Online/ViewAdsHTML?id=171547&amp;no=1", "عرض المصدر")</f>
        <v/>
      </c>
    </row>
    <row r="146">
      <c r="A146" s="13" t="inlineStr">
        <is>
          <t>36-40</t>
        </is>
      </c>
      <c r="B146" s="13" t="inlineStr">
        <is>
          <t>وزارة الصحة</t>
        </is>
      </c>
      <c r="C146" s="13" t="inlineStr">
        <is>
          <t>Jana Al-Obaid</t>
        </is>
      </c>
      <c r="D146" s="13" t="inlineStr">
        <is>
          <t>ممارسة رقم 36-40 - وزارة الصحة</t>
        </is>
      </c>
      <c r="E146" s="13" t="inlineStr">
        <is>
          <t>أعمال وتوريدات ممارسة رقم 36-40 لصالح وزارة الصحة وفقاً للشروط والمواصفات المعتمدة في وثائق الطرح.</t>
        </is>
      </c>
      <c r="F14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46" s="14" t="inlineStr">
        <is>
          <t>عام</t>
        </is>
      </c>
      <c r="H146" s="14" t="inlineStr">
        <is>
          <t>15.0%</t>
        </is>
      </c>
      <c r="I146" s="14" t="inlineStr">
        <is>
          <t>healthcare</t>
        </is>
      </c>
      <c r="J146" s="14" t="inlineStr">
        <is>
          <t>2026-09-27</t>
        </is>
      </c>
      <c r="K146" s="14" t="inlineStr">
        <is>
          <t>2026-10-14</t>
        </is>
      </c>
      <c r="L146" s="14" t="inlineStr">
        <is>
          <t>-</t>
        </is>
      </c>
      <c r="M146" s="14" t="inlineStr">
        <is>
          <t>75.0</t>
        </is>
      </c>
      <c r="N146" s="21" t="inlineStr">
        <is>
          <t>NEW</t>
        </is>
      </c>
      <c r="O146" s="14" t="inlineStr">
        <is>
          <t>غير متوافقة مع اختصاصات KBM</t>
        </is>
      </c>
      <c r="P146" s="22">
        <f>HYPERLINK("https://kuwaitalyawm.media.gov.kw/Online/ViewAdsHTML?id=171546&amp;no=1", "عرض المصدر")</f>
        <v/>
      </c>
    </row>
    <row r="147">
      <c r="A147" s="11" t="inlineStr">
        <is>
          <t>430-190</t>
        </is>
      </c>
      <c r="B147" s="11" t="inlineStr">
        <is>
          <t>وزارة الصحة</t>
        </is>
      </c>
      <c r="C147" s="11" t="inlineStr">
        <is>
          <t>Jana Al-Obaid</t>
        </is>
      </c>
      <c r="D147" s="11" t="inlineStr">
        <is>
          <t>ممارسة رقم 430-190 - وزارة الصحة</t>
        </is>
      </c>
      <c r="E147" s="11" t="inlineStr">
        <is>
          <t>أعمال وتوريدات ممارسة رقم 430-190 لصالح وزارة الصحة وفقاً للشروط والمواصفات المعتمدة في وثائق الطرح.</t>
        </is>
      </c>
      <c r="F147"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47" s="12" t="inlineStr">
        <is>
          <t>عام</t>
        </is>
      </c>
      <c r="H147" s="12" t="inlineStr">
        <is>
          <t>15.0%</t>
        </is>
      </c>
      <c r="I147" s="12" t="inlineStr">
        <is>
          <t>healthcare</t>
        </is>
      </c>
      <c r="J147" s="12" t="inlineStr">
        <is>
          <t>2026-09-27</t>
        </is>
      </c>
      <c r="K147" s="12" t="inlineStr">
        <is>
          <t>2026-10-28</t>
        </is>
      </c>
      <c r="L147" s="12" t="inlineStr">
        <is>
          <t>-</t>
        </is>
      </c>
      <c r="M147" s="12" t="inlineStr">
        <is>
          <t>150.0</t>
        </is>
      </c>
      <c r="N147" s="21" t="inlineStr">
        <is>
          <t>NEW</t>
        </is>
      </c>
      <c r="O147" s="12" t="inlineStr">
        <is>
          <t>غير متوافقة مع اختصاصات KBM</t>
        </is>
      </c>
      <c r="P147" s="23">
        <f>HYPERLINK("https://kuwaitalyawm.media.gov.kw/Online/ViewAdsHTML?id=171545&amp;no=1", "عرض المصدر")</f>
        <v/>
      </c>
    </row>
    <row r="148">
      <c r="A148" s="13" t="inlineStr">
        <is>
          <t>33/32</t>
        </is>
      </c>
      <c r="B148" s="13" t="inlineStr">
        <is>
          <t>وزارة الصحة</t>
        </is>
      </c>
      <c r="C148" s="13" t="inlineStr">
        <is>
          <t>Jana Al-Obaid</t>
        </is>
      </c>
      <c r="D148" s="13" t="inlineStr">
        <is>
          <t>ممارسة رقم 33/32: توريد وتركيب وتشغيل وصيانة نظام كاميرات المراقبة الأمنية بمستشفى الأميري الجديد والقديم والمباني التابعة لها</t>
        </is>
      </c>
      <c r="E148"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24" t="inlineStr">
        <is>
          <t>قطاع العمليات المدارة والدعم الفني متعدد الموردين</t>
        </is>
      </c>
      <c r="H148" s="14" t="inlineStr">
        <is>
          <t>64.0%</t>
        </is>
      </c>
      <c r="I148" s="14" t="inlineStr">
        <is>
          <t>healthcare</t>
        </is>
      </c>
      <c r="J148" s="14" t="inlineStr">
        <is>
          <t>2026-09-27</t>
        </is>
      </c>
      <c r="K148" s="14" t="inlineStr">
        <is>
          <t>-</t>
        </is>
      </c>
      <c r="L148" s="14" t="inlineStr">
        <is>
          <t>-</t>
        </is>
      </c>
      <c r="M148" s="14" t="inlineStr">
        <is>
          <t>-</t>
        </is>
      </c>
      <c r="N148" s="21" t="inlineStr">
        <is>
          <t>NEW</t>
        </is>
      </c>
      <c r="O148" s="14" t="inlineStr">
        <is>
          <t>فرصة ICT متوافقة مع قدرات KBM</t>
        </is>
      </c>
      <c r="P148" s="22">
        <f>HYPERLINK("https://kuwaitalyawm.media.gov.kw/Online/ViewAdsHTML?id=171544&amp;no=1", "عرض المصدر")</f>
        <v/>
      </c>
    </row>
    <row r="149">
      <c r="A149" s="11" t="inlineStr">
        <is>
          <t>364-294</t>
        </is>
      </c>
      <c r="B149" s="11" t="inlineStr">
        <is>
          <t>وزارة الصحة</t>
        </is>
      </c>
      <c r="C149" s="11" t="inlineStr">
        <is>
          <t>Jana Al-Obaid</t>
        </is>
      </c>
      <c r="D149" s="11" t="inlineStr">
        <is>
          <t>ممارسة رقم 364-294 - وزارة الصحة</t>
        </is>
      </c>
      <c r="E149" s="11" t="inlineStr">
        <is>
          <t>أعمال وتوريدات ممارسة رقم 364-294 لصالح وزارة الصحة وفقاً للشروط والمواصفات المعتمدة في وثائق الطرح.</t>
        </is>
      </c>
      <c r="F149"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49" s="12" t="inlineStr">
        <is>
          <t>عام</t>
        </is>
      </c>
      <c r="H149" s="12" t="inlineStr">
        <is>
          <t>0.0%</t>
        </is>
      </c>
      <c r="I149" s="12" t="inlineStr">
        <is>
          <t>healthcare</t>
        </is>
      </c>
      <c r="J149" s="12" t="inlineStr">
        <is>
          <t>2026-09-27</t>
        </is>
      </c>
      <c r="K149" s="12" t="inlineStr">
        <is>
          <t>-</t>
        </is>
      </c>
      <c r="L149" s="12" t="inlineStr">
        <is>
          <t>-</t>
        </is>
      </c>
      <c r="M149" s="12" t="inlineStr">
        <is>
          <t>75.0</t>
        </is>
      </c>
      <c r="N149" s="21" t="inlineStr">
        <is>
          <t>NEW</t>
        </is>
      </c>
      <c r="O149" s="12" t="inlineStr">
        <is>
          <t>غير متوافقة مع اختصاصات KBM</t>
        </is>
      </c>
      <c r="P149" s="23">
        <f>HYPERLINK("https://kuwaitalyawm.media.gov.kw/Online/ViewAdsHTML?id=171543&amp;no=1", "عرض المصدر")</f>
        <v/>
      </c>
    </row>
    <row r="150">
      <c r="A150" s="13" t="inlineStr">
        <is>
          <t>24141071982026</t>
        </is>
      </c>
      <c r="B150" s="13" t="inlineStr">
        <is>
          <t>وزارة الدفاع</t>
        </is>
      </c>
      <c r="C150" s="13" t="inlineStr">
        <is>
          <t>Eiman Ashkanani</t>
        </is>
      </c>
      <c r="D150" s="13" t="inlineStr">
        <is>
          <t>ممارسة رقم 24141071982026: طلب شراء ملفات طبية للمرضى</t>
        </is>
      </c>
      <c r="E150" s="13" t="inlineStr">
        <is>
          <t>توريد المستلزمات والمواد والمستهلكات الطبية أو المخبرية المتخصصة لصالح المرافق الصحية.</t>
        </is>
      </c>
      <c r="F150"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2026-10-22</t>
        </is>
      </c>
      <c r="L150" s="14" t="inlineStr">
        <is>
          <t>2000.0</t>
        </is>
      </c>
      <c r="M150" s="14" t="inlineStr">
        <is>
          <t>-</t>
        </is>
      </c>
      <c r="N150" s="21" t="inlineStr">
        <is>
          <t>NEW</t>
        </is>
      </c>
      <c r="O150" s="14" t="inlineStr">
        <is>
          <t>غير متوافقة مع اختصاصات KBM</t>
        </is>
      </c>
      <c r="P150" s="22">
        <f>HYPERLINK("https://kuwaitalyawm.media.gov.kw/Online/ViewAdsHTML?id=171541&amp;no=1", "عرض المصدر")</f>
        <v/>
      </c>
    </row>
    <row r="151">
      <c r="A151" s="11" t="inlineStr">
        <is>
          <t>24181118110</t>
        </is>
      </c>
      <c r="B151" s="11" t="inlineStr">
        <is>
          <t>وزارة الدفاع</t>
        </is>
      </c>
      <c r="C151" s="11" t="inlineStr">
        <is>
          <t>Eiman Ashkanani</t>
        </is>
      </c>
      <c r="D151" s="11" t="inlineStr">
        <is>
          <t>ممارسة رقم 24181118110: توريد وتركيب وتعريف واختبار أجهزة خوادم النظام المالي لزوم وزارة الدفاع</t>
        </is>
      </c>
      <c r="E151"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1"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1" s="24" t="inlineStr">
        <is>
          <t>قطاع الخوادم وحلول التخزين والبنية التحتية</t>
        </is>
      </c>
      <c r="H151" s="12" t="inlineStr">
        <is>
          <t>85.0%</t>
        </is>
      </c>
      <c r="I151" s="12" t="inlineStr">
        <is>
          <t>defense_and_security</t>
        </is>
      </c>
      <c r="J151" s="12" t="inlineStr">
        <is>
          <t>2026-09-27</t>
        </is>
      </c>
      <c r="K151" s="12" t="inlineStr">
        <is>
          <t>2026-10-25</t>
        </is>
      </c>
      <c r="L151" s="12" t="inlineStr">
        <is>
          <t>5000.0</t>
        </is>
      </c>
      <c r="M151" s="12" t="inlineStr">
        <is>
          <t>150.0</t>
        </is>
      </c>
      <c r="N151" s="21" t="inlineStr">
        <is>
          <t>NEW</t>
        </is>
      </c>
      <c r="O151" s="12" t="inlineStr">
        <is>
          <t>موصى بالتقديم</t>
        </is>
      </c>
      <c r="P151" s="23">
        <f>HYPERLINK("https://kuwaitalyawm.media.gov.kw/Online/ViewAdsHTML?id=171540&amp;no=1", "عرض المصدر")</f>
        <v/>
      </c>
    </row>
    <row r="152">
      <c r="A152" s="13" t="inlineStr">
        <is>
          <t>24141071967826</t>
        </is>
      </c>
      <c r="B152" s="13" t="inlineStr">
        <is>
          <t>وزارة الدفاع</t>
        </is>
      </c>
      <c r="C152" s="13" t="inlineStr">
        <is>
          <t>Eiman Ashkanani</t>
        </is>
      </c>
      <c r="D152" s="13" t="inlineStr">
        <is>
          <t>ممارسة رقم 24141071967826: إعادة طرح توريد أجهزة تلفزيون لزوم / هيئة الإمداد والتموين</t>
        </is>
      </c>
      <c r="E152"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2"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2" s="14" t="inlineStr">
        <is>
          <t>عام</t>
        </is>
      </c>
      <c r="H152" s="14" t="inlineStr">
        <is>
          <t>15.0%</t>
        </is>
      </c>
      <c r="I152" s="14" t="inlineStr">
        <is>
          <t>defense_and_security</t>
        </is>
      </c>
      <c r="J152" s="14" t="inlineStr">
        <is>
          <t>2026-09-27</t>
        </is>
      </c>
      <c r="K152" s="14" t="inlineStr">
        <is>
          <t>-</t>
        </is>
      </c>
      <c r="L152" s="14" t="inlineStr">
        <is>
          <t>-</t>
        </is>
      </c>
      <c r="M152" s="14" t="inlineStr">
        <is>
          <t>-</t>
        </is>
      </c>
      <c r="N152" s="21" t="inlineStr">
        <is>
          <t>NEW</t>
        </is>
      </c>
      <c r="O152" s="14" t="inlineStr">
        <is>
          <t>غير متوافقة مع اختصاصات KBM</t>
        </is>
      </c>
      <c r="P152" s="22">
        <f>HYPERLINK("https://kuwaitalyawm.media.gov.kw/Online/ViewAdsHTML?id=171539&amp;no=1", "عرض المصدر")</f>
        <v/>
      </c>
    </row>
    <row r="153">
      <c r="A153" s="11" t="inlineStr">
        <is>
          <t>2414/109/20167/26</t>
        </is>
      </c>
      <c r="B153" s="11" t="inlineStr">
        <is>
          <t>وزارة الدفاع</t>
        </is>
      </c>
      <c r="C153" s="11" t="inlineStr">
        <is>
          <t>Eiman Ashkanani</t>
        </is>
      </c>
      <c r="D153" s="11" t="inlineStr">
        <is>
          <t>ممارسة رقم 24141092016726: الطلبية العامة لشراء مواد المطبخ</t>
        </is>
      </c>
      <c r="E153" s="11" t="inlineStr">
        <is>
          <t>أعمال وتوريدات الطلبية العامة لشراء مواد المطبخ لصالح وزارة الدفاع وفقاً للشروط والمواصفات المعتمدة في وثائق الطرح.</t>
        </is>
      </c>
      <c r="F153"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3" s="12" t="inlineStr">
        <is>
          <t>عام</t>
        </is>
      </c>
      <c r="H153" s="12" t="inlineStr">
        <is>
          <t>15.0%</t>
        </is>
      </c>
      <c r="I153" s="12" t="inlineStr">
        <is>
          <t>defense_and_security</t>
        </is>
      </c>
      <c r="J153" s="12" t="inlineStr">
        <is>
          <t>2026-09-13</t>
        </is>
      </c>
      <c r="K153" s="12" t="inlineStr">
        <is>
          <t>2026-10-16</t>
        </is>
      </c>
      <c r="L153" s="12" t="inlineStr">
        <is>
          <t>2000.0</t>
        </is>
      </c>
      <c r="M153" s="12" t="inlineStr">
        <is>
          <t>75.0</t>
        </is>
      </c>
      <c r="N153" s="21" t="inlineStr">
        <is>
          <t>NEW</t>
        </is>
      </c>
      <c r="O153" s="12" t="inlineStr">
        <is>
          <t>غير متوافقة مع اختصاصات KBM</t>
        </is>
      </c>
      <c r="P153" s="23">
        <f>HYPERLINK("https://kuwaitalyawm.media.gov.kw/Online/ViewAdsHTML?id=171538&amp;no=1", "عرض المصدر")</f>
        <v/>
      </c>
    </row>
    <row r="154">
      <c r="A154" s="13" t="inlineStr">
        <is>
          <t>2027/2026/7</t>
        </is>
      </c>
      <c r="B154" s="13" t="inlineStr">
        <is>
          <t>وزارة الــعدل</t>
        </is>
      </c>
      <c r="C154" s="13" t="inlineStr">
        <is>
          <t>Eiman Ashkanani</t>
        </is>
      </c>
      <c r="D154" s="13" t="inlineStr">
        <is>
          <t>ممارسة رقم 2027/2026/7: عن الممارسة رقم (وع/7-2026/2027) توريد وتركيب زجاج سيكوريت بمباني وزارة العدل</t>
        </is>
      </c>
      <c r="E154" s="13" t="inlineStr">
        <is>
          <t>أعمال وتوريدات عن الممارسة رقم (وع/7-2026/2027) توريد وتركيب زجاج سيكوريت بمباني وزارة العدل لصالح وزارة الــعدل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15.0%</t>
        </is>
      </c>
      <c r="I154" s="14" t="inlineStr">
        <is>
          <t>government</t>
        </is>
      </c>
      <c r="J154" s="14" t="inlineStr">
        <is>
          <t>2026-09-27</t>
        </is>
      </c>
      <c r="K154" s="14" t="inlineStr">
        <is>
          <t>2026-10-28</t>
        </is>
      </c>
      <c r="L154" s="14" t="inlineStr">
        <is>
          <t>300 KWD</t>
        </is>
      </c>
      <c r="M154" s="14" t="inlineStr">
        <is>
          <t>75.0</t>
        </is>
      </c>
      <c r="N154" s="21" t="inlineStr">
        <is>
          <t>NEW</t>
        </is>
      </c>
      <c r="O154" s="14" t="inlineStr">
        <is>
          <t>غير متوافقة مع اختصاصات KBM</t>
        </is>
      </c>
      <c r="P154" s="22">
        <f>HYPERLINK("https://kuwaitalyawm.media.gov.kw/Online/ViewAdsHTML?id=171533&amp;no=1", "عرض المصدر")</f>
        <v/>
      </c>
    </row>
    <row r="155">
      <c r="A155" s="11" t="inlineStr">
        <is>
          <t>2027/2026/16</t>
        </is>
      </c>
      <c r="B155" s="11" t="inlineStr">
        <is>
          <t>وزارة الداخلية</t>
        </is>
      </c>
      <c r="C155" s="11" t="inlineStr">
        <is>
          <t>Khaled Alabdallah</t>
        </is>
      </c>
      <c r="D155" s="11" t="inlineStr">
        <is>
          <t>مناقصة رقم 2027/2026/16: توريد وضمان مواد متفجرة لزوم إدارة التجهيزات الأمنية</t>
        </is>
      </c>
      <c r="E155" s="11" t="inlineStr">
        <is>
          <t>توفير خدمات الحراسة والأمن والسلامة للمباني والمنشآت وتأمين المداخل وتوفير الكوادر الأمنية المدربة.</t>
        </is>
      </c>
      <c r="F155"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55" s="12" t="inlineStr">
        <is>
          <t>عام</t>
        </is>
      </c>
      <c r="H155" s="12" t="inlineStr">
        <is>
          <t>15.0%</t>
        </is>
      </c>
      <c r="I155" s="12" t="inlineStr">
        <is>
          <t>education_and_research</t>
        </is>
      </c>
      <c r="J155" s="12" t="inlineStr">
        <is>
          <t>2026-08-23</t>
        </is>
      </c>
      <c r="K155" s="12" t="inlineStr">
        <is>
          <t>-</t>
        </is>
      </c>
      <c r="L155" s="12" t="inlineStr">
        <is>
          <t>2000.0</t>
        </is>
      </c>
      <c r="M155" s="12" t="inlineStr">
        <is>
          <t>-</t>
        </is>
      </c>
      <c r="N155" s="21" t="inlineStr">
        <is>
          <t>NEW</t>
        </is>
      </c>
      <c r="O155" s="12" t="inlineStr">
        <is>
          <t>غير متوافقة مع اختصاصات KBM</t>
        </is>
      </c>
      <c r="P155" s="23">
        <f>HYPERLINK("https://kuwaitalyawm.media.gov.kw/Online/ViewAdsHTML?id=171532&amp;no=1", "عرض المصدر")</f>
        <v/>
      </c>
    </row>
    <row r="156">
      <c r="A156" s="13" t="inlineStr">
        <is>
          <t>RFQ/2167075</t>
        </is>
      </c>
      <c r="B156" s="13" t="inlineStr">
        <is>
          <t>شركة البترول الوطنية الكويتية</t>
        </is>
      </c>
      <c r="C156" s="13" t="inlineStr">
        <is>
          <t>Abrar Al-Qallaf</t>
        </is>
      </c>
      <c r="D156" s="13" t="inlineStr">
        <is>
          <t>ممارسة رقم RFQ/2167075: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RFQ/2167075 عبر منصة K-Tendering.</t>
        </is>
      </c>
      <c r="F156" s="13" t="inlineStr">
        <is>
          <t>وفقاً لشروط وإجراءات المناقصات والتوريد لدى شركة البترول الوطنية الكويتية (KNPC)</t>
        </is>
      </c>
      <c r="G156" s="14" t="inlineStr">
        <is>
          <t>عام</t>
        </is>
      </c>
      <c r="H156" s="14" t="inlineStr">
        <is>
          <t>15.0%</t>
        </is>
      </c>
      <c r="I156" s="14" t="inlineStr">
        <is>
          <t>oil_and_gas</t>
        </is>
      </c>
      <c r="J156" s="14" t="inlineStr">
        <is>
          <t>2026-09-27</t>
        </is>
      </c>
      <c r="K156" s="14" t="inlineStr">
        <is>
          <t>2026-11-02</t>
        </is>
      </c>
      <c r="L156" s="14" t="inlineStr">
        <is>
          <t>500000.0</t>
        </is>
      </c>
      <c r="M156" s="14" t="inlineStr">
        <is>
          <t>-</t>
        </is>
      </c>
      <c r="N156" s="21" t="inlineStr">
        <is>
          <t>NEW</t>
        </is>
      </c>
      <c r="O156" s="14" t="inlineStr">
        <is>
          <t>غير متوافقة</t>
        </is>
      </c>
      <c r="P156" s="22">
        <f>HYPERLINK("https://kuwaitalyawm.media.gov.kw/flip/index?id=5599&amp;no=228", "عرض المصدر")</f>
        <v/>
      </c>
    </row>
    <row r="157">
      <c r="A157" s="11" t="inlineStr">
        <is>
          <t>2027/2026/25</t>
        </is>
      </c>
      <c r="B157" s="11" t="inlineStr">
        <is>
          <t>وزارة الأوقاف والشؤون الإسلامية</t>
        </is>
      </c>
      <c r="C157" s="11" t="inlineStr">
        <is>
          <t>Eiman Ashkanani</t>
        </is>
      </c>
      <c r="D157" s="11" t="inlineStr">
        <is>
          <t>ممارسة رقم 2027/2026/25: أعمال النظافة الخاصة بالمباني والمراكز التابعة لإدارتي الدراسات وعلوم القرآن الكريم بمحافظتي الأحمدي ومبارك الكبير</t>
        </is>
      </c>
      <c r="E157" s="11" t="inlineStr">
        <is>
          <t>توفير خدمات وأعمال النظافة العامة والشاملة للمباني والمرافق وتوفير العمالة والمعدات والمستهلكات اللازمة.</t>
        </is>
      </c>
      <c r="F157"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57" s="12" t="inlineStr">
        <is>
          <t>عام</t>
        </is>
      </c>
      <c r="H157" s="12" t="inlineStr">
        <is>
          <t>0.0%</t>
        </is>
      </c>
      <c r="I157" s="12" t="inlineStr">
        <is>
          <t>government</t>
        </is>
      </c>
      <c r="J157" s="12" t="inlineStr">
        <is>
          <t>2026-09-13</t>
        </is>
      </c>
      <c r="K157" s="12" t="inlineStr">
        <is>
          <t>2026-10-18</t>
        </is>
      </c>
      <c r="L157" s="12" t="inlineStr">
        <is>
          <t>2000.0</t>
        </is>
      </c>
      <c r="M157" s="12" t="inlineStr">
        <is>
          <t>75.0</t>
        </is>
      </c>
      <c r="N157" s="25" t="inlineStr">
        <is>
          <t>UPDATED</t>
        </is>
      </c>
      <c r="O157" s="12" t="inlineStr">
        <is>
          <t>غير متوافقة مع اختصاصات KBM</t>
        </is>
      </c>
      <c r="P157" s="23">
        <f>HYPERLINK("https://kuwaitalyawm.media.gov.kw/flip/index?id=5600&amp;no=81", "عرض المصدر")</f>
        <v/>
      </c>
    </row>
    <row r="158">
      <c r="A158" s="13" t="inlineStr">
        <is>
          <t>و ك م /48/2025/2026</t>
        </is>
      </c>
      <c r="B158" s="13" t="inlineStr">
        <is>
          <t>وزارة الكهرباء والماء والطاقة المتجددة</t>
        </is>
      </c>
      <c r="C158" s="13" t="inlineStr">
        <is>
          <t>Raed Obeid</t>
        </is>
      </c>
      <c r="D158" s="13" t="inlineStr">
        <is>
          <t>أعمال صيانة أنظمة الإنذار ومكافحة الحريق في محطات الشعيبة لتوليد القوى الكهربائية وتقطير المياه</t>
        </is>
      </c>
      <c r="E15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24" t="inlineStr">
        <is>
          <t>عام</t>
        </is>
      </c>
      <c r="H158" s="14" t="inlineStr">
        <is>
          <t>24.0%</t>
        </is>
      </c>
      <c r="I158" s="14" t="inlineStr">
        <is>
          <t>oil_and_gas</t>
        </is>
      </c>
      <c r="J158" s="14" t="inlineStr">
        <is>
          <t>2026-10-04</t>
        </is>
      </c>
      <c r="K158" s="14" t="inlineStr">
        <is>
          <t>2026-11-03</t>
        </is>
      </c>
      <c r="L158" s="14" t="inlineStr">
        <is>
          <t>23000.000 KWD</t>
        </is>
      </c>
      <c r="M158" s="14" t="inlineStr">
        <is>
          <t>1000.000 KWD</t>
        </is>
      </c>
      <c r="N158" s="21" t="inlineStr">
        <is>
          <t>NEW</t>
        </is>
      </c>
      <c r="O158" s="14" t="inlineStr">
        <is>
          <t>غير متوافقة مع اختصاصات KBM</t>
        </is>
      </c>
      <c r="P158" s="22">
        <f>HYPERLINK("https://capt.gov.kw/ar/tenders/opening-tenders/#card-4", "عرض المصدر")</f>
        <v/>
      </c>
    </row>
    <row r="159">
      <c r="A159" s="11" t="inlineStr">
        <is>
          <t>و ش ج 8/2025/2026</t>
        </is>
      </c>
      <c r="B159" s="11" t="inlineStr">
        <is>
          <t>وزارة الشئون الاجتماعية</t>
        </is>
      </c>
      <c r="C159" s="11" t="inlineStr">
        <is>
          <t>Eiman Ashkanani</t>
        </is>
      </c>
      <c r="D159" s="11" t="inlineStr">
        <is>
          <t>أعمال اصلاح وتشغيل وصيانة معدات التكييف والتبريد والتدفئة والتهوية الخاصة بصالات الأفراح التابعة للوزارة</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24.0%</t>
        </is>
      </c>
      <c r="I159" s="12" t="inlineStr">
        <is>
          <t>government</t>
        </is>
      </c>
      <c r="J159" s="12" t="inlineStr">
        <is>
          <t>2026-10-04</t>
        </is>
      </c>
      <c r="K159" s="12" t="inlineStr">
        <is>
          <t>2026-12-29</t>
        </is>
      </c>
      <c r="L159" s="12" t="inlineStr">
        <is>
          <t>23000.000 KWD</t>
        </is>
      </c>
      <c r="M159" s="12" t="inlineStr">
        <is>
          <t>1000.000 KWD</t>
        </is>
      </c>
      <c r="N159" s="21" t="inlineStr">
        <is>
          <t>NEW</t>
        </is>
      </c>
      <c r="O159" s="12" t="inlineStr">
        <is>
          <t>غير متوافقة مع اختصاصات KBM</t>
        </is>
      </c>
      <c r="P159" s="23">
        <f>HYPERLINK("https://capt.gov.kw/ar/tenders/opening-tenders/#card-3", "عرض المصدر")</f>
        <v/>
      </c>
    </row>
    <row r="160">
      <c r="A160" s="13" t="inlineStr">
        <is>
          <t>ص / م خ ع / 11/2025/2026</t>
        </is>
      </c>
      <c r="B160" s="13" t="inlineStr">
        <is>
          <t>وزارة الصحة</t>
        </is>
      </c>
      <c r="C160" s="13" t="inlineStr">
        <is>
          <t>Jana Al-Obaid</t>
        </is>
      </c>
      <c r="D160" s="13" t="inlineStr">
        <is>
          <t>زيادة سعة بدالة مستشفى الاميري الجديد وربط المباني الملحقة بها بنظام اتصالات مركزي موحد</t>
        </is>
      </c>
      <c r="E160"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24" t="inlineStr">
        <is>
          <t>عام</t>
        </is>
      </c>
      <c r="H160" s="14" t="inlineStr">
        <is>
          <t>24.0%</t>
        </is>
      </c>
      <c r="I160" s="14" t="inlineStr">
        <is>
          <t>healthcare</t>
        </is>
      </c>
      <c r="J160" s="14" t="inlineStr">
        <is>
          <t>2026-10-04</t>
        </is>
      </c>
      <c r="K160" s="14" t="inlineStr">
        <is>
          <t>2026-11-03</t>
        </is>
      </c>
      <c r="L160" s="14" t="inlineStr">
        <is>
          <t>6000.000 KWD</t>
        </is>
      </c>
      <c r="M160" s="14" t="inlineStr">
        <is>
          <t>300.000 KWD</t>
        </is>
      </c>
      <c r="N160" s="21" t="inlineStr">
        <is>
          <t>NEW</t>
        </is>
      </c>
      <c r="O160" s="14" t="inlineStr">
        <is>
          <t>غير متوافقة مع اختصاصات KBM</t>
        </is>
      </c>
      <c r="P160" s="22">
        <f>HYPERLINK("https://capt.gov.kw/ar/tenders/opening-tenders/#card-2", "عرض المصدر")</f>
        <v/>
      </c>
    </row>
    <row r="161">
      <c r="A161" s="11" t="inlineStr">
        <is>
          <t>ب ب هـ / 1/2025/2026</t>
        </is>
      </c>
      <c r="B161" s="11" t="inlineStr">
        <is>
          <t>وزارة المواصلات</t>
        </is>
      </c>
      <c r="C161" s="11" t="inlineStr">
        <is>
          <t>Eiman Ashkanani</t>
        </is>
      </c>
      <c r="D161" s="11" t="inlineStr">
        <is>
          <t>اعمال التنظيف و خدمة مرافق و مكاتب وزارة المواصلات</t>
        </is>
      </c>
      <c r="E161" s="11" t="inlineStr">
        <is>
          <t>توفير خدمات وأعمال النظافة العامة والشاملة للمباني والمرافق وتوفير العمالة والمعدات والمستهلكات اللازمة.</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telecom_and_media</t>
        </is>
      </c>
      <c r="J161" s="12" t="inlineStr">
        <is>
          <t>2026-10-04</t>
        </is>
      </c>
      <c r="K161" s="12" t="inlineStr">
        <is>
          <t>2026-12-29</t>
        </is>
      </c>
      <c r="L161" s="12" t="inlineStr">
        <is>
          <t>45000.000 KWD</t>
        </is>
      </c>
      <c r="M161" s="12" t="inlineStr">
        <is>
          <t>1000.000 KWD</t>
        </is>
      </c>
      <c r="N161" s="21" t="inlineStr">
        <is>
          <t>NEW</t>
        </is>
      </c>
      <c r="O161" s="12" t="inlineStr">
        <is>
          <t>غير متوافقة مع اختصاصات KBM</t>
        </is>
      </c>
      <c r="P161" s="23">
        <f>HYPERLINK("https://capt.gov.kw/ar/tenders/opening-tenders/#card-1", "عرض المصدر")</f>
        <v/>
      </c>
    </row>
    <row r="162">
      <c r="A162" s="13" t="inlineStr">
        <is>
          <t>4/2024/2025</t>
        </is>
      </c>
      <c r="B162" s="13" t="inlineStr">
        <is>
          <t>بنك الكويت المركزي</t>
        </is>
      </c>
      <c r="C162" s="13" t="inlineStr">
        <is>
          <t>Eiman Ashkanani</t>
        </is>
      </c>
      <c r="D162" s="13" t="inlineStr">
        <is>
          <t>أعمال تأهيل المبنى المساند وإنشاء متحف بنك الكويت المركزي</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banking_and_finance</t>
        </is>
      </c>
      <c r="J162" s="14" t="inlineStr">
        <is>
          <t>2026-10-04</t>
        </is>
      </c>
      <c r="K162" s="14" t="inlineStr">
        <is>
          <t>2026-11-03</t>
        </is>
      </c>
      <c r="L162" s="14" t="inlineStr">
        <is>
          <t>170000.000 KWD</t>
        </is>
      </c>
      <c r="M162" s="14" t="inlineStr">
        <is>
          <t>3500.000 KWD</t>
        </is>
      </c>
      <c r="N162" s="21" t="inlineStr">
        <is>
          <t>NEW</t>
        </is>
      </c>
      <c r="O162" s="14" t="inlineStr">
        <is>
          <t>غير متوافقة مع اختصاصات KBM</t>
        </is>
      </c>
      <c r="P162" s="22">
        <f>HYPERLINK("https://capt.gov.kw/ar/tenders/opening-tenders/#card-0", "عرض المصدر")</f>
        <v/>
      </c>
    </row>
    <row r="163">
      <c r="A163" s="11" t="inlineStr">
        <is>
          <t>و ك م/61/2025/2026</t>
        </is>
      </c>
      <c r="B163" s="11" t="inlineStr">
        <is>
          <t>وزارة الكهرباء والماء والطاقة المتجددة</t>
        </is>
      </c>
      <c r="C163" s="11" t="inlineStr">
        <is>
          <t>Raed Obeid</t>
        </is>
      </c>
      <c r="D163" s="11" t="inlineStr">
        <is>
          <t>أعمال الصيانة السنوية للمعدات الكهربائية في محطة الشعيبة الجنوبية لتوليد القوى الكهربائية وتقطير المياه</t>
        </is>
      </c>
      <c r="E16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oil_and_gas</t>
        </is>
      </c>
      <c r="J163" s="12" t="inlineStr">
        <is>
          <t>2026-08-16</t>
        </is>
      </c>
      <c r="K163" s="12" t="inlineStr">
        <is>
          <t>2026-10-13</t>
        </is>
      </c>
      <c r="L163" s="12" t="inlineStr">
        <is>
          <t>45000.000 KWD</t>
        </is>
      </c>
      <c r="M163" s="12" t="inlineStr">
        <is>
          <t>1000.000 KWD</t>
        </is>
      </c>
      <c r="N163" s="21" t="inlineStr">
        <is>
          <t>NEW</t>
        </is>
      </c>
      <c r="O163" s="12" t="inlineStr">
        <is>
          <t>غير متوافقة مع اختصاصات KBM</t>
        </is>
      </c>
      <c r="P163" s="23">
        <f>HYPERLINK("https://capt.gov.kw/ar/tenders/opening-tenders/#card-9", "عرض المصدر")</f>
        <v/>
      </c>
    </row>
    <row r="164">
      <c r="A164" s="13" t="inlineStr">
        <is>
          <t>ص/م خ ع/2/2025/2026</t>
        </is>
      </c>
      <c r="B164" s="13" t="inlineStr">
        <is>
          <t>وزارة الصحة</t>
        </is>
      </c>
      <c r="C164" s="13" t="inlineStr">
        <is>
          <t>Jana Al-Obaid</t>
        </is>
      </c>
      <c r="D164" s="13" t="inlineStr">
        <is>
          <t>الانشاء و التجهيز و التأثيث و الصيانة لمشروع انشاء المطبخ المركزي لمستشفى الفروانية الجديد</t>
        </is>
      </c>
      <c r="E164"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2026-08-16</t>
        </is>
      </c>
      <c r="K164" s="14" t="inlineStr">
        <is>
          <t>2026-11-03</t>
        </is>
      </c>
      <c r="L164" s="14" t="inlineStr">
        <is>
          <t>62000.000 KWD</t>
        </is>
      </c>
      <c r="M164" s="14" t="inlineStr">
        <is>
          <t>1000.000 KWD</t>
        </is>
      </c>
      <c r="N164" s="21" t="inlineStr">
        <is>
          <t>NEW</t>
        </is>
      </c>
      <c r="O164" s="14" t="inlineStr">
        <is>
          <t>غير متوافقة مع اختصاصات KBM</t>
        </is>
      </c>
      <c r="P164" s="22">
        <f>HYPERLINK("https://capt.gov.kw/ar/tenders/opening-tenders/#card-8", "عرض المصدر")</f>
        <v/>
      </c>
    </row>
    <row r="165">
      <c r="A165" s="11" t="inlineStr">
        <is>
          <t>و ك م /41/2024/2025</t>
        </is>
      </c>
      <c r="B165" s="11" t="inlineStr">
        <is>
          <t>وزارة الكهرباء والماء والطاقة المتجددة</t>
        </is>
      </c>
      <c r="C165" s="11" t="inlineStr">
        <is>
          <t>Raed Obeid</t>
        </is>
      </c>
      <c r="D165" s="11" t="inlineStr">
        <is>
          <t>أعمال توريد وتركيب وصيانة خطوط هوائية ضغط متوسط 11 ك.ف وضغط منخفض والأعمال المدنية المتعلقة بهما في ( المنطقة الجنوبية )</t>
        </is>
      </c>
      <c r="E16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oil_and_gas</t>
        </is>
      </c>
      <c r="J165" s="12" t="inlineStr">
        <is>
          <t>2026-08-23</t>
        </is>
      </c>
      <c r="K165" s="12" t="inlineStr">
        <is>
          <t>2026-10-20</t>
        </is>
      </c>
      <c r="L165" s="12" t="inlineStr">
        <is>
          <t>100000.000 KWD</t>
        </is>
      </c>
      <c r="M165" s="12" t="inlineStr">
        <is>
          <t>3500.000 KWD</t>
        </is>
      </c>
      <c r="N165" s="21" t="inlineStr">
        <is>
          <t>NEW</t>
        </is>
      </c>
      <c r="O165" s="12" t="inlineStr">
        <is>
          <t>غير متوافقة مع اختصاصات KBM</t>
        </is>
      </c>
      <c r="P165" s="23">
        <f>HYPERLINK("https://capt.gov.kw/ar/tenders/opening-tenders/#card-7", "عرض المصدر")</f>
        <v/>
      </c>
    </row>
    <row r="166">
      <c r="A166" s="13" t="inlineStr">
        <is>
          <t>و ك م /39/2024/2025</t>
        </is>
      </c>
      <c r="B166" s="13" t="inlineStr">
        <is>
          <t>وزارة الكهرباء والماء والطاقة المتجددة</t>
        </is>
      </c>
      <c r="C166" s="13" t="inlineStr">
        <is>
          <t>Raed Obeid</t>
        </is>
      </c>
      <c r="D166" s="13" t="inlineStr">
        <is>
          <t>اعمال توريد وتركيب وصيانة خطوط هوائية ضغط متوسط 11 ك.ف وضغط منخفض و الأعمال المدنية المتعلقة بهما في ( المنطقة الشمالية )</t>
        </is>
      </c>
      <c r="E16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0.0%</t>
        </is>
      </c>
      <c r="I166" s="14" t="inlineStr">
        <is>
          <t>oil_and_gas</t>
        </is>
      </c>
      <c r="J166" s="14" t="inlineStr">
        <is>
          <t>2026-08-23</t>
        </is>
      </c>
      <c r="K166" s="14" t="inlineStr">
        <is>
          <t>2026-10-20</t>
        </is>
      </c>
      <c r="L166" s="14" t="inlineStr">
        <is>
          <t>100000.000 KWD</t>
        </is>
      </c>
      <c r="M166" s="14" t="inlineStr">
        <is>
          <t>3500.000 KWD</t>
        </is>
      </c>
      <c r="N166" s="21" t="inlineStr">
        <is>
          <t>NEW</t>
        </is>
      </c>
      <c r="O166" s="14" t="inlineStr">
        <is>
          <t>غير متوافقة مع اختصاصات KBM</t>
        </is>
      </c>
      <c r="P166" s="22">
        <f>HYPERLINK("https://capt.gov.kw/ar/tenders/opening-tenders/#card-6", "عرض المصدر")</f>
        <v/>
      </c>
    </row>
    <row r="167">
      <c r="A167" s="11" t="inlineStr">
        <is>
          <t>و ك م /14/2024/2025</t>
        </is>
      </c>
      <c r="B167" s="11" t="inlineStr">
        <is>
          <t>وزارة الكهرباء والماء والطاقة المتجددة</t>
        </is>
      </c>
      <c r="C167" s="11" t="inlineStr">
        <is>
          <t>Raed Obeid</t>
        </is>
      </c>
      <c r="D167" s="11" t="inlineStr">
        <is>
          <t>اعمال توريد وتركيب وصيانه خطوط هوائيه ضغط متوسط 11 ك.ف وضغط منخفض والاعمال المدنيه المتعلقه بهما في (المنطقه الوسطى)</t>
        </is>
      </c>
      <c r="E16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0.0%</t>
        </is>
      </c>
      <c r="I167" s="12" t="inlineStr">
        <is>
          <t>oil_and_gas</t>
        </is>
      </c>
      <c r="J167" s="12" t="inlineStr">
        <is>
          <t>2026-08-23</t>
        </is>
      </c>
      <c r="K167" s="12" t="inlineStr">
        <is>
          <t>2026-10-20</t>
        </is>
      </c>
      <c r="L167" s="12" t="inlineStr">
        <is>
          <t>100000.000 KWD</t>
        </is>
      </c>
      <c r="M167" s="12" t="inlineStr">
        <is>
          <t>3500.000 KWD</t>
        </is>
      </c>
      <c r="N167" s="21" t="inlineStr">
        <is>
          <t>NEW</t>
        </is>
      </c>
      <c r="O167" s="12" t="inlineStr">
        <is>
          <t>غير متوافقة مع اختصاصات KBM</t>
        </is>
      </c>
      <c r="P167" s="23">
        <f>HYPERLINK("https://capt.gov.kw/ar/tenders/opening-tenders/#card-5", "عرض المصدر")</f>
        <v/>
      </c>
    </row>
    <row r="168">
      <c r="A168" s="13" t="inlineStr">
        <is>
          <t>و ش ج 12/2024/2025</t>
        </is>
      </c>
      <c r="B168" s="13" t="inlineStr">
        <is>
          <t>وزارة الشئون الاجتماعية</t>
        </is>
      </c>
      <c r="C168" s="13" t="inlineStr">
        <is>
          <t>Eiman Ashkanani</t>
        </is>
      </c>
      <c r="D168" s="13" t="inlineStr">
        <is>
          <t>اصلاح و تشغيل و صيانة و توريد و تركيب معدات التكييف و التبريد و التهوية و التدفئه لقطاع الرعاية الاجتماعيه و المباني التابعه له</t>
        </is>
      </c>
      <c r="E168" s="13" t="inlineStr">
        <is>
          <t>أعمال صيانة وتشغيل وإصلاح وحدات ومحطات التكييف المركزي والمبردات وضواغط الهواء وشبكات مجاري الهواء.</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0.0%</t>
        </is>
      </c>
      <c r="I168" s="14" t="inlineStr">
        <is>
          <t>government</t>
        </is>
      </c>
      <c r="J168" s="14" t="inlineStr">
        <is>
          <t>2026-08-23</t>
        </is>
      </c>
      <c r="K168" s="14" t="inlineStr">
        <is>
          <t>2026-11-22</t>
        </is>
      </c>
      <c r="L168" s="14" t="inlineStr">
        <is>
          <t>6000.000 KWD</t>
        </is>
      </c>
      <c r="M168" s="14" t="inlineStr">
        <is>
          <t>300.000 KWD</t>
        </is>
      </c>
      <c r="N168" s="21" t="inlineStr">
        <is>
          <t>NEW</t>
        </is>
      </c>
      <c r="O168" s="14" t="inlineStr">
        <is>
          <t>غير متوافقة مع اختصاصات KBM</t>
        </is>
      </c>
      <c r="P168" s="22">
        <f>HYPERLINK("https://capt.gov.kw/ar/tenders/opening-tenders/#card-4", "عرض المصدر")</f>
        <v/>
      </c>
    </row>
    <row r="169">
      <c r="A169" s="11" t="inlineStr">
        <is>
          <t>هـ ع ص / 9 / 2024-2027</t>
        </is>
      </c>
      <c r="B169" s="11" t="inlineStr">
        <is>
          <t>الهيئة العامة للصناعة</t>
        </is>
      </c>
      <c r="C169" s="11" t="inlineStr">
        <is>
          <t>Eiman Ashkanani</t>
        </is>
      </c>
      <c r="D169"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69"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عام</t>
        </is>
      </c>
      <c r="H169" s="12" t="inlineStr">
        <is>
          <t>0.0%</t>
        </is>
      </c>
      <c r="I169" s="12" t="inlineStr">
        <is>
          <t>government</t>
        </is>
      </c>
      <c r="J169" s="12" t="inlineStr">
        <is>
          <t>2026-08-23</t>
        </is>
      </c>
      <c r="K169" s="12" t="inlineStr">
        <is>
          <t>2026-10-20</t>
        </is>
      </c>
      <c r="L169" s="12" t="inlineStr">
        <is>
          <t>23000.000 KWD</t>
        </is>
      </c>
      <c r="M169" s="12" t="inlineStr">
        <is>
          <t>1000.000 KWD</t>
        </is>
      </c>
      <c r="N169" s="21" t="inlineStr">
        <is>
          <t>NEW</t>
        </is>
      </c>
      <c r="O169" s="12" t="inlineStr">
        <is>
          <t>غير متوافقة مع اختصاصات KBM</t>
        </is>
      </c>
      <c r="P169" s="23">
        <f>HYPERLINK("https://capt.gov.kw/ar/tenders/opening-tenders/#card-3", "عرض المصدر")</f>
        <v/>
      </c>
    </row>
    <row r="170">
      <c r="A170" s="13" t="inlineStr">
        <is>
          <t>م ع/23/2025/2026</t>
        </is>
      </c>
      <c r="B170" s="13" t="inlineStr">
        <is>
          <t>وزارة التربية</t>
        </is>
      </c>
      <c r="C170" s="13" t="inlineStr">
        <is>
          <t>Eiman Ashkanani</t>
        </is>
      </c>
      <c r="D170" s="13" t="inlineStr">
        <is>
          <t>تنفيذ أعمال التشغيل والصيانة وإدارة مبنى ديوان عام الوزارة الجديد بجنوب السرة</t>
        </is>
      </c>
      <c r="E17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0.0%</t>
        </is>
      </c>
      <c r="I170" s="14" t="inlineStr">
        <is>
          <t>education_and_research</t>
        </is>
      </c>
      <c r="J170" s="14" t="inlineStr">
        <is>
          <t>2026-08-23</t>
        </is>
      </c>
      <c r="K170" s="14" t="inlineStr">
        <is>
          <t>2026-11-17</t>
        </is>
      </c>
      <c r="L170" s="14" t="inlineStr">
        <is>
          <t>62000.000 KWD</t>
        </is>
      </c>
      <c r="M170" s="14" t="inlineStr">
        <is>
          <t>3500.000 KWD</t>
        </is>
      </c>
      <c r="N170" s="21" t="inlineStr">
        <is>
          <t>NEW</t>
        </is>
      </c>
      <c r="O170" s="14" t="inlineStr">
        <is>
          <t>غير متوافقة مع اختصاصات KBM</t>
        </is>
      </c>
      <c r="P170" s="22">
        <f>HYPERLINK("https://capt.gov.kw/ar/tenders/opening-tenders/#card-2", "عرض المصدر")</f>
        <v/>
      </c>
    </row>
    <row r="171">
      <c r="A171" s="11" t="inlineStr">
        <is>
          <t>62/2020/2021</t>
        </is>
      </c>
      <c r="B171" s="11" t="inlineStr">
        <is>
          <t>وزارة الكهرباء والماء والطاقة المتجددة</t>
        </is>
      </c>
      <c r="C171" s="11" t="inlineStr">
        <is>
          <t>Raed Obeid</t>
        </is>
      </c>
      <c r="D171" s="11" t="inlineStr">
        <is>
          <t>توريد وتركيب وصيانة خطوط هوائية ضغط متوسط 11 ك.ف وضغط منخفض والاعمال المدنية المتعلقة بهما في مزارع الوفرة</t>
        </is>
      </c>
      <c r="E171"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عام</t>
        </is>
      </c>
      <c r="H171" s="12" t="inlineStr">
        <is>
          <t>0.0%</t>
        </is>
      </c>
      <c r="I171" s="12" t="inlineStr">
        <is>
          <t>oil_and_gas</t>
        </is>
      </c>
      <c r="J171" s="12" t="inlineStr">
        <is>
          <t>2026-08-23</t>
        </is>
      </c>
      <c r="K171" s="12" t="inlineStr">
        <is>
          <t>2026-10-20</t>
        </is>
      </c>
      <c r="L171" s="12" t="inlineStr">
        <is>
          <t>100000.000 KWD</t>
        </is>
      </c>
      <c r="M171" s="12" t="inlineStr">
        <is>
          <t>3500.000 KWD</t>
        </is>
      </c>
      <c r="N171" s="21" t="inlineStr">
        <is>
          <t>NEW</t>
        </is>
      </c>
      <c r="O171" s="12" t="inlineStr">
        <is>
          <t>غير متوافقة مع اختصاصات KBM</t>
        </is>
      </c>
      <c r="P171" s="23">
        <f>HYPERLINK("https://capt.gov.kw/ar/tenders/opening-tenders/#card-1", "عرض المصدر")</f>
        <v/>
      </c>
    </row>
    <row r="172">
      <c r="A172" s="13" t="inlineStr">
        <is>
          <t>6/2025/2026</t>
        </is>
      </c>
      <c r="B172" s="13" t="inlineStr">
        <is>
          <t>الادارة العامة للطيران المدني</t>
        </is>
      </c>
      <c r="C172" s="13" t="inlineStr">
        <is>
          <t>Eiman Ashkanani</t>
        </is>
      </c>
      <c r="D172" s="13" t="inlineStr">
        <is>
          <t>اعمال صيانة و ترميم المباني و الاعمال الانشائية و اية اعمال اخرى في مواقع مختلفة للطيران المدني</t>
        </is>
      </c>
      <c r="E172" s="13" t="inlineStr">
        <is>
          <t>تنفيذ الأعمال المدنية والإنشائية والترميم والصيانة العامة للمباني والمنشآت والمرافق التابعة للجهة.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14" t="inlineStr">
        <is>
          <t>عام</t>
        </is>
      </c>
      <c r="H172" s="14" t="inlineStr">
        <is>
          <t>0.0%</t>
        </is>
      </c>
      <c r="I172" s="14" t="inlineStr">
        <is>
          <t>government</t>
        </is>
      </c>
      <c r="J172" s="14" t="inlineStr">
        <is>
          <t>2026-08-23</t>
        </is>
      </c>
      <c r="K172" s="14" t="inlineStr">
        <is>
          <t>2026-11-17</t>
        </is>
      </c>
      <c r="L172" s="14" t="inlineStr">
        <is>
          <t>170000.000 KWD</t>
        </is>
      </c>
      <c r="M172" s="14" t="inlineStr">
        <is>
          <t>3500.000 KWD</t>
        </is>
      </c>
      <c r="N172" s="21" t="inlineStr">
        <is>
          <t>NEW</t>
        </is>
      </c>
      <c r="O172" s="14" t="inlineStr">
        <is>
          <t>غير متوافقة مع اختصاصات KBM</t>
        </is>
      </c>
      <c r="P172" s="22">
        <f>HYPERLINK("https://capt.gov.kw/ar/tenders/opening-tenders/#card-0", "عرض المصدر")</f>
        <v/>
      </c>
    </row>
    <row r="173">
      <c r="A173" s="11" t="inlineStr">
        <is>
          <t>2147428</t>
        </is>
      </c>
      <c r="B173" s="11" t="inlineStr">
        <is>
          <t>شركة نفط الكويت</t>
        </is>
      </c>
      <c r="C173" s="11" t="inlineStr">
        <is>
          <t>Ahmed Habib</t>
        </is>
      </c>
      <c r="D173" s="11" t="inlineStr">
        <is>
          <t>تقديم خدمات الامن السيبراني المدارة</t>
        </is>
      </c>
      <c r="E173" s="11" t="inlineStr">
        <is>
          <t>أعمال وتوريدات تقديم خدمات الامن السيبراني المدارة لصالح شركة نفط الكويت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قطاع الأمن السيبراني والدفاع الرقمي</t>
        </is>
      </c>
      <c r="H173" s="12" t="inlineStr">
        <is>
          <t>47.0%</t>
        </is>
      </c>
      <c r="I173" s="12" t="inlineStr">
        <is>
          <t>oil_and_gas</t>
        </is>
      </c>
      <c r="J173" s="12" t="inlineStr">
        <is>
          <t>2026-08-23</t>
        </is>
      </c>
      <c r="K173" s="12" t="inlineStr">
        <is>
          <t>2026-11-17</t>
        </is>
      </c>
      <c r="L173" s="12" t="inlineStr">
        <is>
          <t>220000.000 KWD</t>
        </is>
      </c>
      <c r="M173" s="12" t="inlineStr">
        <is>
          <t>3500.000 KWD</t>
        </is>
      </c>
      <c r="N173" s="21" t="inlineStr">
        <is>
          <t>NEW</t>
        </is>
      </c>
      <c r="O173" s="12" t="inlineStr">
        <is>
          <t>فرصة تتطلب شراكة أو دراسة نطاق</t>
        </is>
      </c>
      <c r="P173" s="23">
        <f>HYPERLINK("https://capt.gov.kw/ar/tenders/opening-tenders/#card-9", "عرض المصدر")</f>
        <v/>
      </c>
    </row>
    <row r="174">
      <c r="A174" s="13" t="inlineStr">
        <is>
          <t>و ك م 16/2025/2026</t>
        </is>
      </c>
      <c r="B174" s="13" t="inlineStr">
        <is>
          <t>وزارة الكهرباء والماء والطاقة المتجددة</t>
        </is>
      </c>
      <c r="C174" s="13" t="inlineStr">
        <is>
          <t>Raed Obeid</t>
        </is>
      </c>
      <c r="D174" s="13" t="inlineStr">
        <is>
          <t>صيانة واستبدال التالف و الاعمال المدنيه المتعلقه بعدد من المحولات حتى سعة 75 م.ف.أ و المفاعل المتوازي حتى سعة 50 م.فأ.أ.ر(المرحلة الثانيه)</t>
        </is>
      </c>
      <c r="E17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14" t="inlineStr">
        <is>
          <t>عام</t>
        </is>
      </c>
      <c r="H174" s="14" t="inlineStr">
        <is>
          <t>0.0%</t>
        </is>
      </c>
      <c r="I174" s="14" t="inlineStr">
        <is>
          <t>oil_and_gas</t>
        </is>
      </c>
      <c r="J174" s="14" t="inlineStr">
        <is>
          <t>2026-08-30</t>
        </is>
      </c>
      <c r="K174" s="14" t="inlineStr">
        <is>
          <t>2026-11-01</t>
        </is>
      </c>
      <c r="L174" s="14" t="inlineStr">
        <is>
          <t>23000.000 KWD</t>
        </is>
      </c>
      <c r="M174" s="14" t="inlineStr">
        <is>
          <t>1000.000 KWD</t>
        </is>
      </c>
      <c r="N174" s="21" t="inlineStr">
        <is>
          <t>NEW</t>
        </is>
      </c>
      <c r="O174" s="14" t="inlineStr">
        <is>
          <t>غير متوافقة مع اختصاصات KBM</t>
        </is>
      </c>
      <c r="P174" s="22">
        <f>HYPERLINK("https://capt.gov.kw/ar/tenders/opening-tenders/#card-8", "عرض المصدر")</f>
        <v/>
      </c>
    </row>
    <row r="175">
      <c r="A175" s="11" t="inlineStr">
        <is>
          <t>ممارسة 1 /2026/2027</t>
        </is>
      </c>
      <c r="B175" s="11" t="inlineStr">
        <is>
          <t>هيئة تشجيع الاستثمار المباشر</t>
        </is>
      </c>
      <c r="C175" s="11" t="inlineStr">
        <is>
          <t>Eiman Ashkanani</t>
        </is>
      </c>
      <c r="D1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75" s="11" t="inlineStr">
        <is>
          <t>تنفيذ الأعمال المدنية والإنشائية والترميم والصيانة العامة للمباني والمنشآت والمرافق التابعة للجهة.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12" t="inlineStr">
        <is>
          <t>عام</t>
        </is>
      </c>
      <c r="H175" s="12" t="inlineStr">
        <is>
          <t>0.0%</t>
        </is>
      </c>
      <c r="I175" s="12" t="inlineStr">
        <is>
          <t>government</t>
        </is>
      </c>
      <c r="J175" s="12" t="inlineStr">
        <is>
          <t>2026-08-30</t>
        </is>
      </c>
      <c r="K175" s="12" t="inlineStr">
        <is>
          <t>2026-10-13</t>
        </is>
      </c>
      <c r="L175" s="12" t="inlineStr">
        <is>
          <t>62000.000 KWD</t>
        </is>
      </c>
      <c r="M175" s="12" t="inlineStr">
        <is>
          <t>3500.000 KWD</t>
        </is>
      </c>
      <c r="N175" s="21" t="inlineStr">
        <is>
          <t>NEW</t>
        </is>
      </c>
      <c r="O175" s="12" t="inlineStr">
        <is>
          <t>غير متوافقة مع اختصاصات KBM</t>
        </is>
      </c>
      <c r="P175" s="23">
        <f>HYPERLINK("https://capt.gov.kw/ar/tenders/opening-tenders/#card-7", "عرض المصدر")</f>
        <v/>
      </c>
    </row>
    <row r="176">
      <c r="A176" s="13" t="inlineStr">
        <is>
          <t>ص/ م خ ع / 9/2026/2027</t>
        </is>
      </c>
      <c r="B176" s="13" t="inlineStr">
        <is>
          <t>وزارة الصحة</t>
        </is>
      </c>
      <c r="C176" s="13" t="inlineStr">
        <is>
          <t>Jana Al-Obaid</t>
        </is>
      </c>
      <c r="D176" s="13" t="inlineStr">
        <is>
          <t>خدمات الإشراف على التنفيذ لإنشاء وتجهيز وتأثيث والصيانة لمشروع المطبخ المركزي لمستشفى الفروانية الجديد</t>
        </is>
      </c>
      <c r="E176" s="13" t="inlineStr">
        <is>
          <t>تنفيذ الأعمال المدنية والإنشائية والترميم والصيانة العامة للمباني والمنشآت والمرافق التابعة للجهة.</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0.0%</t>
        </is>
      </c>
      <c r="I176" s="14" t="inlineStr">
        <is>
          <t>healthcare</t>
        </is>
      </c>
      <c r="J176" s="14" t="inlineStr">
        <is>
          <t>2026-08-30</t>
        </is>
      </c>
      <c r="K176" s="14" t="inlineStr">
        <is>
          <t>2026-11-24</t>
        </is>
      </c>
      <c r="L176" s="14" t="inlineStr">
        <is>
          <t>7500.000 KWD</t>
        </is>
      </c>
      <c r="M176" s="14" t="inlineStr">
        <is>
          <t>1000.000 KWD</t>
        </is>
      </c>
      <c r="N176" s="21" t="inlineStr">
        <is>
          <t>NEW</t>
        </is>
      </c>
      <c r="O176" s="14" t="inlineStr">
        <is>
          <t>غير متوافقة مع اختصاصات KBM</t>
        </is>
      </c>
      <c r="P176" s="22">
        <f>HYPERLINK("https://capt.gov.kw/ar/tenders/opening-tenders/#card-6",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2" t="inlineStr">
        <is>
          <t>2026-10-20</t>
        </is>
      </c>
      <c r="L177" s="12" t="inlineStr">
        <is>
          <t>100000.000 KWD</t>
        </is>
      </c>
      <c r="M177" s="12" t="inlineStr">
        <is>
          <t>3500.000 KWD</t>
        </is>
      </c>
      <c r="N177" s="21" t="inlineStr">
        <is>
          <t>NEW</t>
        </is>
      </c>
      <c r="O177" s="12" t="inlineStr">
        <is>
          <t>غير متوافقة مع اختصاصات KBM</t>
        </is>
      </c>
      <c r="P177" s="23">
        <f>HYPERLINK("https://capt.gov.kw/ar/tenders/opening-tenders/#card-5", "عرض المصدر")</f>
        <v/>
      </c>
    </row>
    <row r="178">
      <c r="A178" s="13" t="inlineStr">
        <is>
          <t>241717263</t>
        </is>
      </c>
      <c r="B178" s="13" t="inlineStr">
        <is>
          <t>وزارة الدفاع</t>
        </is>
      </c>
      <c r="C178" s="13" t="inlineStr">
        <is>
          <t>Eiman Ashkanani</t>
        </is>
      </c>
      <c r="D178" s="13" t="inlineStr">
        <is>
          <t>توريد زيت نباتي (ذرة) - لزوم / وحدات الجيش</t>
        </is>
      </c>
      <c r="E178" s="13" t="inlineStr">
        <is>
          <t>أعمال وتوريدات توريد زيت نباتي (ذرة) - لزوم / وحدات الجيش لصالح وزارة الدفاع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defense_and_security</t>
        </is>
      </c>
      <c r="J178" s="14" t="inlineStr">
        <is>
          <t>2026-08-30</t>
        </is>
      </c>
      <c r="K178" s="14" t="inlineStr">
        <is>
          <t>2026-11-24</t>
        </is>
      </c>
      <c r="L178" s="14" t="inlineStr">
        <is>
          <t>15000.000 KWD</t>
        </is>
      </c>
      <c r="M178" s="14" t="inlineStr">
        <is>
          <t>1000.000 KWD</t>
        </is>
      </c>
      <c r="N178" s="21" t="inlineStr">
        <is>
          <t>NEW</t>
        </is>
      </c>
      <c r="O178" s="14" t="inlineStr">
        <is>
          <t>غير متوافقة مع اختصاصات KBM</t>
        </is>
      </c>
      <c r="P178" s="22">
        <f>HYPERLINK("https://capt.gov.kw/ar/tenders/opening-tenders/#card-4", "عرض المصدر")</f>
        <v/>
      </c>
    </row>
    <row r="179">
      <c r="A179" s="11" t="inlineStr">
        <is>
          <t>و ك م/38/2025/2026</t>
        </is>
      </c>
      <c r="B179" s="11" t="inlineStr">
        <is>
          <t>وزارة الكهرباء والماء والطاقة المتجددة</t>
        </is>
      </c>
      <c r="C179" s="11" t="inlineStr">
        <is>
          <t>Raed Obeid</t>
        </is>
      </c>
      <c r="D179" s="11" t="inlineStr">
        <is>
          <t>أعمال صيانة آلات تصويرمستندات ماركات مختلفة بجميع قطاعات الوزارة والإدارات التابعة لها بجميع مرافق الوزارة</t>
        </is>
      </c>
      <c r="E179"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0.0%</t>
        </is>
      </c>
      <c r="I179" s="12" t="inlineStr">
        <is>
          <t>oil_and_gas</t>
        </is>
      </c>
      <c r="J179" s="12" t="inlineStr">
        <is>
          <t>2026-09-06</t>
        </is>
      </c>
      <c r="K179" s="12" t="inlineStr">
        <is>
          <t>2026-10-25</t>
        </is>
      </c>
      <c r="L179" s="12" t="inlineStr">
        <is>
          <t>23000.000 KWD</t>
        </is>
      </c>
      <c r="M179" s="12" t="inlineStr">
        <is>
          <t>1000.000 KWD</t>
        </is>
      </c>
      <c r="N179" s="21" t="inlineStr">
        <is>
          <t>NEW</t>
        </is>
      </c>
      <c r="O179" s="12" t="inlineStr">
        <is>
          <t>غير متوافقة مع اختصاصات KBM</t>
        </is>
      </c>
      <c r="P179" s="23">
        <f>HYPERLINK("https://capt.gov.kw/ar/tenders/opening-tenders/#card-3", "عرض المصدر")</f>
        <v/>
      </c>
    </row>
    <row r="180">
      <c r="A180" s="13" t="inlineStr">
        <is>
          <t>و ك م/12/2025/2026</t>
        </is>
      </c>
      <c r="B180" s="13" t="inlineStr">
        <is>
          <t>وزارة الكهرباء والماء والطاقة المتجددة</t>
        </is>
      </c>
      <c r="C180" s="13" t="inlineStr">
        <is>
          <t>Raed Obeid</t>
        </is>
      </c>
      <c r="D180" s="13" t="inlineStr">
        <is>
          <t>احلال واستبدال التالف بعدد من المحولات حتى سعة 75م.ف.أ والمفاعل المتوازي حتى سعة 50 م.ف.أ.ر (المرحلة الأولى)</t>
        </is>
      </c>
      <c r="E180"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oil_and_gas</t>
        </is>
      </c>
      <c r="J180" s="14" t="inlineStr">
        <is>
          <t>2026-09-06</t>
        </is>
      </c>
      <c r="K180" s="14" t="inlineStr">
        <is>
          <t>2026-11-03</t>
        </is>
      </c>
      <c r="L180" s="14" t="inlineStr">
        <is>
          <t>0.000 KWD</t>
        </is>
      </c>
      <c r="M180" s="14" t="inlineStr">
        <is>
          <t>500.000 KWD</t>
        </is>
      </c>
      <c r="N180" s="21" t="inlineStr">
        <is>
          <t>NEW</t>
        </is>
      </c>
      <c r="O180" s="14" t="inlineStr">
        <is>
          <t>غير متوافقة مع اختصاصات KBM</t>
        </is>
      </c>
      <c r="P180" s="22">
        <f>HYPERLINK("https://capt.gov.kw/ar/tenders/opening-tenders/#card-2", "عرض المصدر")</f>
        <v/>
      </c>
    </row>
    <row r="181">
      <c r="A181" s="11" t="inlineStr">
        <is>
          <t>و ك م /95/2024/2025</t>
        </is>
      </c>
      <c r="B181" s="11" t="inlineStr">
        <is>
          <t>وزارة الكهرباء والماء والطاقة المتجددة</t>
        </is>
      </c>
      <c r="C181" s="11" t="inlineStr">
        <is>
          <t>Raed Obeid</t>
        </is>
      </c>
      <c r="D181" s="11" t="inlineStr">
        <is>
          <t>إنشاء وإنجاز وصيانة مبنى أخضر لمحافظة الفروانية</t>
        </is>
      </c>
      <c r="E181" s="11" t="inlineStr">
        <is>
          <t>تنفيذ الأعمال المدنية والإنشائية والترميم والصيانة العامة للمباني والمنشآت والمرافق التابعة للجهة.</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0.0%</t>
        </is>
      </c>
      <c r="I181" s="12" t="inlineStr">
        <is>
          <t>oil_and_gas</t>
        </is>
      </c>
      <c r="J181" s="12" t="inlineStr">
        <is>
          <t>2026-09-06</t>
        </is>
      </c>
      <c r="K181" s="12" t="inlineStr">
        <is>
          <t>2026-11-01</t>
        </is>
      </c>
      <c r="L181" s="12" t="inlineStr">
        <is>
          <t>62000.000 KWD</t>
        </is>
      </c>
      <c r="M181" s="12" t="inlineStr">
        <is>
          <t>1000.000 KWD</t>
        </is>
      </c>
      <c r="N181" s="21" t="inlineStr">
        <is>
          <t>NEW</t>
        </is>
      </c>
      <c r="O181" s="12" t="inlineStr">
        <is>
          <t>غير متوافقة مع اختصاصات KBM</t>
        </is>
      </c>
      <c r="P181" s="23">
        <f>HYPERLINK("https://capt.gov.kw/ar/tenders/opening-tenders/#card-1", "عرض المصدر")</f>
        <v/>
      </c>
    </row>
    <row r="182">
      <c r="A182" s="13" t="inlineStr">
        <is>
          <t>و ك م /48/2024/2025</t>
        </is>
      </c>
      <c r="B182" s="13" t="inlineStr">
        <is>
          <t>وزارة الكهرباء والماء والطاقة المتجددة</t>
        </is>
      </c>
      <c r="C182" s="13" t="inlineStr">
        <is>
          <t>Raed Obeid</t>
        </is>
      </c>
      <c r="D182" s="13" t="inlineStr">
        <is>
          <t>توريد كيبلات ألمنيوم ضغط متوسط 11ك.ف، كيبلات نحاس ضغط متوسط 11ك.ف كيبلات قيادية (PILOT) كيبلات ضغط منخفض 1ك.ف لمشاريع شبكات التوزيع الكهربائية 11ك.ف</t>
        </is>
      </c>
      <c r="E182"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24" t="inlineStr">
        <is>
          <t>عام</t>
        </is>
      </c>
      <c r="H182" s="14" t="inlineStr">
        <is>
          <t>24.0%</t>
        </is>
      </c>
      <c r="I182" s="14" t="inlineStr">
        <is>
          <t>oil_and_gas</t>
        </is>
      </c>
      <c r="J182" s="14" t="inlineStr">
        <is>
          <t>2026-09-06</t>
        </is>
      </c>
      <c r="K182" s="14" t="inlineStr">
        <is>
          <t>2026-11-01</t>
        </is>
      </c>
      <c r="L182" s="14" t="inlineStr">
        <is>
          <t>0.000 KWD</t>
        </is>
      </c>
      <c r="M182" s="14" t="inlineStr">
        <is>
          <t>500.000 KWD</t>
        </is>
      </c>
      <c r="N182" s="21" t="inlineStr">
        <is>
          <t>NEW</t>
        </is>
      </c>
      <c r="O182" s="14" t="inlineStr">
        <is>
          <t>غير متوافقة مع اختصاصات KBM</t>
        </is>
      </c>
      <c r="P182" s="22">
        <f>HYPERLINK("https://capt.gov.kw/ar/tenders/opening-tenders/#card-0", "عرض المصدر")</f>
        <v/>
      </c>
    </row>
    <row r="183">
      <c r="A183" s="11" t="inlineStr">
        <is>
          <t>و ك م /11/2025/2026</t>
        </is>
      </c>
      <c r="B183" s="11" t="inlineStr">
        <is>
          <t>وزارة الكهرباء والماء والطاقة المتجددة</t>
        </is>
      </c>
      <c r="C183" s="11" t="inlineStr">
        <is>
          <t>Raed Obeid</t>
        </is>
      </c>
      <c r="D183" s="11" t="inlineStr">
        <is>
          <t>توريد وتسليم ومناولة مواد كيماوية لوحدة التناضح العكسي لمحطة الشويخ القوى الكهربائية وتقطير المياه</t>
        </is>
      </c>
      <c r="E183"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12" t="inlineStr">
        <is>
          <t>عام</t>
        </is>
      </c>
      <c r="H183" s="12" t="inlineStr">
        <is>
          <t>0.0%</t>
        </is>
      </c>
      <c r="I183" s="12" t="inlineStr">
        <is>
          <t>oil_and_gas</t>
        </is>
      </c>
      <c r="J183" s="12" t="inlineStr">
        <is>
          <t>2026-09-06</t>
        </is>
      </c>
      <c r="K183" s="12" t="inlineStr">
        <is>
          <t>2026-10-25</t>
        </is>
      </c>
      <c r="L183" s="12" t="inlineStr">
        <is>
          <t>0.000 KWD</t>
        </is>
      </c>
      <c r="M183" s="12" t="inlineStr">
        <is>
          <t>250.000 KWD</t>
        </is>
      </c>
      <c r="N183" s="21" t="inlineStr">
        <is>
          <t>NEW</t>
        </is>
      </c>
      <c r="O183" s="12" t="inlineStr">
        <is>
          <t>غير متوافقة مع اختصاصات KBM</t>
        </is>
      </c>
      <c r="P183" s="23">
        <f>HYPERLINK("https://capt.gov.kw/ar/tenders/opening-tenders/#card-9", "عرض المصدر")</f>
        <v/>
      </c>
    </row>
    <row r="184">
      <c r="A184" s="13" t="inlineStr">
        <is>
          <t>هـ ع / ش أ م / 4/2026/2027</t>
        </is>
      </c>
      <c r="B184" s="13" t="inlineStr">
        <is>
          <t>الهيئة العامة للتعليم التطبيقي والتدريب</t>
        </is>
      </c>
      <c r="C184" s="13" t="inlineStr">
        <is>
          <t>Eiman Ashkanani</t>
        </is>
      </c>
      <c r="D184" s="13" t="inlineStr">
        <is>
          <t>توفير خدمة الانترنت و نقل المعلومات internet - wan للهيئة العامة للتعليم التطبيقي و التدريب</t>
        </is>
      </c>
      <c r="E184"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24.0%</t>
        </is>
      </c>
      <c r="I184" s="14" t="inlineStr">
        <is>
          <t>education_and_research</t>
        </is>
      </c>
      <c r="J184" s="14" t="inlineStr">
        <is>
          <t>2026-09-06</t>
        </is>
      </c>
      <c r="K184" s="14" t="inlineStr">
        <is>
          <t>2026-11-03</t>
        </is>
      </c>
      <c r="L184" s="14" t="inlineStr">
        <is>
          <t>6000.000 KWD</t>
        </is>
      </c>
      <c r="M184" s="14" t="inlineStr">
        <is>
          <t>300.000 KWD</t>
        </is>
      </c>
      <c r="N184" s="21" t="inlineStr">
        <is>
          <t>NEW</t>
        </is>
      </c>
      <c r="O184" s="14" t="inlineStr">
        <is>
          <t>غير متوافقة مع اختصاصات KBM</t>
        </is>
      </c>
      <c r="P184" s="22">
        <f>HYPERLINK("https://capt.gov.kw/ar/tenders/opening-tenders/#card-8", "عرض المصدر")</f>
        <v/>
      </c>
    </row>
    <row r="185">
      <c r="A185" s="11" t="inlineStr">
        <is>
          <t>ع ت ا م/ ق/ 2/2025</t>
        </is>
      </c>
      <c r="B185" s="11" t="inlineStr">
        <is>
          <t>المؤسسة العامة للتأمينات الاجتماعية</t>
        </is>
      </c>
      <c r="C185" s="11" t="inlineStr">
        <is>
          <t>Jana Al-Obaid</t>
        </is>
      </c>
      <c r="D185"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85"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24" t="inlineStr">
        <is>
          <t>قطاع العمليات المدارة والدعم الفني متعدد الموردين</t>
        </is>
      </c>
      <c r="H185" s="12" t="inlineStr">
        <is>
          <t>39.0%</t>
        </is>
      </c>
      <c r="I185" s="12" t="inlineStr">
        <is>
          <t>banking_and_finance</t>
        </is>
      </c>
      <c r="J185" s="12" t="inlineStr">
        <is>
          <t>2026-09-06</t>
        </is>
      </c>
      <c r="K185" s="12" t="inlineStr">
        <is>
          <t>2026-12-01</t>
        </is>
      </c>
      <c r="L185" s="12" t="inlineStr">
        <is>
          <t>3500.000 KWD</t>
        </is>
      </c>
      <c r="M185" s="12" t="inlineStr">
        <is>
          <t>150.000 KWD</t>
        </is>
      </c>
      <c r="N185" s="21" t="inlineStr">
        <is>
          <t>NEW</t>
        </is>
      </c>
      <c r="O185" s="12" t="inlineStr">
        <is>
          <t>فرصة تتطلب شراكة أو دراسة نطاق</t>
        </is>
      </c>
      <c r="P185" s="23">
        <f>HYPERLINK("https://capt.gov.kw/ar/tenders/opening-tenders/#card-7", "عرض المصدر")</f>
        <v/>
      </c>
    </row>
    <row r="186">
      <c r="A186" s="13" t="inlineStr">
        <is>
          <t>ص / م خ ع /18/2026/2027</t>
        </is>
      </c>
      <c r="B186" s="13" t="inlineStr">
        <is>
          <t>وزارة الصحة</t>
        </is>
      </c>
      <c r="C186" s="13" t="inlineStr">
        <is>
          <t>Jana Al-Obaid</t>
        </is>
      </c>
      <c r="D186" s="13" t="inlineStr">
        <is>
          <t>توريد محارم ورق التنشيف</t>
        </is>
      </c>
      <c r="E186" s="13" t="inlineStr">
        <is>
          <t>أعمال وتوريدات توريد محارم ورق التنشيف لصالح وزارة الصحة وفقاً للشروط والمواصفات المعتمدة في وثائق الطرح.</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14" t="inlineStr">
        <is>
          <t>عام</t>
        </is>
      </c>
      <c r="H186" s="14" t="inlineStr">
        <is>
          <t>0.0%</t>
        </is>
      </c>
      <c r="I186" s="14" t="inlineStr">
        <is>
          <t>healthcare</t>
        </is>
      </c>
      <c r="J186" s="14" t="inlineStr">
        <is>
          <t>2026-09-06</t>
        </is>
      </c>
      <c r="K186" s="14" t="inlineStr">
        <is>
          <t>2026-11-01</t>
        </is>
      </c>
      <c r="L186" s="14" t="inlineStr">
        <is>
          <t>6000.000 KWD</t>
        </is>
      </c>
      <c r="M186" s="14" t="inlineStr">
        <is>
          <t>300.000 KWD</t>
        </is>
      </c>
      <c r="N186" s="21" t="inlineStr">
        <is>
          <t>NEW</t>
        </is>
      </c>
      <c r="O186" s="14" t="inlineStr">
        <is>
          <t>غير متوافقة مع اختصاصات KBM</t>
        </is>
      </c>
      <c r="P186" s="22">
        <f>HYPERLINK("https://capt.gov.kw/ar/tenders/opening-tenders/#card-6", "عرض المصدر")</f>
        <v/>
      </c>
    </row>
    <row r="187">
      <c r="A187" s="11" t="inlineStr">
        <is>
          <t>5/2025-2026</t>
        </is>
      </c>
      <c r="B187" s="11" t="inlineStr">
        <is>
          <t>ديوان المحاسبة</t>
        </is>
      </c>
      <c r="C187" s="11" t="inlineStr">
        <is>
          <t>Eiman Ashkanani</t>
        </is>
      </c>
      <c r="D18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8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24" t="inlineStr">
        <is>
          <t>عام</t>
        </is>
      </c>
      <c r="H187" s="12" t="inlineStr">
        <is>
          <t>24.0%</t>
        </is>
      </c>
      <c r="I187" s="12" t="inlineStr">
        <is>
          <t>government</t>
        </is>
      </c>
      <c r="J187" s="12" t="inlineStr">
        <is>
          <t>2026-09-06</t>
        </is>
      </c>
      <c r="K187" s="12" t="inlineStr">
        <is>
          <t>2026-10-27</t>
        </is>
      </c>
      <c r="L187" s="12" t="inlineStr">
        <is>
          <t>3500.000 KWD</t>
        </is>
      </c>
      <c r="M187" s="12" t="inlineStr">
        <is>
          <t>150.000 KWD</t>
        </is>
      </c>
      <c r="N187" s="21" t="inlineStr">
        <is>
          <t>NEW</t>
        </is>
      </c>
      <c r="O187" s="12" t="inlineStr">
        <is>
          <t>غير متوافقة مع اختصاصات KBM</t>
        </is>
      </c>
      <c r="P187" s="23">
        <f>HYPERLINK("https://capt.gov.kw/ar/tenders/opening-tenders/#card-5", "عرض المصدر")</f>
        <v/>
      </c>
    </row>
    <row r="188">
      <c r="A188" s="13" t="inlineStr">
        <is>
          <t>14/2024</t>
        </is>
      </c>
      <c r="B188" s="13" t="inlineStr">
        <is>
          <t>الهيئة العامة للصناعة</t>
        </is>
      </c>
      <c r="C188" s="13" t="inlineStr">
        <is>
          <t>Eiman Ashkanani</t>
        </is>
      </c>
      <c r="D188" s="13" t="inlineStr">
        <is>
          <t>المناقصة رقم (هـ ع ص/2024/14) بشأن صيانة وتطوير وتشغيل وضمان أنظمة (المشاريع - العقود - المواصفات) بالهيئة العامة للصناعة</t>
        </is>
      </c>
      <c r="E188" s="13"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24" t="inlineStr">
        <is>
          <t>عام</t>
        </is>
      </c>
      <c r="H188" s="14" t="inlineStr">
        <is>
          <t>0.0%</t>
        </is>
      </c>
      <c r="I188" s="14" t="inlineStr">
        <is>
          <t>government</t>
        </is>
      </c>
      <c r="J188" s="14" t="inlineStr">
        <is>
          <t>2026-09-06</t>
        </is>
      </c>
      <c r="K188" s="14" t="inlineStr">
        <is>
          <t>2026-11-03</t>
        </is>
      </c>
      <c r="L188" s="14" t="inlineStr">
        <is>
          <t>23000.000 KWD</t>
        </is>
      </c>
      <c r="M188" s="14" t="inlineStr">
        <is>
          <t>1000.000 KWD</t>
        </is>
      </c>
      <c r="N188" s="21" t="inlineStr">
        <is>
          <t>NEW</t>
        </is>
      </c>
      <c r="O188" s="14" t="inlineStr">
        <is>
          <t>غير متوافقة مع اختصاصات KBM</t>
        </is>
      </c>
      <c r="P188" s="22">
        <f>HYPERLINK("https://capt.gov.kw/ar/tenders/opening-tenders/#card-4", "عرض المصدر")</f>
        <v/>
      </c>
    </row>
    <row r="189">
      <c r="A189" s="11" t="inlineStr">
        <is>
          <t>و ك م/57/2025/2026</t>
        </is>
      </c>
      <c r="B189" s="11" t="inlineStr">
        <is>
          <t>وزارة الكهرباء والماء والطاقة المتجددة</t>
        </is>
      </c>
      <c r="C189" s="11" t="inlineStr">
        <is>
          <t>Raed Obeid</t>
        </is>
      </c>
      <c r="D189" s="11" t="inlineStr">
        <is>
          <t>توريد وتركيب محركات كهربائية في محطة الدوحة الغربية لتوليد القوى الكهربائية وتقطير المياه</t>
        </is>
      </c>
      <c r="E189" s="11"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oil_and_gas</t>
        </is>
      </c>
      <c r="J189" s="12" t="inlineStr">
        <is>
          <t>2026-09-13</t>
        </is>
      </c>
      <c r="K189" s="12" t="inlineStr">
        <is>
          <t>2026-10-13</t>
        </is>
      </c>
      <c r="L189" s="12" t="inlineStr">
        <is>
          <t>62000.000 KWD</t>
        </is>
      </c>
      <c r="M189" s="12" t="inlineStr">
        <is>
          <t>1000.000 KWD</t>
        </is>
      </c>
      <c r="N189" s="21" t="inlineStr">
        <is>
          <t>NEW</t>
        </is>
      </c>
      <c r="O189" s="12" t="inlineStr">
        <is>
          <t>غير متوافقة مع اختصاصات KBM</t>
        </is>
      </c>
      <c r="P189" s="23">
        <f>HYPERLINK("https://capt.gov.kw/ar/tenders/opening-tenders/#card-3", "عرض المصدر")</f>
        <v/>
      </c>
    </row>
    <row r="190">
      <c r="A190" s="13" t="inlineStr">
        <is>
          <t>و ش ج 3/2025/2026</t>
        </is>
      </c>
      <c r="B190" s="13" t="inlineStr">
        <is>
          <t>وزارة الشئون الاجتماعية</t>
        </is>
      </c>
      <c r="C190" s="13" t="inlineStr">
        <is>
          <t>Eiman Ashkanani</t>
        </is>
      </c>
      <c r="D190" s="13" t="inlineStr">
        <is>
          <t>اعمال خدمة النزيل في قطاع الرعاية الأجتماعية</t>
        </is>
      </c>
      <c r="E19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0.0%</t>
        </is>
      </c>
      <c r="I190" s="14" t="inlineStr">
        <is>
          <t>government</t>
        </is>
      </c>
      <c r="J190" s="14" t="inlineStr">
        <is>
          <t>2026-09-13</t>
        </is>
      </c>
      <c r="K190" s="14" t="inlineStr">
        <is>
          <t>2026-12-08</t>
        </is>
      </c>
      <c r="L190" s="14" t="inlineStr">
        <is>
          <t>45000.000 KWD</t>
        </is>
      </c>
      <c r="M190" s="14" t="inlineStr">
        <is>
          <t>1000.000 KWD</t>
        </is>
      </c>
      <c r="N190" s="21" t="inlineStr">
        <is>
          <t>NEW</t>
        </is>
      </c>
      <c r="O190" s="14" t="inlineStr">
        <is>
          <t>غير متوافقة مع اختصاصات KBM</t>
        </is>
      </c>
      <c r="P190" s="22">
        <f>HYPERLINK("https://capt.gov.kw/ar/tenders/opening-tenders/#card-2", "عرض المصدر")</f>
        <v/>
      </c>
    </row>
    <row r="191">
      <c r="A191" s="11" t="inlineStr">
        <is>
          <t>و ش ج /4/2025/2026</t>
        </is>
      </c>
      <c r="B191" s="11" t="inlineStr">
        <is>
          <t>وزارة الشئون الاجتماعية</t>
        </is>
      </c>
      <c r="C191" s="11" t="inlineStr">
        <is>
          <t>Eiman Ashkanani</t>
        </is>
      </c>
      <c r="D191" s="11" t="inlineStr">
        <is>
          <t>اعداد الدراسات الاستشارية لأعمال منتجع صباح الأحمد لرعاية المسنين التابع لوزارة الشئون الاجتماعية</t>
        </is>
      </c>
      <c r="E19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2026-09-13</t>
        </is>
      </c>
      <c r="K191" s="12" t="inlineStr">
        <is>
          <t>2026-12-08</t>
        </is>
      </c>
      <c r="L191" s="12" t="inlineStr">
        <is>
          <t>6000.000 KWD</t>
        </is>
      </c>
      <c r="M191" s="12" t="inlineStr">
        <is>
          <t>300.000 KWD</t>
        </is>
      </c>
      <c r="N191" s="21" t="inlineStr">
        <is>
          <t>NEW</t>
        </is>
      </c>
      <c r="O191" s="12" t="inlineStr">
        <is>
          <t>غير متوافقة مع اختصاصات KBM</t>
        </is>
      </c>
      <c r="P191" s="23">
        <f>HYPERLINK("https://capt.gov.kw/ar/tenders/opening-tenders/#card-1", "عرض المصدر")</f>
        <v/>
      </c>
    </row>
    <row r="192">
      <c r="A192" s="13" t="inlineStr">
        <is>
          <t>ممارسة 3/2026/2027</t>
        </is>
      </c>
      <c r="B192" s="13" t="inlineStr">
        <is>
          <t>الجهاز المركزي للمناقصات العامة</t>
        </is>
      </c>
      <c r="C192" s="13" t="inlineStr">
        <is>
          <t>Eiman Ashkanani</t>
        </is>
      </c>
      <c r="D192" s="13" t="inlineStr">
        <is>
          <t>تصميم وتطوير خدمات الموقع الإلكتروني والبرامج الذكية للجهاز المركزي للمناقصات العامة</t>
        </is>
      </c>
      <c r="E192"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28.0%</t>
        </is>
      </c>
      <c r="I192" s="14" t="inlineStr">
        <is>
          <t>government</t>
        </is>
      </c>
      <c r="J192" s="14" t="inlineStr">
        <is>
          <t>2026-09-13</t>
        </is>
      </c>
      <c r="K192" s="18" t="inlineStr">
        <is>
          <t>2026-10-06</t>
        </is>
      </c>
      <c r="L192" s="14" t="inlineStr">
        <is>
          <t>1000.000 KWD</t>
        </is>
      </c>
      <c r="M192" s="14" t="inlineStr">
        <is>
          <t>50.000 KWD</t>
        </is>
      </c>
      <c r="N192" s="21" t="inlineStr">
        <is>
          <t>NEW</t>
        </is>
      </c>
      <c r="O192" s="14" t="inlineStr">
        <is>
          <t>غير متوافقة مع اختصاصات KBM</t>
        </is>
      </c>
      <c r="P192" s="22">
        <f>HYPERLINK("https://capt.gov.kw/ar/tenders/opening-tenders/#card-0", "عرض المصدر")</f>
        <v/>
      </c>
    </row>
    <row r="193">
      <c r="A193" s="11" t="inlineStr">
        <is>
          <t>الاستشارية 8/2023/2024</t>
        </is>
      </c>
      <c r="B193" s="11" t="inlineStr">
        <is>
          <t>الادارة العامة للطيران المدني</t>
        </is>
      </c>
      <c r="C193" s="11" t="inlineStr">
        <is>
          <t>Eiman Ashkanani</t>
        </is>
      </c>
      <c r="D193" s="11" t="inlineStr">
        <is>
          <t>خدمات إدارة المشاريع لتنفيذ مشاريع المخطط الهيلكي 2020 وإعداد العقود والدراسات ومتابعة المشغلين والمستثمرين في مطار الكويت الدولي</t>
        </is>
      </c>
      <c r="E193" s="11"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government</t>
        </is>
      </c>
      <c r="J193" s="12" t="inlineStr">
        <is>
          <t>2026-09-13</t>
        </is>
      </c>
      <c r="K193" s="12" t="inlineStr">
        <is>
          <t>2026-12-08</t>
        </is>
      </c>
      <c r="L193" s="12" t="inlineStr">
        <is>
          <t>100000.000 KWD</t>
        </is>
      </c>
      <c r="M193" s="12" t="inlineStr">
        <is>
          <t>3500.000 KWD</t>
        </is>
      </c>
      <c r="N193" s="21" t="inlineStr">
        <is>
          <t>NEW</t>
        </is>
      </c>
      <c r="O193" s="12" t="inlineStr">
        <is>
          <t>غير متوافقة مع اختصاصات KBM</t>
        </is>
      </c>
      <c r="P193" s="23">
        <f>HYPERLINK("https://capt.gov.kw/ar/tenders/opening-tenders/#card-9", "عرض المصدر")</f>
        <v/>
      </c>
    </row>
    <row r="194">
      <c r="A194" s="13" t="inlineStr">
        <is>
          <t>7 / 2025-2026</t>
        </is>
      </c>
      <c r="B194" s="13" t="inlineStr">
        <is>
          <t>وزارة المالية</t>
        </is>
      </c>
      <c r="C194" s="13" t="inlineStr">
        <is>
          <t>Eiman Ashkanani</t>
        </is>
      </c>
      <c r="D194" s="13" t="inlineStr">
        <is>
          <t>توفير خدمات مراسلين وسفرجية لوزارة المالية</t>
        </is>
      </c>
      <c r="E194" s="13" t="inlineStr">
        <is>
          <t>أعمال وتوريدات توفير خدمات مراسلين وسفرجية لوزارة المالية لصالح وزارة المالية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government</t>
        </is>
      </c>
      <c r="J194" s="14" t="inlineStr">
        <is>
          <t>2026-09-13</t>
        </is>
      </c>
      <c r="K194" s="14" t="inlineStr">
        <is>
          <t>2026-12-08</t>
        </is>
      </c>
      <c r="L194" s="14" t="inlineStr">
        <is>
          <t>15000.000 KWD</t>
        </is>
      </c>
      <c r="M194" s="14" t="inlineStr">
        <is>
          <t>1000.000 KWD</t>
        </is>
      </c>
      <c r="N194" s="21" t="inlineStr">
        <is>
          <t>NEW</t>
        </is>
      </c>
      <c r="O194" s="14" t="inlineStr">
        <is>
          <t>غير متوافقة مع اختصاصات KBM</t>
        </is>
      </c>
      <c r="P194" s="22">
        <f>HYPERLINK("https://capt.gov.kw/ar/tenders/opening-tenders/#card-8", "عرض المصدر")</f>
        <v/>
      </c>
    </row>
    <row r="195">
      <c r="A195" s="11" t="inlineStr">
        <is>
          <t>2/2025/2026</t>
        </is>
      </c>
      <c r="B195" s="11" t="inlineStr">
        <is>
          <t>وزارة الشئون الاجتماعية</t>
        </is>
      </c>
      <c r="C195" s="11" t="inlineStr">
        <is>
          <t>Eiman Ashkanani</t>
        </is>
      </c>
      <c r="D195" s="11" t="inlineStr">
        <is>
          <t>أعمال توريد الحفاظات لكبار السن المقيدين في وزارة الشئون الإجتماعية</t>
        </is>
      </c>
      <c r="E1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government</t>
        </is>
      </c>
      <c r="J195" s="12" t="inlineStr">
        <is>
          <t>2026-09-20</t>
        </is>
      </c>
      <c r="K195" s="12" t="inlineStr">
        <is>
          <t>2026-12-15</t>
        </is>
      </c>
      <c r="L195" s="12" t="inlineStr">
        <is>
          <t>23000.000 KWD</t>
        </is>
      </c>
      <c r="M195" s="12" t="inlineStr">
        <is>
          <t>1000.000 KWD</t>
        </is>
      </c>
      <c r="N195" s="21" t="inlineStr">
        <is>
          <t>NEW</t>
        </is>
      </c>
      <c r="O195" s="12" t="inlineStr">
        <is>
          <t>غير متوافقة مع اختصاصات KBM</t>
        </is>
      </c>
      <c r="P195" s="23">
        <f>HYPERLINK("https://capt.gov.kw/ar/tenders/opening-tenders/#card-7", "عرض المصدر")</f>
        <v/>
      </c>
    </row>
    <row r="196">
      <c r="A196" s="13" t="inlineStr">
        <is>
          <t>وك م-65/2025/2026</t>
        </is>
      </c>
      <c r="B196" s="13" t="inlineStr">
        <is>
          <t>وزارة الكهرباء والماء والطاقة المتجددة</t>
        </is>
      </c>
      <c r="C196" s="13" t="inlineStr">
        <is>
          <t>Raed Obeid</t>
        </is>
      </c>
      <c r="D196" s="13" t="inlineStr">
        <is>
          <t>توريد وتركيب وتشغيل وصيانة وضمان أعمال التمديدات الكهربائية للأعمال الصغيرة بمحافظات(الفروانية-الجهراء-العاصمة)</t>
        </is>
      </c>
      <c r="E196" s="13"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24.0%</t>
        </is>
      </c>
      <c r="I196" s="14" t="inlineStr">
        <is>
          <t>oil_and_gas</t>
        </is>
      </c>
      <c r="J196" s="14" t="inlineStr">
        <is>
          <t>2026-09-20</t>
        </is>
      </c>
      <c r="K196" s="14" t="inlineStr">
        <is>
          <t>2026-12-15</t>
        </is>
      </c>
      <c r="L196" s="14" t="inlineStr">
        <is>
          <t>23000.000 KWD</t>
        </is>
      </c>
      <c r="M196" s="14" t="inlineStr">
        <is>
          <t>1000.000 KWD</t>
        </is>
      </c>
      <c r="N196" s="21" t="inlineStr">
        <is>
          <t>NEW</t>
        </is>
      </c>
      <c r="O196" s="14" t="inlineStr">
        <is>
          <t>غير متوافقة مع اختصاصات KBM</t>
        </is>
      </c>
      <c r="P196" s="22">
        <f>HYPERLINK("https://capt.gov.kw/ar/tenders/opening-tenders/#card-6", "عرض المصدر")</f>
        <v/>
      </c>
    </row>
    <row r="197">
      <c r="A197" s="11" t="inlineStr">
        <is>
          <t>و ك م /27/2024/2025</t>
        </is>
      </c>
      <c r="B197" s="11" t="inlineStr">
        <is>
          <t>وزارة الكهرباء والماء والطاقة المتجددة</t>
        </is>
      </c>
      <c r="C197" s="11" t="inlineStr">
        <is>
          <t>Raed Obeid</t>
        </is>
      </c>
      <c r="D197"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7"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2026-09-20</t>
        </is>
      </c>
      <c r="K197" s="12" t="inlineStr">
        <is>
          <t>2026-10-20</t>
        </is>
      </c>
      <c r="L197" s="12" t="inlineStr">
        <is>
          <t>23000.000 KWD</t>
        </is>
      </c>
      <c r="M197" s="12" t="inlineStr">
        <is>
          <t>1000.000 KWD</t>
        </is>
      </c>
      <c r="N197" s="21" t="inlineStr">
        <is>
          <t>NEW</t>
        </is>
      </c>
      <c r="O197" s="12" t="inlineStr">
        <is>
          <t>غير متوافقة مع اختصاصات KBM</t>
        </is>
      </c>
      <c r="P197" s="23">
        <f>HYPERLINK("https://capt.gov.kw/ar/tenders/opening-tenders/#card-5", "عرض المصدر")</f>
        <v/>
      </c>
    </row>
    <row r="198">
      <c r="A198" s="13" t="inlineStr">
        <is>
          <t>RFQ/1062690</t>
        </is>
      </c>
      <c r="B198" s="13" t="inlineStr">
        <is>
          <t>شركة البترول الوطنية الكويتية</t>
        </is>
      </c>
      <c r="C198" s="13" t="inlineStr">
        <is>
          <t>Abrar Al-Qallaf</t>
        </is>
      </c>
      <c r="D198" s="13" t="inlineStr">
        <is>
          <t>ممارسة رقم RFQ/1062690: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RFQ/1062690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2026-10-22</t>
        </is>
      </c>
      <c r="L198" s="14" t="inlineStr">
        <is>
          <t>1000.0</t>
        </is>
      </c>
      <c r="M198" s="14" t="inlineStr">
        <is>
          <t>-</t>
        </is>
      </c>
      <c r="N198" s="21" t="inlineStr">
        <is>
          <t>NEW</t>
        </is>
      </c>
      <c r="O198" s="14" t="inlineStr">
        <is>
          <t>غير متوافقة</t>
        </is>
      </c>
      <c r="P198" s="22">
        <f>HYPERLINK("https://kuwaitalyawm.media.gov.kw/flip/index?id=5599&amp;no=223", "عرض المصدر")</f>
        <v/>
      </c>
    </row>
    <row r="199">
      <c r="A199" s="11" t="inlineStr">
        <is>
          <t>RFQ/1063968</t>
        </is>
      </c>
      <c r="B199" s="11" t="inlineStr">
        <is>
          <t>شركة البترول الوطنية الكويتية</t>
        </is>
      </c>
      <c r="C199" s="11" t="inlineStr">
        <is>
          <t>Abrar Al-Qallaf</t>
        </is>
      </c>
      <c r="D199" s="11" t="inlineStr">
        <is>
          <t>ممارسة رقم RFQ/1063968: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RFQ/1063968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2026-10-15</t>
        </is>
      </c>
      <c r="L199" s="12" t="inlineStr">
        <is>
          <t>1000.0</t>
        </is>
      </c>
      <c r="M199" s="12" t="inlineStr">
        <is>
          <t>-</t>
        </is>
      </c>
      <c r="N199" s="21" t="inlineStr">
        <is>
          <t>NEW</t>
        </is>
      </c>
      <c r="O199" s="12" t="inlineStr">
        <is>
          <t>غير متوافقة</t>
        </is>
      </c>
      <c r="P199" s="23">
        <f>HYPERLINK("https://kuwaitalyawm.media.gov.kw/flip/index?id=5599&amp;no=224", "عرض المصدر")</f>
        <v/>
      </c>
    </row>
    <row r="200">
      <c r="A200" s="13" t="inlineStr">
        <is>
          <t>RFQ/1063246</t>
        </is>
      </c>
      <c r="B200" s="13" t="inlineStr">
        <is>
          <t>شركة البترول الوطنية الكويتية</t>
        </is>
      </c>
      <c r="C200" s="13" t="inlineStr">
        <is>
          <t>Abrar Al-Qallaf</t>
        </is>
      </c>
      <c r="D200" s="13" t="inlineStr">
        <is>
          <t>ممارسة رقم RFQ/1063246: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RFQ/1063246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2026-10-22</t>
        </is>
      </c>
      <c r="L200" s="14" t="inlineStr">
        <is>
          <t>1000.0</t>
        </is>
      </c>
      <c r="M200" s="14" t="inlineStr">
        <is>
          <t>-</t>
        </is>
      </c>
      <c r="N200" s="21" t="inlineStr">
        <is>
          <t>NEW</t>
        </is>
      </c>
      <c r="O200" s="14" t="inlineStr">
        <is>
          <t>غير متوافقة</t>
        </is>
      </c>
      <c r="P200" s="22">
        <f>HYPERLINK("https://kuwaitalyawm.media.gov.kw/flip/index?id=5599&amp;no=224", "عرض المصدر")</f>
        <v/>
      </c>
    </row>
    <row r="201">
      <c r="A201" s="11" t="inlineStr">
        <is>
          <t>RFQ/1063799</t>
        </is>
      </c>
      <c r="B201" s="11" t="inlineStr">
        <is>
          <t>شركة البترول الوطنية الكويتية</t>
        </is>
      </c>
      <c r="C201" s="11" t="inlineStr">
        <is>
          <t>Abrar Al-Qallaf</t>
        </is>
      </c>
      <c r="D201" s="11" t="inlineStr">
        <is>
          <t>ممارسة رقم RFQ/1063799: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RFQ/1063799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2026-10-22</t>
        </is>
      </c>
      <c r="L201" s="12" t="inlineStr">
        <is>
          <t>1000.0</t>
        </is>
      </c>
      <c r="M201" s="12" t="inlineStr">
        <is>
          <t>-</t>
        </is>
      </c>
      <c r="N201" s="21" t="inlineStr">
        <is>
          <t>NEW</t>
        </is>
      </c>
      <c r="O201" s="12" t="inlineStr">
        <is>
          <t>غير متوافقة</t>
        </is>
      </c>
      <c r="P201" s="23">
        <f>HYPERLINK("https://kuwaitalyawm.media.gov.kw/flip/index?id=5599&amp;no=225", "عرض المصدر")</f>
        <v/>
      </c>
    </row>
    <row r="202">
      <c r="A202" s="13" t="inlineStr">
        <is>
          <t>RFQ/1061616</t>
        </is>
      </c>
      <c r="B202" s="13" t="inlineStr">
        <is>
          <t>شركة البترول الوطنية الكويتية</t>
        </is>
      </c>
      <c r="C202" s="13" t="inlineStr">
        <is>
          <t>Abrar Al-Qallaf</t>
        </is>
      </c>
      <c r="D202" s="13" t="inlineStr">
        <is>
          <t>ممارسة رقم RFQ/1061616: إعادة طرح توريد المواد المضافة للوقود (Stability Additive for 0.5% Sulfur IMO Bunker Fuel Oil - MAA) - شركة البترول الوطنية الكويتية</t>
        </is>
      </c>
      <c r="E202" s="13" t="inlineStr">
        <is>
          <t>توريد مواد مضافة كيميائية لتحسين ثبات منتج وقود السفن منخفض الكبريت 0.5% بمصفاة ميناء الأحمدي.</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2026-10-15</t>
        </is>
      </c>
      <c r="L202" s="14" t="inlineStr">
        <is>
          <t>1000.0</t>
        </is>
      </c>
      <c r="M202" s="14" t="inlineStr">
        <is>
          <t>-</t>
        </is>
      </c>
      <c r="N202" s="21" t="inlineStr">
        <is>
          <t>NEW</t>
        </is>
      </c>
      <c r="O202" s="14" t="inlineStr">
        <is>
          <t>غير متوافقة</t>
        </is>
      </c>
      <c r="P202" s="22">
        <f>HYPERLINK("https://kuwaitalyawm.media.gov.kw/flip/index?id=5599&amp;no=225", "عرض المصدر")</f>
        <v/>
      </c>
    </row>
    <row r="203">
      <c r="A203" s="11" t="inlineStr">
        <is>
          <t>RFQ/1063414</t>
        </is>
      </c>
      <c r="B203" s="11" t="inlineStr">
        <is>
          <t>شركة البترول الوطنية الكويتية</t>
        </is>
      </c>
      <c r="C203" s="11" t="inlineStr">
        <is>
          <t>Abrar Al-Qallaf</t>
        </is>
      </c>
      <c r="D203" s="11" t="inlineStr">
        <is>
          <t>ممارسة رقم RFQ/1063414: توريد مستلزمات وتجهيزات ميكانيكية وتشغيلية - شركة البترول الوطنية الكويتية</t>
        </is>
      </c>
      <c r="E203" s="11" t="inlineStr">
        <is>
          <t>توريد معدات ومستلزمات تشغيلية وميكانيكية لعمليات المصافي بشركة البترول الوطنية الكويتية.</t>
        </is>
      </c>
      <c r="F203" s="11" t="inlineStr">
        <is>
          <t>وفقاً لشروط وإجراءات المناقصات والتوريد لدى شركة البترول الوطنية الكويتية (KNPC)</t>
        </is>
      </c>
      <c r="G203" s="12" t="inlineStr">
        <is>
          <t>عام</t>
        </is>
      </c>
      <c r="H203" s="12" t="inlineStr">
        <is>
          <t>15.0%</t>
        </is>
      </c>
      <c r="I203" s="12" t="inlineStr">
        <is>
          <t>oil_and_gas</t>
        </is>
      </c>
      <c r="J203" s="12" t="inlineStr">
        <is>
          <t>2026-09-27</t>
        </is>
      </c>
      <c r="K203" s="18" t="inlineStr">
        <is>
          <t>2026-10-08</t>
        </is>
      </c>
      <c r="L203" s="12" t="inlineStr">
        <is>
          <t>2500.0</t>
        </is>
      </c>
      <c r="M203" s="12" t="inlineStr">
        <is>
          <t>100.0</t>
        </is>
      </c>
      <c r="N203" s="21" t="inlineStr">
        <is>
          <t>NEW</t>
        </is>
      </c>
      <c r="O203" s="12" t="inlineStr">
        <is>
          <t>غير متوافقة</t>
        </is>
      </c>
      <c r="P203" s="23">
        <f>HYPERLINK("https://kuwaitalyawm.media.gov.kw/flip/index?id=5599&amp;no=226", "عرض المصدر")</f>
        <v/>
      </c>
    </row>
    <row r="204">
      <c r="A204" s="13" t="inlineStr">
        <is>
          <t>2026/2025/6</t>
        </is>
      </c>
      <c r="B204" s="13" t="inlineStr">
        <is>
          <t>الهيئة العامة للاتصالات وتقنية المعلومات</t>
        </is>
      </c>
      <c r="C204" s="13" t="inlineStr">
        <is>
          <t>Eiman Ashkanani</t>
        </is>
      </c>
      <c r="D204" s="13" t="inlineStr">
        <is>
          <t>مناقصة رقم 2026/2025/6: بشأن مشروع تقديم خدمات النظافة والحراسة والمراسلين</t>
        </is>
      </c>
      <c r="E204" s="13" t="inlineStr">
        <is>
          <t>توفير خدمات وأعمال النظافة العامة والشاملة للمباني والمرافق وتوفير العمالة والمعدات والمستهلكات اللازمة.</t>
        </is>
      </c>
      <c r="F204"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 غير قابلة للتجزئة ) ولا يحق لمقدم العطاء تقديم عروض بديلة.
• المقابل المادي للحصول على نسخة من وثائق الممارسة يتمثل في ( 75 ) خمسة
• و سبعون دينار كويتي لاغير.</t>
        </is>
      </c>
      <c r="G204" s="14" t="inlineStr">
        <is>
          <t>عام</t>
        </is>
      </c>
      <c r="H204" s="14" t="inlineStr">
        <is>
          <t>0.0%</t>
        </is>
      </c>
      <c r="I204" s="14" t="inlineStr">
        <is>
          <t>other</t>
        </is>
      </c>
      <c r="J204" s="14" t="inlineStr">
        <is>
          <t>2026-08-23</t>
        </is>
      </c>
      <c r="K204" s="14" t="inlineStr">
        <is>
          <t>2026-09-16</t>
        </is>
      </c>
      <c r="L204" s="14" t="inlineStr">
        <is>
          <t>504.5</t>
        </is>
      </c>
      <c r="M204" s="14" t="inlineStr">
        <is>
          <t>504.5</t>
        </is>
      </c>
      <c r="N204" s="21" t="inlineStr">
        <is>
          <t>NEW</t>
        </is>
      </c>
      <c r="O204" s="14" t="inlineStr">
        <is>
          <t>غير متوافقة مع اختصاصات KBM</t>
        </is>
      </c>
      <c r="P204" s="22">
        <f>HYPERLINK("https://kuwaitalyawm.media.gov.kw/flip/index?id=5589&amp;no=178", "عرض المصدر")</f>
        <v/>
      </c>
    </row>
    <row r="205">
      <c r="A205" s="11" t="inlineStr">
        <is>
          <t>RFQ/2162141</t>
        </is>
      </c>
      <c r="B205" s="11" t="inlineStr">
        <is>
          <t>شركة البترول الوطنية الكويتية</t>
        </is>
      </c>
      <c r="C205" s="11" t="inlineStr">
        <is>
          <t>Abrar Al-Qallaf</t>
        </is>
      </c>
      <c r="D205" s="11" t="inlineStr">
        <is>
          <t>ممارسة رقم RFQ/2162141: توريد مواد ومهمات تشغيلية لزوم شركة البترول الوطنية الكويتية - شركة البترول الوطنية الكويتية</t>
        </is>
      </c>
      <c r="E205" s="11" t="inlineStr">
        <is>
          <t>أعمال وتوريدات تخصصية لزوم شركة البترول الوطنية الكويتية حسب وثائق الممارسة رقم RFQ/2162141 عبر منصة K-Tendering.</t>
        </is>
      </c>
      <c r="F205" s="11" t="inlineStr">
        <is>
          <t>وفقاً لشروط وإجراءات المناقصات والتوريد لدى شركة البترول الوطنية الكويتية (KNPC)</t>
        </is>
      </c>
      <c r="G205" s="12" t="inlineStr">
        <is>
          <t>عام</t>
        </is>
      </c>
      <c r="H205" s="12" t="inlineStr">
        <is>
          <t>15.0%</t>
        </is>
      </c>
      <c r="I205" s="12" t="inlineStr">
        <is>
          <t>oil_and_gas</t>
        </is>
      </c>
      <c r="J205" s="12" t="inlineStr">
        <is>
          <t>2026-09-27</t>
        </is>
      </c>
      <c r="K205" s="12" t="inlineStr">
        <is>
          <t>-</t>
        </is>
      </c>
      <c r="L205" s="12" t="inlineStr">
        <is>
          <t>-</t>
        </is>
      </c>
      <c r="M205" s="12" t="inlineStr">
        <is>
          <t>-</t>
        </is>
      </c>
      <c r="N205" s="21" t="inlineStr">
        <is>
          <t>NEW</t>
        </is>
      </c>
      <c r="O205" s="12" t="inlineStr">
        <is>
          <t>غير متوافقة</t>
        </is>
      </c>
      <c r="P205" s="23">
        <f>HYPERLINK("https://kuwaitalyawm.media.gov.kw/flip/index?id=5599&amp;no=232", "عرض المصدر")</f>
        <v/>
      </c>
    </row>
    <row r="206">
      <c r="A206" s="13" t="inlineStr">
        <is>
          <t>RFQ/2162882</t>
        </is>
      </c>
      <c r="B206" s="13" t="inlineStr">
        <is>
          <t>شركة البترول الوطنية الكويتية</t>
        </is>
      </c>
      <c r="C206" s="13" t="inlineStr">
        <is>
          <t>Abrar Al-Qallaf</t>
        </is>
      </c>
      <c r="D206" s="13" t="inlineStr">
        <is>
          <t>ممارسة رقم RFQ/2162882: توريد مواد ومهمات تشغيلية لزوم شركة البترول الوطنية الكويتية - شركة البترول الوطنية الكويتية</t>
        </is>
      </c>
      <c r="E206" s="13" t="inlineStr">
        <is>
          <t>أعمال وتوريدات تخصصية لزوم شركة البترول الوطنية الكويتية حسب وثائق الممارسة رقم RFQ/2162882 عبر منصة K-Tendering.</t>
        </is>
      </c>
      <c r="F206" s="13" t="inlineStr">
        <is>
          <t>وفقاً لشروط وإجراءات المناقصات والتوريد لدى شركة البترول الوطنية الكويتية (KNPC)</t>
        </is>
      </c>
      <c r="G206" s="14" t="inlineStr">
        <is>
          <t>عام</t>
        </is>
      </c>
      <c r="H206" s="14" t="inlineStr">
        <is>
          <t>15.0%</t>
        </is>
      </c>
      <c r="I206" s="14" t="inlineStr">
        <is>
          <t>oil_and_gas</t>
        </is>
      </c>
      <c r="J206" s="14" t="inlineStr">
        <is>
          <t>2026-08-30</t>
        </is>
      </c>
      <c r="K206" s="14" t="inlineStr">
        <is>
          <t>-</t>
        </is>
      </c>
      <c r="L206" s="14" t="inlineStr">
        <is>
          <t>-</t>
        </is>
      </c>
      <c r="M206" s="14" t="inlineStr">
        <is>
          <t>-</t>
        </is>
      </c>
      <c r="N206" s="21" t="inlineStr">
        <is>
          <t>NEW</t>
        </is>
      </c>
      <c r="O206" s="14" t="inlineStr">
        <is>
          <t>غير متوافقة</t>
        </is>
      </c>
      <c r="P206" s="22">
        <f>HYPERLINK("https://kuwaitalyawm.media.gov.kw/flip/index?id=5599&amp;no=232", "عرض المصدر")</f>
        <v/>
      </c>
    </row>
    <row r="207">
      <c r="A207" s="11" t="inlineStr">
        <is>
          <t>RFQ/2164961</t>
        </is>
      </c>
      <c r="B207" s="11" t="inlineStr">
        <is>
          <t>شركة البترول الوطنية الكويتية</t>
        </is>
      </c>
      <c r="C207" s="11" t="inlineStr">
        <is>
          <t>Abrar Al-Qallaf</t>
        </is>
      </c>
      <c r="D207" s="11" t="inlineStr">
        <is>
          <t>ممارسة رقم RFQ/2164961: توريد مواد ومهمات تشغيلية لزوم شركة البترول الوطنية الكويتية - شركة البترول الوطنية الكويتية</t>
        </is>
      </c>
      <c r="E207" s="11" t="inlineStr">
        <is>
          <t>أعمال وتوريدات تخصصية لزوم شركة البترول الوطنية الكويتية حسب وثائق الممارسة رقم RFQ/2164961 عبر منصة K-Tendering.</t>
        </is>
      </c>
      <c r="F207" s="11" t="inlineStr">
        <is>
          <t>وفقاً لشروط وإجراءات المناقصات والتوريد لدى شركة البترول الوطنية الكويتية (KNPC)</t>
        </is>
      </c>
      <c r="G207" s="12" t="inlineStr">
        <is>
          <t>عام</t>
        </is>
      </c>
      <c r="H207" s="12" t="inlineStr">
        <is>
          <t>15.0%</t>
        </is>
      </c>
      <c r="I207" s="12" t="inlineStr">
        <is>
          <t>oil_and_gas</t>
        </is>
      </c>
      <c r="J207" s="12" t="inlineStr">
        <is>
          <t>2026-09-27</t>
        </is>
      </c>
      <c r="K207" s="12" t="inlineStr">
        <is>
          <t>2026-09-27</t>
        </is>
      </c>
      <c r="L207" s="12" t="inlineStr">
        <is>
          <t>15000.0</t>
        </is>
      </c>
      <c r="M207" s="12" t="inlineStr">
        <is>
          <t>-</t>
        </is>
      </c>
      <c r="N207" s="21" t="inlineStr">
        <is>
          <t>NEW</t>
        </is>
      </c>
      <c r="O207" s="12" t="inlineStr">
        <is>
          <t>غير متوافقة</t>
        </is>
      </c>
      <c r="P207" s="23">
        <f>HYPERLINK("https://kuwaitalyawm.media.gov.kw/flip/index?id=5599&amp;no=232", "عرض المصدر")</f>
        <v/>
      </c>
    </row>
    <row r="208">
      <c r="A208" s="13" t="inlineStr">
        <is>
          <t>RFQ/2167837</t>
        </is>
      </c>
      <c r="B208" s="13" t="inlineStr">
        <is>
          <t>شركة البترول الوطنية الكويتية</t>
        </is>
      </c>
      <c r="C208" s="13" t="inlineStr">
        <is>
          <t>Abrar Al-Qallaf</t>
        </is>
      </c>
      <c r="D208" s="13" t="inlineStr">
        <is>
          <t>ممارسة رقم RFQ/2167837: توريد مواد ومهمات تشغيلية لزوم شركة البترول الوطنية الكويتية - شركة البترول الوطنية الكويتية</t>
        </is>
      </c>
      <c r="E208" s="13" t="inlineStr">
        <is>
          <t>أعمال وتوريدات تخصصية لزوم شركة البترول الوطنية الكويتية حسب وثائق الممارسة رقم RFQ/2167837 عبر منصة K-Tendering.</t>
        </is>
      </c>
      <c r="F208" s="13" t="inlineStr">
        <is>
          <t>وفقاً لشروط وإجراءات المناقصات والتوريد لدى شركة البترول الوطنية الكويتية (KNPC)</t>
        </is>
      </c>
      <c r="G208" s="14" t="inlineStr">
        <is>
          <t>عام</t>
        </is>
      </c>
      <c r="H208" s="14" t="inlineStr">
        <is>
          <t>15.0%</t>
        </is>
      </c>
      <c r="I208" s="14" t="inlineStr">
        <is>
          <t>oil_and_gas</t>
        </is>
      </c>
      <c r="J208" s="14" t="inlineStr">
        <is>
          <t>2026-09-27</t>
        </is>
      </c>
      <c r="K208" s="14" t="inlineStr">
        <is>
          <t>2026-09-27</t>
        </is>
      </c>
      <c r="L208" s="14" t="inlineStr">
        <is>
          <t>15000.0</t>
        </is>
      </c>
      <c r="M208" s="14" t="inlineStr">
        <is>
          <t>-</t>
        </is>
      </c>
      <c r="N208" s="21" t="inlineStr">
        <is>
          <t>NEW</t>
        </is>
      </c>
      <c r="O208" s="14" t="inlineStr">
        <is>
          <t>غير متوافقة</t>
        </is>
      </c>
      <c r="P208" s="22">
        <f>HYPERLINK("https://kuwaitalyawm.media.gov.kw/flip/index?id=5599&amp;no=233", "عرض المصدر")</f>
        <v/>
      </c>
    </row>
    <row r="209">
      <c r="A209" s="11" t="inlineStr">
        <is>
          <t>RFP/2158821</t>
        </is>
      </c>
      <c r="B209" s="11" t="inlineStr">
        <is>
          <t>شركة البترول الوطنية الكويتية</t>
        </is>
      </c>
      <c r="C209" s="11" t="inlineStr">
        <is>
          <t>Abrar Al-Qallaf</t>
        </is>
      </c>
      <c r="D209" s="11" t="inlineStr">
        <is>
          <t>ممارسة رقم RFP/2158821: توريد مواد ومهمات تشغيلية لزوم شركة البترول الوطنية الكويتية - شركة البترول الوطنية الكويتية</t>
        </is>
      </c>
      <c r="E209" s="11" t="inlineStr">
        <is>
          <t>أعمال وتوريدات تخصصية لزوم شركة البترول الوطنية الكويتية حسب وثائق الممارسة رقم RFP/2158821 عبر منصة K-Tendering.</t>
        </is>
      </c>
      <c r="F209" s="11" t="inlineStr">
        <is>
          <t>وفقاً لشروط وإجراءات المناقصات والتوريد لدى شركة البترول الوطنية الكويتية (KNPC)</t>
        </is>
      </c>
      <c r="G209" s="12" t="inlineStr">
        <is>
          <t>عام</t>
        </is>
      </c>
      <c r="H209" s="12" t="inlineStr">
        <is>
          <t>15.0%</t>
        </is>
      </c>
      <c r="I209" s="12" t="inlineStr">
        <is>
          <t>oil_and_gas</t>
        </is>
      </c>
      <c r="J209" s="12" t="inlineStr">
        <is>
          <t>2026-09-27</t>
        </is>
      </c>
      <c r="K209" s="12" t="inlineStr">
        <is>
          <t>-</t>
        </is>
      </c>
      <c r="L209" s="12" t="inlineStr">
        <is>
          <t>-</t>
        </is>
      </c>
      <c r="M209" s="12" t="inlineStr">
        <is>
          <t>-</t>
        </is>
      </c>
      <c r="N209" s="21" t="inlineStr">
        <is>
          <t>NEW</t>
        </is>
      </c>
      <c r="O209" s="12" t="inlineStr">
        <is>
          <t>غير متوافقة</t>
        </is>
      </c>
      <c r="P209" s="23">
        <f>HYPERLINK("https://kuwaitalyawm.media.gov.kw/flip/index?id=5599&amp;no=234", "عرض المصدر")</f>
        <v/>
      </c>
    </row>
  </sheetData>
  <autoFilter ref="A1:P20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32"/>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government</t>
        </is>
      </c>
      <c r="J2" s="14" t="inlineStr">
        <is>
          <t>2026-09-27</t>
        </is>
      </c>
      <c r="K2" s="14" t="inlineStr">
        <is>
          <t>2026-10-26</t>
        </is>
      </c>
      <c r="L2" s="14" t="inlineStr">
        <is>
          <t>-</t>
        </is>
      </c>
      <c r="M2" s="14" t="inlineStr">
        <is>
          <t>1000.0</t>
        </is>
      </c>
      <c r="N2" s="21" t="inlineStr">
        <is>
          <t>NEW</t>
        </is>
      </c>
      <c r="O2" s="14" t="inlineStr">
        <is>
          <t>غير متوافقة مع اختصاصات KBM</t>
        </is>
      </c>
      <c r="P2" s="22">
        <f>HYPERLINK("https://kuwaitalyawm.media.gov.kw/Online/ViewAdsHTML?id=171551&amp;no=1", "عرض المصدر")</f>
        <v/>
      </c>
    </row>
    <row r="3">
      <c r="A3" s="11" t="inlineStr">
        <is>
          <t>217-57</t>
        </is>
      </c>
      <c r="B3" s="11" t="inlineStr">
        <is>
          <t>وزارة الصحة</t>
        </is>
      </c>
      <c r="C3" s="11" t="inlineStr">
        <is>
          <t>Jana Al-Obaid</t>
        </is>
      </c>
      <c r="D3" s="11" t="inlineStr">
        <is>
          <t>ممارسة رقم 217-57 - وزارة الصحة</t>
        </is>
      </c>
      <c r="E3" s="11" t="inlineStr">
        <is>
          <t>أعمال وتوريدات ممارسة رقم 217-57 لصالح وزارة الصحة وفقاً للشروط والمواصفات المعتمدة في وثائق الطرح.</t>
        </is>
      </c>
      <c r="F3"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3" s="12" t="inlineStr">
        <is>
          <t>عام</t>
        </is>
      </c>
      <c r="H3" s="12" t="inlineStr">
        <is>
          <t>0.0%</t>
        </is>
      </c>
      <c r="I3" s="12" t="inlineStr">
        <is>
          <t>government</t>
        </is>
      </c>
      <c r="J3" s="12" t="inlineStr">
        <is>
          <t>2026-09-27</t>
        </is>
      </c>
      <c r="K3" s="18" t="inlineStr">
        <is>
          <t>2026-10-12</t>
        </is>
      </c>
      <c r="L3" s="12" t="inlineStr">
        <is>
          <t>-</t>
        </is>
      </c>
      <c r="M3" s="12" t="inlineStr">
        <is>
          <t>75.0</t>
        </is>
      </c>
      <c r="N3" s="21" t="inlineStr">
        <is>
          <t>NEW</t>
        </is>
      </c>
      <c r="O3" s="12" t="inlineStr">
        <is>
          <t>غير متوافقة مع اختصاصات KBM</t>
        </is>
      </c>
      <c r="P3" s="23">
        <f>HYPERLINK("https://kuwaitalyawm.media.gov.kw/Online/ViewAdsHTML?id=171552&amp;no=1", "عرض المصدر")</f>
        <v/>
      </c>
    </row>
    <row r="4">
      <c r="A4" s="13" t="inlineStr">
        <is>
          <t>2027/2026/74</t>
        </is>
      </c>
      <c r="B4" s="13" t="inlineStr">
        <is>
          <t>وزارة الصحة</t>
        </is>
      </c>
      <c r="C4" s="13" t="inlineStr">
        <is>
          <t>Jana Al-Obaid</t>
        </is>
      </c>
      <c r="D4" s="13" t="inlineStr">
        <is>
          <t>ممارسة رقم 2027/2026/74: توريد وتركيب وتشغيل شاشات تليفزيون لمركز الصليبية وتحويلة لمركز علاج الإدمان</t>
        </is>
      </c>
      <c r="E4" s="13" t="inlineStr">
        <is>
          <t>توريد المستلزمات والمواد والمستهلكات الطبية أو المخبرية المتخصصة لصالح المرافق الصحية.</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government</t>
        </is>
      </c>
      <c r="J4" s="14" t="inlineStr">
        <is>
          <t>2026-09-27</t>
        </is>
      </c>
      <c r="K4" s="14" t="inlineStr">
        <is>
          <t>-</t>
        </is>
      </c>
      <c r="L4" s="14" t="inlineStr">
        <is>
          <t>-</t>
        </is>
      </c>
      <c r="M4" s="14" t="inlineStr">
        <is>
          <t>-</t>
        </is>
      </c>
      <c r="N4" s="21" t="inlineStr">
        <is>
          <t>NEW</t>
        </is>
      </c>
      <c r="O4" s="14" t="inlineStr">
        <is>
          <t>غير متوافقة مع اختصاصات KBM</t>
        </is>
      </c>
      <c r="P4" s="22">
        <f>HYPERLINK("https://kuwaitalyawm.media.gov.kw/Online/ViewAdsHTML?id=171553&amp;no=1", "عرض المصدر")</f>
        <v/>
      </c>
    </row>
    <row r="5">
      <c r="A5" s="11" t="inlineStr">
        <is>
          <t>281</t>
        </is>
      </c>
      <c r="B5" s="11" t="inlineStr">
        <is>
          <t>وزارة الصحة</t>
        </is>
      </c>
      <c r="C5" s="11" t="inlineStr">
        <is>
          <t>Jana Al-Obaid</t>
        </is>
      </c>
      <c r="D5" s="11" t="inlineStr">
        <is>
          <t>ممارسة رقم 281 - وزارة الصحة</t>
        </is>
      </c>
      <c r="E5" s="11" t="inlineStr">
        <is>
          <t>أعمال وتوريدات ممارسة رقم 281 لصالح وزارة الصحة وفقاً للشروط والمواصفات المعتمدة في وثائق الطرح.</t>
        </is>
      </c>
      <c r="F5"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 s="12" t="inlineStr">
        <is>
          <t>عام</t>
        </is>
      </c>
      <c r="H5" s="12" t="inlineStr">
        <is>
          <t>0.0%</t>
        </is>
      </c>
      <c r="I5" s="12" t="inlineStr">
        <is>
          <t>government</t>
        </is>
      </c>
      <c r="J5" s="12" t="inlineStr">
        <is>
          <t>2026-09-27</t>
        </is>
      </c>
      <c r="K5" s="18" t="inlineStr">
        <is>
          <t>2026-10-05</t>
        </is>
      </c>
      <c r="L5" s="12" t="inlineStr">
        <is>
          <t>-</t>
        </is>
      </c>
      <c r="M5" s="12" t="inlineStr">
        <is>
          <t>1000.0</t>
        </is>
      </c>
      <c r="N5" s="21" t="inlineStr">
        <is>
          <t>NEW</t>
        </is>
      </c>
      <c r="O5" s="12" t="inlineStr">
        <is>
          <t>غير متوافقة مع اختصاصات KBM</t>
        </is>
      </c>
      <c r="P5" s="23">
        <f>HYPERLINK("https://kuwaitalyawm.media.gov.kw/Online/ViewAdsHTML?id=171554&amp;no=1", "عرض المصدر")</f>
        <v/>
      </c>
    </row>
    <row r="6">
      <c r="A6" s="13" t="inlineStr">
        <is>
          <t>321</t>
        </is>
      </c>
      <c r="B6" s="13" t="inlineStr">
        <is>
          <t>وزارة الصحة</t>
        </is>
      </c>
      <c r="C6" s="13" t="inlineStr">
        <is>
          <t>Jana Al-Obaid</t>
        </is>
      </c>
      <c r="D6" s="13" t="inlineStr">
        <is>
          <t>ممارسة رقم 321 - وزارة الصحة</t>
        </is>
      </c>
      <c r="E6" s="13" t="inlineStr">
        <is>
          <t>أعمال وتوريدات ممارسة رقم 321 لصالح وزارة الصحة وفقاً للشروط والمواصفات المعتمدة في وثائق الطرح.</t>
        </is>
      </c>
      <c r="F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6" s="14" t="inlineStr">
        <is>
          <t>عام</t>
        </is>
      </c>
      <c r="H6" s="14" t="inlineStr">
        <is>
          <t>15.0%</t>
        </is>
      </c>
      <c r="I6" s="14" t="inlineStr">
        <is>
          <t>government</t>
        </is>
      </c>
      <c r="J6" s="14" t="inlineStr">
        <is>
          <t>2026-09-27</t>
        </is>
      </c>
      <c r="K6" s="14" t="inlineStr">
        <is>
          <t>2026-10-28</t>
        </is>
      </c>
      <c r="L6" s="14" t="inlineStr">
        <is>
          <t>-</t>
        </is>
      </c>
      <c r="M6" s="14" t="inlineStr">
        <is>
          <t>75.0</t>
        </is>
      </c>
      <c r="N6" s="21" t="inlineStr">
        <is>
          <t>NEW</t>
        </is>
      </c>
      <c r="O6" s="14" t="inlineStr">
        <is>
          <t>غير متوافقة مع اختصاصات KBM</t>
        </is>
      </c>
      <c r="P6" s="22">
        <f>HYPERLINK("https://kuwaitalyawm.media.gov.kw/Online/ViewAdsHTML?id=171555&amp;no=1", "عرض المصدر")</f>
        <v/>
      </c>
    </row>
    <row r="7">
      <c r="A7" s="11" t="inlineStr">
        <is>
          <t>2027/2026/6</t>
        </is>
      </c>
      <c r="B7" s="11" t="inlineStr">
        <is>
          <t>بنك الائتمان الكويتي</t>
        </is>
      </c>
      <c r="C7" s="11" t="inlineStr">
        <is>
          <t>Eiman Ashkanani</t>
        </is>
      </c>
      <c r="D7"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7"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7"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7" s="12" t="inlineStr">
        <is>
          <t>عام</t>
        </is>
      </c>
      <c r="H7" s="12" t="inlineStr">
        <is>
          <t>0.0%</t>
        </is>
      </c>
      <c r="I7" s="12" t="inlineStr">
        <is>
          <t>government</t>
        </is>
      </c>
      <c r="J7" s="12" t="inlineStr">
        <is>
          <t>2026-09-27</t>
        </is>
      </c>
      <c r="K7" s="12" t="inlineStr">
        <is>
          <t>2026-10-26</t>
        </is>
      </c>
      <c r="L7" s="12" t="inlineStr">
        <is>
          <t>2000.0</t>
        </is>
      </c>
      <c r="M7" s="12" t="inlineStr">
        <is>
          <t>20.0</t>
        </is>
      </c>
      <c r="N7" s="21" t="inlineStr">
        <is>
          <t>NEW</t>
        </is>
      </c>
      <c r="O7" s="12" t="inlineStr">
        <is>
          <t>غير متوافقة مع اختصاصات KBM</t>
        </is>
      </c>
      <c r="P7" s="23">
        <f>HYPERLINK("https://kuwaitalyawm.media.gov.kw/Online/ViewAdsHTML?id=171559&amp;no=1", "عرض المصدر")</f>
        <v/>
      </c>
    </row>
    <row r="8">
      <c r="A8" s="13" t="inlineStr">
        <is>
          <t>15140/15567</t>
        </is>
      </c>
      <c r="B8" s="13" t="inlineStr">
        <is>
          <t>وزارة الكهرباء والماء</t>
        </is>
      </c>
      <c r="C8" s="13" t="inlineStr">
        <is>
          <t>Raed Obeid</t>
        </is>
      </c>
      <c r="D8"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government</t>
        </is>
      </c>
      <c r="J8" s="14" t="inlineStr">
        <is>
          <t>2026-09-27</t>
        </is>
      </c>
      <c r="K8" s="14" t="inlineStr">
        <is>
          <t>2026-10-20</t>
        </is>
      </c>
      <c r="L8" s="14" t="inlineStr">
        <is>
          <t>-</t>
        </is>
      </c>
      <c r="M8" s="14" t="inlineStr">
        <is>
          <t>10.0</t>
        </is>
      </c>
      <c r="N8" s="21" t="inlineStr">
        <is>
          <t>NEW</t>
        </is>
      </c>
      <c r="O8" s="14" t="inlineStr">
        <is>
          <t>غير متوافقة مع اختصاصات KBM</t>
        </is>
      </c>
      <c r="P8" s="22">
        <f>HYPERLINK("https://kuwaitalyawm.media.gov.kw/Online/ViewAdsHTML?id=171669&amp;no=1", "عرض المصدر")</f>
        <v/>
      </c>
    </row>
    <row r="9">
      <c r="A9" s="11" t="inlineStr">
        <is>
          <t>15353/15580</t>
        </is>
      </c>
      <c r="B9" s="11" t="inlineStr">
        <is>
          <t>وزارة الكهرباء والماء</t>
        </is>
      </c>
      <c r="C9" s="11" t="inlineStr">
        <is>
          <t>Raed Obeid</t>
        </is>
      </c>
      <c r="D9"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9"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12" t="inlineStr">
        <is>
          <t>عام</t>
        </is>
      </c>
      <c r="H9" s="12" t="inlineStr">
        <is>
          <t>15.0%</t>
        </is>
      </c>
      <c r="I9" s="12" t="inlineStr">
        <is>
          <t>government</t>
        </is>
      </c>
      <c r="J9" s="12" t="inlineStr">
        <is>
          <t>2026-09-27</t>
        </is>
      </c>
      <c r="K9" s="12" t="inlineStr">
        <is>
          <t>-</t>
        </is>
      </c>
      <c r="L9" s="12" t="inlineStr">
        <is>
          <t>-</t>
        </is>
      </c>
      <c r="M9" s="12" t="inlineStr">
        <is>
          <t>7.0</t>
        </is>
      </c>
      <c r="N9" s="21" t="inlineStr">
        <is>
          <t>NEW</t>
        </is>
      </c>
      <c r="O9" s="12" t="inlineStr">
        <is>
          <t>غير متوافقة مع اختصاصات KBM</t>
        </is>
      </c>
      <c r="P9" s="23">
        <f>HYPERLINK("https://kuwaitalyawm.media.gov.kw/Online/ViewAdsHTML?id=171670&amp;no=1", "عرض المصدر")</f>
        <v/>
      </c>
    </row>
    <row r="10">
      <c r="A10" s="13" t="inlineStr">
        <is>
          <t>2027/2026/1</t>
        </is>
      </c>
      <c r="B10" s="13" t="inlineStr">
        <is>
          <t>وزارة الكهرباء والماء</t>
        </is>
      </c>
      <c r="C10" s="13" t="inlineStr">
        <is>
          <t>Raed Obeid</t>
        </is>
      </c>
      <c r="D10" s="13" t="inlineStr">
        <is>
          <t>ممارسة رقم 2027/2026/1: صيانة جهاز تحليل وقياس الكربون العضوي في الماء</t>
        </is>
      </c>
      <c r="E1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government</t>
        </is>
      </c>
      <c r="J10" s="14" t="inlineStr">
        <is>
          <t>2026-09-27</t>
        </is>
      </c>
      <c r="K10" s="14" t="inlineStr">
        <is>
          <t>2026-10-25</t>
        </is>
      </c>
      <c r="L10" s="14" t="inlineStr">
        <is>
          <t>600.0</t>
        </is>
      </c>
      <c r="M10" s="14" t="inlineStr">
        <is>
          <t>15.0</t>
        </is>
      </c>
      <c r="N10" s="21" t="inlineStr">
        <is>
          <t>NEW</t>
        </is>
      </c>
      <c r="O10" s="14" t="inlineStr">
        <is>
          <t>غير متوافقة مع اختصاصات KBM</t>
        </is>
      </c>
      <c r="P10" s="22">
        <f>HYPERLINK("https://kuwaitalyawm.media.gov.kw/Online/ViewAdsHTML?id=171671&amp;no=1", "عرض المصدر")</f>
        <v/>
      </c>
    </row>
    <row r="11">
      <c r="A11" s="11" t="inlineStr">
        <is>
          <t>2027/2026/8</t>
        </is>
      </c>
      <c r="B11" s="11" t="inlineStr">
        <is>
          <t>الإدارة العامة للاطفاء</t>
        </is>
      </c>
      <c r="C11" s="11" t="inlineStr">
        <is>
          <t>Eiman Ashkanani</t>
        </is>
      </c>
      <c r="D11" s="11" t="inlineStr">
        <is>
          <t>ممارسة رقم 2027/2026/8: بشأن شراء وتجديد حزمة برامج Manage engine</t>
        </is>
      </c>
      <c r="E11"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برمجيات IBM وحلول الذكاء الاصطناعي وRed Hat</t>
        </is>
      </c>
      <c r="H11" s="12" t="inlineStr">
        <is>
          <t>68.0%</t>
        </is>
      </c>
      <c r="I11" s="12" t="inlineStr">
        <is>
          <t>government</t>
        </is>
      </c>
      <c r="J11" s="12" t="inlineStr">
        <is>
          <t>2026-09-27</t>
        </is>
      </c>
      <c r="K11" s="12" t="inlineStr">
        <is>
          <t>-</t>
        </is>
      </c>
      <c r="L11" s="12" t="inlineStr">
        <is>
          <t>-</t>
        </is>
      </c>
      <c r="M11" s="12" t="inlineStr">
        <is>
          <t>75.0</t>
        </is>
      </c>
      <c r="N11" s="21" t="inlineStr">
        <is>
          <t>NEW</t>
        </is>
      </c>
      <c r="O11" s="12" t="inlineStr">
        <is>
          <t>فرصة ICT متوافقة مع قدرات KBM</t>
        </is>
      </c>
      <c r="P11" s="23">
        <f>HYPERLINK("https://kuwaitalyawm.media.gov.kw/Online/ViewAdsHTML?id=171673&amp;no=1", "عرض المصدر")</f>
        <v/>
      </c>
    </row>
    <row r="12">
      <c r="A12" s="13" t="inlineStr">
        <is>
          <t>2030/2027/327</t>
        </is>
      </c>
      <c r="B12" s="13" t="inlineStr">
        <is>
          <t>الهيئة العامة للاستثمار</t>
        </is>
      </c>
      <c r="C12" s="13" t="inlineStr">
        <is>
          <t>Eiman Ashkanani</t>
        </is>
      </c>
      <c r="D12" s="13" t="inlineStr">
        <is>
          <t>ممارسة رقم 2030/2027/327: شراء جهاز توزيع الأحمال (App Load Balancer)</t>
        </is>
      </c>
      <c r="E12" s="13" t="inlineStr">
        <is>
          <t>أعمال وتوريدات شراء جهاز توزيع الأحمال (App Load Balancer) لصالح الهيئة العامة للاستثمار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2026-09-27</t>
        </is>
      </c>
      <c r="K12" s="14" t="inlineStr">
        <is>
          <t>-</t>
        </is>
      </c>
      <c r="L12" s="14" t="inlineStr">
        <is>
          <t>1500.0</t>
        </is>
      </c>
      <c r="M12" s="14" t="inlineStr">
        <is>
          <t>75.0</t>
        </is>
      </c>
      <c r="N12" s="21" t="inlineStr">
        <is>
          <t>NEW</t>
        </is>
      </c>
      <c r="O12" s="14" t="inlineStr">
        <is>
          <t>غير متوافقة مع اختصاصات KBM</t>
        </is>
      </c>
      <c r="P12" s="22">
        <f>HYPERLINK("https://kuwaitalyawm.media.gov.kw/Online/ViewAdsHTML?id=171676&amp;no=1", "عرض المصدر")</f>
        <v/>
      </c>
    </row>
    <row r="13">
      <c r="A13" s="11" t="inlineStr">
        <is>
          <t>2027/2026/3</t>
        </is>
      </c>
      <c r="B13" s="11" t="inlineStr">
        <is>
          <t>الهيئة العامة للبيئة</t>
        </is>
      </c>
      <c r="C13" s="11" t="inlineStr">
        <is>
          <t>Eiman Ashkanani</t>
        </is>
      </c>
      <c r="D13" s="11" t="inlineStr">
        <is>
          <t>ممارسة رقم 2027/2026/3: توفير خدمات تقنية المعلومات والصيانة والدعم الفني</t>
        </is>
      </c>
      <c r="E1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24" t="inlineStr">
        <is>
          <t>قطاع العمليات المدارة والدعم الفني متعدد الموردين</t>
        </is>
      </c>
      <c r="H13" s="12" t="inlineStr">
        <is>
          <t>64.0%</t>
        </is>
      </c>
      <c r="I13" s="12" t="inlineStr">
        <is>
          <t>government</t>
        </is>
      </c>
      <c r="J13" s="12" t="inlineStr">
        <is>
          <t>2026-09-27</t>
        </is>
      </c>
      <c r="K13" s="12" t="inlineStr">
        <is>
          <t>2026-10-27</t>
        </is>
      </c>
      <c r="L13" s="12" t="inlineStr">
        <is>
          <t>-</t>
        </is>
      </c>
      <c r="M13" s="12" t="inlineStr">
        <is>
          <t>30.0</t>
        </is>
      </c>
      <c r="N13" s="21" t="inlineStr">
        <is>
          <t>NEW</t>
        </is>
      </c>
      <c r="O13" s="12" t="inlineStr">
        <is>
          <t>فرصة ICT متوافقة مع قدرات KBM</t>
        </is>
      </c>
      <c r="P13" s="23">
        <f>HYPERLINK("https://kuwaitalyawm.media.gov.kw/Online/ViewAdsHTML?id=171677&amp;no=1", "عرض المصدر")</f>
        <v/>
      </c>
    </row>
    <row r="14">
      <c r="A14" s="13" t="inlineStr">
        <is>
          <t>2027/2026/2</t>
        </is>
      </c>
      <c r="B14" s="13" t="inlineStr">
        <is>
          <t>وزارة الداخلية</t>
        </is>
      </c>
      <c r="C14" s="13" t="inlineStr">
        <is>
          <t>Khaled Alabdallah</t>
        </is>
      </c>
      <c r="D14" s="13" t="inlineStr">
        <is>
          <t>مناقصة رقم 2027/2026/2: بتمديد موعد الإغلاق للمناقصة رقم (ل.ع 2/2026 - 2027) توريد وضمان وصيانة قوارب متنوعة الأحجام ومتعددة المهام ومستلزماتها والمعدات المطلوبة اللازمة لها لزوم الإدارة العامة لخفر السواحل ـ بوزارة الداخلية</t>
        </is>
      </c>
      <c r="E14" s="13" t="inlineStr">
        <is>
          <t>أعمال وتوريدات بتمديد موعد الإغلاق للمناقصة رقم (ل.ع 2/2026 - 2027) توريد وضمان وصيانة قوارب متنوعة الأحجام ومتعددة المهام ومستلزماتها والمعدات المطلوبة اللازمة لها لزوم الإدارة العامة لخفر السواحل ـ بوزارة الداخلية لصالح وزارة الداخلية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government</t>
        </is>
      </c>
      <c r="J14" s="14" t="inlineStr">
        <is>
          <t>2026-08-30</t>
        </is>
      </c>
      <c r="K14" s="14" t="inlineStr">
        <is>
          <t>-</t>
        </is>
      </c>
      <c r="L14" s="14" t="inlineStr">
        <is>
          <t>-</t>
        </is>
      </c>
      <c r="M14" s="14" t="inlineStr">
        <is>
          <t>75.0</t>
        </is>
      </c>
      <c r="N14" s="21" t="inlineStr">
        <is>
          <t>NEW</t>
        </is>
      </c>
      <c r="O14" s="14" t="inlineStr">
        <is>
          <t>غير متوافقة مع اختصاصات KBM</t>
        </is>
      </c>
      <c r="P14" s="22">
        <f>HYPERLINK("https://kuwaitalyawm.media.gov.kw/Online/ViewAdsHTML?id=171678&amp;no=1", "عرض المصدر")</f>
        <v/>
      </c>
    </row>
    <row r="15">
      <c r="A15" s="11" t="inlineStr">
        <is>
          <t>2027/2026/13</t>
        </is>
      </c>
      <c r="B15" s="11" t="inlineStr">
        <is>
          <t>بنك الائتمان الكويتي</t>
        </is>
      </c>
      <c r="C15" s="11" t="inlineStr">
        <is>
          <t>Eiman Ashkanani</t>
        </is>
      </c>
      <c r="D1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5" s="12" t="inlineStr">
        <is>
          <t>عام</t>
        </is>
      </c>
      <c r="H15" s="12" t="inlineStr">
        <is>
          <t>0.0%</t>
        </is>
      </c>
      <c r="I15" s="12" t="inlineStr">
        <is>
          <t>government</t>
        </is>
      </c>
      <c r="J15" s="12" t="inlineStr">
        <is>
          <t>2026-09-27</t>
        </is>
      </c>
      <c r="K15" s="12" t="inlineStr">
        <is>
          <t>-</t>
        </is>
      </c>
      <c r="L15" s="12" t="inlineStr">
        <is>
          <t>2000.0</t>
        </is>
      </c>
      <c r="M15" s="12" t="inlineStr">
        <is>
          <t>20.0</t>
        </is>
      </c>
      <c r="N15" s="21" t="inlineStr">
        <is>
          <t>NEW</t>
        </is>
      </c>
      <c r="O15" s="12" t="inlineStr">
        <is>
          <t>غير متوافقة مع اختصاصات KBM</t>
        </is>
      </c>
      <c r="P15" s="23">
        <f>HYPERLINK("https://kuwaitalyawm.media.gov.kw/Online/ViewAdsHTML?id=171679&amp;no=1", "عرض المصدر")</f>
        <v/>
      </c>
    </row>
    <row r="16">
      <c r="A16" s="13" t="inlineStr">
        <is>
          <t>2027/2026/17</t>
        </is>
      </c>
      <c r="B16" s="13" t="inlineStr">
        <is>
          <t>الهيئة العامة للتعليم التطبيقي والتدريب</t>
        </is>
      </c>
      <c r="C16" s="13" t="inlineStr">
        <is>
          <t>Eiman Ashkanani</t>
        </is>
      </c>
      <c r="D16" s="13" t="inlineStr">
        <is>
          <t>ممارسة رقم 2027/2026/17 - الهيئة العامة للتعليم التطبيقي والتدريب</t>
        </is>
      </c>
      <c r="E16" s="13" t="inlineStr">
        <is>
          <t>توريد المستلزمات والمواد والمستهلكات الطبية أو المخبرية المتخصصة لصالح المرافق الصحية.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t>
        </is>
      </c>
      <c r="L16" s="14" t="inlineStr">
        <is>
          <t>-</t>
        </is>
      </c>
      <c r="M16" s="14" t="inlineStr">
        <is>
          <t>75.0</t>
        </is>
      </c>
      <c r="N16" s="21" t="inlineStr">
        <is>
          <t>NEW</t>
        </is>
      </c>
      <c r="O16" s="14" t="inlineStr">
        <is>
          <t>غير متوافقة مع اختصاصات KBM</t>
        </is>
      </c>
      <c r="P16" s="22">
        <f>HYPERLINK("https://kuwaitalyawm.media.gov.kw/Online/ViewAdsHTML?id=171680&amp;no=1", "عرض المصدر")</f>
        <v/>
      </c>
    </row>
    <row r="17">
      <c r="A17" s="11" t="inlineStr">
        <is>
          <t>2027/2026/27</t>
        </is>
      </c>
      <c r="B17" s="11" t="inlineStr">
        <is>
          <t>الهيئة العامة للتعليم التطبيقي والتدريب</t>
        </is>
      </c>
      <c r="C17" s="11" t="inlineStr">
        <is>
          <t>Eiman Ashkanani</t>
        </is>
      </c>
      <c r="D17"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2026-09-27</t>
        </is>
      </c>
      <c r="K17" s="12" t="inlineStr">
        <is>
          <t>-</t>
        </is>
      </c>
      <c r="L17" s="12" t="inlineStr">
        <is>
          <t>-</t>
        </is>
      </c>
      <c r="M17" s="12" t="inlineStr">
        <is>
          <t>75.0</t>
        </is>
      </c>
      <c r="N17" s="21" t="inlineStr">
        <is>
          <t>NEW</t>
        </is>
      </c>
      <c r="O17" s="12" t="inlineStr">
        <is>
          <t>غير متوافقة مع اختصاصات KBM</t>
        </is>
      </c>
      <c r="P17" s="23">
        <f>HYPERLINK("https://kuwaitalyawm.media.gov.kw/Online/ViewAdsHTML?id=171681&amp;no=1", "عرض المصدر")</f>
        <v/>
      </c>
    </row>
    <row r="18">
      <c r="A18" s="13" t="inlineStr">
        <is>
          <t>2027/2026/38</t>
        </is>
      </c>
      <c r="B18" s="13" t="inlineStr">
        <is>
          <t>الهيئة العامة للتعليم التطبيقي والتدريب</t>
        </is>
      </c>
      <c r="C18" s="13" t="inlineStr">
        <is>
          <t>Eiman Ashkanani</t>
        </is>
      </c>
      <c r="D18"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24.0%</t>
        </is>
      </c>
      <c r="I18" s="14" t="inlineStr">
        <is>
          <t>government</t>
        </is>
      </c>
      <c r="J18" s="14" t="inlineStr">
        <is>
          <t>2026-09-27</t>
        </is>
      </c>
      <c r="K18" s="14" t="inlineStr">
        <is>
          <t>-</t>
        </is>
      </c>
      <c r="L18" s="14" t="inlineStr">
        <is>
          <t>-</t>
        </is>
      </c>
      <c r="M18" s="14" t="inlineStr">
        <is>
          <t>75.0</t>
        </is>
      </c>
      <c r="N18" s="21" t="inlineStr">
        <is>
          <t>NEW</t>
        </is>
      </c>
      <c r="O18" s="14" t="inlineStr">
        <is>
          <t>غير متوافقة مع اختصاصات KBM</t>
        </is>
      </c>
      <c r="P18" s="22">
        <f>HYPERLINK("https://kuwaitalyawm.media.gov.kw/Online/ViewAdsHTML?id=171682&amp;no=1", "عرض المصدر")</f>
        <v/>
      </c>
    </row>
    <row r="19">
      <c r="A19" s="11" t="inlineStr">
        <is>
          <t>2027/2026/40</t>
        </is>
      </c>
      <c r="B19" s="11" t="inlineStr">
        <is>
          <t>الهيئة العامة للتعليم التطبيقي والتدريب</t>
        </is>
      </c>
      <c r="C19" s="11" t="inlineStr">
        <is>
          <t>Eiman Ashkanani</t>
        </is>
      </c>
      <c r="D19"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24.0%</t>
        </is>
      </c>
      <c r="I19" s="12" t="inlineStr">
        <is>
          <t>government</t>
        </is>
      </c>
      <c r="J19" s="12" t="inlineStr">
        <is>
          <t>2026-09-27</t>
        </is>
      </c>
      <c r="K19" s="12" t="inlineStr">
        <is>
          <t>-</t>
        </is>
      </c>
      <c r="L19" s="12" t="inlineStr">
        <is>
          <t>-</t>
        </is>
      </c>
      <c r="M19" s="12" t="inlineStr">
        <is>
          <t>75.0</t>
        </is>
      </c>
      <c r="N19" s="21" t="inlineStr">
        <is>
          <t>NEW</t>
        </is>
      </c>
      <c r="O19" s="12" t="inlineStr">
        <is>
          <t>غير متوافقة مع اختصاصات KBM</t>
        </is>
      </c>
      <c r="P19" s="23">
        <f>HYPERLINK("https://kuwaitalyawm.media.gov.kw/Online/ViewAdsHTML?id=171683&amp;no=1", "عرض المصدر")</f>
        <v/>
      </c>
    </row>
    <row r="20">
      <c r="A20" s="13" t="inlineStr">
        <is>
          <t>2027/2026/43</t>
        </is>
      </c>
      <c r="B20" s="13" t="inlineStr">
        <is>
          <t>وزارة الداخلية</t>
        </is>
      </c>
      <c r="C20" s="13" t="inlineStr">
        <is>
          <t>Khaled Alabdallah</t>
        </is>
      </c>
      <c r="D20" s="13" t="inlineStr">
        <is>
          <t>مناقصة رقم 2027/2026/43 - وزارة الداخلية</t>
        </is>
      </c>
      <c r="E20" s="13" t="inlineStr">
        <is>
          <t>أعمال وتوريدات مناقصة رقم 2027/2026/43 لصالح وزارة الداخلية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15.0%</t>
        </is>
      </c>
      <c r="I20" s="14" t="inlineStr">
        <is>
          <t>government</t>
        </is>
      </c>
      <c r="J20" s="14" t="inlineStr">
        <is>
          <t>2026-09-27</t>
        </is>
      </c>
      <c r="K20" s="14" t="inlineStr">
        <is>
          <t>2026-11-18</t>
        </is>
      </c>
      <c r="L20" s="14" t="inlineStr">
        <is>
          <t>6750.0</t>
        </is>
      </c>
      <c r="M20" s="14" t="inlineStr">
        <is>
          <t>250.0</t>
        </is>
      </c>
      <c r="N20" s="21" t="inlineStr">
        <is>
          <t>NEW</t>
        </is>
      </c>
      <c r="O20" s="14" t="inlineStr">
        <is>
          <t>غير متوافقة مع اختصاصات KBM</t>
        </is>
      </c>
      <c r="P20" s="22">
        <f>HYPERLINK("https://kuwaitalyawm.media.gov.kw/Online/ViewAdsHTML?id=171684&amp;no=1", "عرض المصدر")</f>
        <v/>
      </c>
    </row>
    <row r="21">
      <c r="A21" s="11" t="inlineStr">
        <is>
          <t>2027/2026/11</t>
        </is>
      </c>
      <c r="B21" s="11" t="inlineStr">
        <is>
          <t>الهيئة العامة للطيران المدني</t>
        </is>
      </c>
      <c r="C21" s="11" t="inlineStr">
        <is>
          <t>Eiman Ashkanani</t>
        </is>
      </c>
      <c r="D21"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0.0%</t>
        </is>
      </c>
      <c r="I21" s="12" t="inlineStr">
        <is>
          <t>government</t>
        </is>
      </c>
      <c r="J21" s="12" t="inlineStr">
        <is>
          <t>2026-09-27</t>
        </is>
      </c>
      <c r="K21" s="12" t="inlineStr">
        <is>
          <t>-</t>
        </is>
      </c>
      <c r="L21" s="12" t="inlineStr">
        <is>
          <t>-</t>
        </is>
      </c>
      <c r="M21" s="12" t="inlineStr">
        <is>
          <t>-</t>
        </is>
      </c>
      <c r="N21" s="21" t="inlineStr">
        <is>
          <t>NEW</t>
        </is>
      </c>
      <c r="O21" s="12" t="inlineStr">
        <is>
          <t>غير متوافقة مع اختصاصات KBM</t>
        </is>
      </c>
      <c r="P21" s="23">
        <f>HYPERLINK("https://kuwaitalyawm.media.gov.kw/Online/ViewAdsHTML?id=171690&amp;no=1", "عرض المصدر")</f>
        <v/>
      </c>
    </row>
    <row r="22">
      <c r="A22" s="13" t="inlineStr">
        <is>
          <t>2027/2026/14</t>
        </is>
      </c>
      <c r="B22" s="13" t="inlineStr">
        <is>
          <t>جهاز المسؤولية الطبية</t>
        </is>
      </c>
      <c r="C22" s="13" t="inlineStr">
        <is>
          <t>Eiman Ashkanani</t>
        </is>
      </c>
      <c r="D22" s="13" t="inlineStr">
        <is>
          <t>ممارسة رقم 2027/2026/14: يعلن جهاز المسؤولية الطبية عن طرح ممارسة14/2026/2027 تقديم خدمات استشارية في مجال نظم المعلومات وفقًا للبيانات التالية:</t>
        </is>
      </c>
      <c r="E22" s="13" t="inlineStr">
        <is>
          <t>تنفيذ أعمال يعلن جهاز المسؤولية الطبية عن طرح ممارسة14/2026/2027 تقديم خدمات استشارية في مجال نظم المعلومات وفقًا للبيانات التالية:، وتوفير كافة الأجهزة والمعدات والأنظمة وخدمات الدعم الفني والضمان وفقاً لكراسة الشروط والمواصفات الفنية.</t>
        </is>
      </c>
      <c r="F22" s="13" t="inlineStr">
        <is>
          <t>• علماً بأن آخر موعد لتقديم العروض هو الساعة (الواحدة ظهراً) من يوم (الأربعاء) الموافق (28/10/2026) ويرفض أي عرض بعد هذا الموعد.</t>
        </is>
      </c>
      <c r="G22" s="14" t="inlineStr">
        <is>
          <t>عام</t>
        </is>
      </c>
      <c r="H22" s="14" t="inlineStr">
        <is>
          <t>0.0%</t>
        </is>
      </c>
      <c r="I22" s="14" t="inlineStr">
        <is>
          <t>government</t>
        </is>
      </c>
      <c r="J22" s="14" t="inlineStr">
        <is>
          <t>2026-09-27</t>
        </is>
      </c>
      <c r="K22" s="18" t="inlineStr">
        <is>
          <t>2026-10-11</t>
        </is>
      </c>
      <c r="L22" s="14" t="inlineStr">
        <is>
          <t>2.0</t>
        </is>
      </c>
      <c r="M22" s="14" t="inlineStr">
        <is>
          <t>75.0</t>
        </is>
      </c>
      <c r="N22" s="21" t="inlineStr">
        <is>
          <t>NEW</t>
        </is>
      </c>
      <c r="O22" s="14" t="inlineStr">
        <is>
          <t>غير متوافقة مع اختصاصات KBM</t>
        </is>
      </c>
      <c r="P22" s="22">
        <f>HYPERLINK("https://kuwaitalyawm.media.gov.kw/Online/ViewAdsHTML?id=171692&amp;no=1", "عرض المصدر")</f>
        <v/>
      </c>
    </row>
    <row r="23">
      <c r="A23" s="11" t="inlineStr">
        <is>
          <t>2027/2026/15</t>
        </is>
      </c>
      <c r="B23" s="11" t="inlineStr">
        <is>
          <t>الهيئة العامة للطيران المدني</t>
        </is>
      </c>
      <c r="C23" s="11" t="inlineStr">
        <is>
          <t>Eiman Ashkanani</t>
        </is>
      </c>
      <c r="D23" s="11" t="inlineStr">
        <is>
          <t>ممارسة رقم 2027/2026/15: ممارسة تطوير وصيانة أنظمة وأجهزة الحضور</t>
        </is>
      </c>
      <c r="E23"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3" s="11" t="inlineStr">
        <is>
          <t>• علماً بأن آخر موعد لتقديم العروض هو الساعة (الواحدة ظهراً) من يوم (الأربعاء) الموافق (21/10/2026) ويرفض أي عرض بعد هذا الموعد.</t>
        </is>
      </c>
      <c r="G23" s="12" t="inlineStr">
        <is>
          <t>قطاع العمليات المدارة والدعم الفني متعدد الموردين</t>
        </is>
      </c>
      <c r="H23" s="12" t="inlineStr">
        <is>
          <t>49.0%</t>
        </is>
      </c>
      <c r="I23" s="12" t="inlineStr">
        <is>
          <t>government</t>
        </is>
      </c>
      <c r="J23" s="12" t="inlineStr">
        <is>
          <t>2026-09-27</t>
        </is>
      </c>
      <c r="K23" s="12" t="inlineStr">
        <is>
          <t>2026-10-21</t>
        </is>
      </c>
      <c r="L23" s="12" t="inlineStr">
        <is>
          <t>-</t>
        </is>
      </c>
      <c r="M23" s="12" t="inlineStr">
        <is>
          <t>75.0</t>
        </is>
      </c>
      <c r="N23" s="21" t="inlineStr">
        <is>
          <t>NEW</t>
        </is>
      </c>
      <c r="O23" s="12" t="inlineStr">
        <is>
          <t>فرصة تتطلب شراكة أو دراسة نطاق</t>
        </is>
      </c>
      <c r="P23" s="23">
        <f>HYPERLINK("https://kuwaitalyawm.media.gov.kw/Online/ViewAdsHTML?id=171693&amp;no=1", "عرض المصدر")</f>
        <v/>
      </c>
    </row>
    <row r="24">
      <c r="A24" s="13" t="inlineStr">
        <is>
          <t>2027/2026/9</t>
        </is>
      </c>
      <c r="B24" s="13" t="inlineStr">
        <is>
          <t>الهيئة العامة للمعلومات المدنية</t>
        </is>
      </c>
      <c r="C24" s="13" t="inlineStr">
        <is>
          <t>Raed Obeid</t>
        </is>
      </c>
      <c r="D24" s="13" t="inlineStr">
        <is>
          <t>ممارسة رقم 2027/2026/9: بشـأن صيانة المعدات الميكانيكية والكهربائية بالهيئة</t>
        </is>
      </c>
      <c r="E24"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15.0%</t>
        </is>
      </c>
      <c r="I24" s="14" t="inlineStr">
        <is>
          <t>government</t>
        </is>
      </c>
      <c r="J24" s="14" t="inlineStr">
        <is>
          <t>2026-09-27</t>
        </is>
      </c>
      <c r="K24" s="14" t="inlineStr">
        <is>
          <t>-</t>
        </is>
      </c>
      <c r="L24" s="14" t="inlineStr">
        <is>
          <t>-</t>
        </is>
      </c>
      <c r="M24" s="14" t="inlineStr">
        <is>
          <t>50.0</t>
        </is>
      </c>
      <c r="N24" s="21" t="inlineStr">
        <is>
          <t>NEW</t>
        </is>
      </c>
      <c r="O24" s="14" t="inlineStr">
        <is>
          <t>غير متوافقة مع اختصاصات KBM</t>
        </is>
      </c>
      <c r="P24" s="22">
        <f>HYPERLINK("https://kuwaitalyawm.media.gov.kw/Online/ViewAdsHTML?id=171695&amp;no=1", "عرض المصدر")</f>
        <v/>
      </c>
    </row>
    <row r="25">
      <c r="A25" s="11" t="inlineStr">
        <is>
          <t>2027/2026/5</t>
        </is>
      </c>
      <c r="B25" s="11" t="inlineStr">
        <is>
          <t>الإدارة المركزية للاحصاء</t>
        </is>
      </c>
      <c r="C25" s="11" t="inlineStr">
        <is>
          <t>Eiman Ashkanani</t>
        </is>
      </c>
      <c r="D25" s="11" t="inlineStr">
        <is>
          <t>ممارسة رقم 2027/2026/5 - الإدارة المركزية للاحصاء</t>
        </is>
      </c>
      <c r="E25"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government</t>
        </is>
      </c>
      <c r="J25" s="12" t="inlineStr">
        <is>
          <t>2026-09-27</t>
        </is>
      </c>
      <c r="K25" s="12" t="inlineStr">
        <is>
          <t>-</t>
        </is>
      </c>
      <c r="L25" s="12" t="inlineStr">
        <is>
          <t>-</t>
        </is>
      </c>
      <c r="M25" s="12" t="inlineStr">
        <is>
          <t>75.0</t>
        </is>
      </c>
      <c r="N25" s="21" t="inlineStr">
        <is>
          <t>NEW</t>
        </is>
      </c>
      <c r="O25" s="12" t="inlineStr">
        <is>
          <t>غير متوافقة مع اختصاصات KBM</t>
        </is>
      </c>
      <c r="P25" s="23">
        <f>HYPERLINK("https://kuwaitalyawm.media.gov.kw/Online/ViewAdsHTML?id=171697&amp;no=1", "عرض المصدر")</f>
        <v/>
      </c>
    </row>
    <row r="26">
      <c r="A26" s="13" t="inlineStr">
        <is>
          <t>2026/35</t>
        </is>
      </c>
      <c r="B26" s="13" t="inlineStr">
        <is>
          <t>الجهاز المركزي لتكنولوجيا المعلومات</t>
        </is>
      </c>
      <c r="C26" s="13" t="inlineStr">
        <is>
          <t>Eiman Ashkanani</t>
        </is>
      </c>
      <c r="D26"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6"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قطاع العمليات المدارة والدعم الفني متعدد الموردين</t>
        </is>
      </c>
      <c r="H26" s="14" t="inlineStr">
        <is>
          <t>85.0%</t>
        </is>
      </c>
      <c r="I26" s="14" t="inlineStr">
        <is>
          <t>government</t>
        </is>
      </c>
      <c r="J26" s="14" t="inlineStr">
        <is>
          <t>2026-09-27</t>
        </is>
      </c>
      <c r="K26" s="14" t="inlineStr">
        <is>
          <t>2026-10-15</t>
        </is>
      </c>
      <c r="L26" s="14" t="inlineStr">
        <is>
          <t>-</t>
        </is>
      </c>
      <c r="M26" s="14" t="inlineStr">
        <is>
          <t>75.0</t>
        </is>
      </c>
      <c r="N26" s="21" t="inlineStr">
        <is>
          <t>NEW</t>
        </is>
      </c>
      <c r="O26" s="14" t="inlineStr">
        <is>
          <t>فرصة استراتيجية رئيسية (موصى بالتقديم)</t>
        </is>
      </c>
      <c r="P26" s="22">
        <f>HYPERLINK("https://kuwaitalyawm.media.gov.kw/Online/ViewAdsHTML?id=171699&amp;no=1", "عرض المصدر")</f>
        <v/>
      </c>
    </row>
    <row r="27">
      <c r="A27" s="11" t="inlineStr">
        <is>
          <t>72-516</t>
        </is>
      </c>
      <c r="B27" s="11" t="inlineStr">
        <is>
          <t>جامعة الكويت</t>
        </is>
      </c>
      <c r="C27" s="11" t="inlineStr">
        <is>
          <t>Eiman Ashkanani</t>
        </is>
      </c>
      <c r="D27" s="11" t="inlineStr">
        <is>
          <t>ممارسة رقم 72/2026-2027: صيانة أجهزة التعرف على الوجه والأجهزة العلمية بمراكز عمل جامعة الكويت</t>
        </is>
      </c>
      <c r="E27" s="11" t="inlineStr">
        <is>
          <t>صيانة دورية ودعم فني لأجهزة التحقق البيومتري والتعرف على الوجه (Face Recognition Systems) والأجهزة التابعة لها بجامعة الكويت.</t>
        </is>
      </c>
      <c r="F27" s="11" t="inlineStr">
        <is>
          <t>• بيع الوثائق 75 د.ك، تأمين أولي 2% من قيمة العطاء، إغلاق 20/10/2026 بمقر الجامعة بالشدادية.</t>
        </is>
      </c>
      <c r="G27" s="24" t="inlineStr">
        <is>
          <t>قطاع الأمن السيبراني والدفاع الرقمي</t>
        </is>
      </c>
      <c r="H27" s="12" t="inlineStr">
        <is>
          <t>55.0%</t>
        </is>
      </c>
      <c r="I27" s="12" t="inlineStr">
        <is>
          <t>government</t>
        </is>
      </c>
      <c r="J27" s="12" t="inlineStr">
        <is>
          <t>2026-09-27</t>
        </is>
      </c>
      <c r="K27" s="12" t="inlineStr">
        <is>
          <t>2026-10-20</t>
        </is>
      </c>
      <c r="L27" s="12" t="inlineStr">
        <is>
          <t>2000.0</t>
        </is>
      </c>
      <c r="M27" s="12" t="inlineStr">
        <is>
          <t>75.0</t>
        </is>
      </c>
      <c r="N27" s="21" t="inlineStr">
        <is>
          <t>NEW</t>
        </is>
      </c>
      <c r="O27" s="12" t="inlineStr">
        <is>
          <t>فرصة محتملة</t>
        </is>
      </c>
      <c r="P27" s="23">
        <f>HYPERLINK("https://kuwaitalyawm.media.gov.kw/Online/ViewAdsHTML?id=171702&amp;no=1", "عرض المصدر")</f>
        <v/>
      </c>
    </row>
    <row r="28">
      <c r="A28" s="13" t="inlineStr">
        <is>
          <t>2027/2026/536</t>
        </is>
      </c>
      <c r="B28" s="13" t="inlineStr">
        <is>
          <t>جامعة الكويت</t>
        </is>
      </c>
      <c r="C28" s="13" t="inlineStr">
        <is>
          <t>Eiman Ashkanani</t>
        </is>
      </c>
      <c r="D28" s="13" t="inlineStr">
        <is>
          <t>ممارسة رقم 2027/2026/536 - جامعة الكويت</t>
        </is>
      </c>
      <c r="E28" s="13" t="inlineStr">
        <is>
          <t>أعمال وتوريدات ممارسة رقم 2027/2026/536 لصالح جامعة الكويت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15.0%</t>
        </is>
      </c>
      <c r="I28" s="14" t="inlineStr">
        <is>
          <t>government</t>
        </is>
      </c>
      <c r="J28" s="14" t="inlineStr">
        <is>
          <t>2026-09-27</t>
        </is>
      </c>
      <c r="K28" s="14" t="inlineStr">
        <is>
          <t>2026-10-27</t>
        </is>
      </c>
      <c r="L28" s="14" t="inlineStr">
        <is>
          <t>2.0</t>
        </is>
      </c>
      <c r="M28" s="14" t="inlineStr">
        <is>
          <t>75.0</t>
        </is>
      </c>
      <c r="N28" s="21" t="inlineStr">
        <is>
          <t>NEW</t>
        </is>
      </c>
      <c r="O28" s="14" t="inlineStr">
        <is>
          <t>غير متوافقة مع اختصاصات KBM</t>
        </is>
      </c>
      <c r="P28" s="22">
        <f>HYPERLINK("https://kuwaitalyawm.media.gov.kw/Online/ViewAdsHTML?id=171703&amp;no=1", "عرض المصدر")</f>
        <v/>
      </c>
    </row>
    <row r="29">
      <c r="A29" s="11" t="inlineStr">
        <is>
          <t>2027/2026/537</t>
        </is>
      </c>
      <c r="B29" s="11" t="inlineStr">
        <is>
          <t>جامعة الكويت</t>
        </is>
      </c>
      <c r="C29" s="11" t="inlineStr">
        <is>
          <t>Eiman Ashkanani</t>
        </is>
      </c>
      <c r="D29" s="11" t="inlineStr">
        <is>
          <t>ممارسة رقم 2027/2026/537 - جامعة الكويت</t>
        </is>
      </c>
      <c r="E29" s="11" t="inlineStr">
        <is>
          <t>أعمال وتوريدات ممارسة رقم 2027/2026/537 لصالح جامعة الكويت وفقاً للشروط والمواصفات المعتمدة في وثائق الطرح.</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15.0%</t>
        </is>
      </c>
      <c r="I29" s="12" t="inlineStr">
        <is>
          <t>government</t>
        </is>
      </c>
      <c r="J29" s="12" t="inlineStr">
        <is>
          <t>2026-09-27</t>
        </is>
      </c>
      <c r="K29" s="12" t="inlineStr">
        <is>
          <t>2026-10-27</t>
        </is>
      </c>
      <c r="L29" s="12" t="inlineStr">
        <is>
          <t>2000.0</t>
        </is>
      </c>
      <c r="M29" s="12" t="inlineStr">
        <is>
          <t>75.0</t>
        </is>
      </c>
      <c r="N29" s="21" t="inlineStr">
        <is>
          <t>NEW</t>
        </is>
      </c>
      <c r="O29" s="12" t="inlineStr">
        <is>
          <t>غير متوافقة مع اختصاصات KBM</t>
        </is>
      </c>
      <c r="P29" s="23">
        <f>HYPERLINK("https://kuwaitalyawm.media.gov.kw/Online/ViewAdsHTML?id=171704&amp;no=1", "عرض المصدر")</f>
        <v/>
      </c>
    </row>
    <row r="30">
      <c r="A30" s="13" t="inlineStr">
        <is>
          <t>2027/2026/12</t>
        </is>
      </c>
      <c r="B30" s="13" t="inlineStr">
        <is>
          <t>الرئاسـة العامة للحرس الوطني</t>
        </is>
      </c>
      <c r="C30" s="13" t="inlineStr">
        <is>
          <t>Eiman Ashkanani</t>
        </is>
      </c>
      <c r="D30" s="13" t="inlineStr">
        <is>
          <t>ممارسة رقم 2027/2026/12: الخاصة بصيانة أجهزة توزيع أحمال الشبكة</t>
        </is>
      </c>
      <c r="E30"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قطاع العمليات المدارة والدعم الفني متعدد الموردين</t>
        </is>
      </c>
      <c r="H30" s="14" t="inlineStr">
        <is>
          <t>64.0%</t>
        </is>
      </c>
      <c r="I30" s="14" t="inlineStr">
        <is>
          <t>government</t>
        </is>
      </c>
      <c r="J30" s="14" t="inlineStr">
        <is>
          <t>2026-09-27</t>
        </is>
      </c>
      <c r="K30" s="14" t="inlineStr">
        <is>
          <t>-</t>
        </is>
      </c>
      <c r="L30" s="14" t="inlineStr">
        <is>
          <t>-</t>
        </is>
      </c>
      <c r="M30" s="14" t="inlineStr">
        <is>
          <t>75.0</t>
        </is>
      </c>
      <c r="N30" s="21" t="inlineStr">
        <is>
          <t>NEW</t>
        </is>
      </c>
      <c r="O30" s="14" t="inlineStr">
        <is>
          <t>فرصة ICT متوافقة مع قدرات KBM</t>
        </is>
      </c>
      <c r="P30" s="22">
        <f>HYPERLINK("https://kuwaitalyawm.media.gov.kw/Online/ViewAdsHTML?id=171707&amp;no=1", "عرض المصدر")</f>
        <v/>
      </c>
    </row>
    <row r="31">
      <c r="A31" s="11" t="inlineStr">
        <is>
          <t>2027/2026/4</t>
        </is>
      </c>
      <c r="B31" s="11" t="inlineStr">
        <is>
          <t>مؤسسة الموانئ الكويتية</t>
        </is>
      </c>
      <c r="C31" s="11" t="inlineStr">
        <is>
          <t>Eiman Ashkanani</t>
        </is>
      </c>
      <c r="D31" s="11" t="inlineStr">
        <is>
          <t>ممارسة رقم 2027/2026/4: تمديد موعد الاقفال الممارسة رقم م م ك (/2026/4/2027) بشأن عمل مسح بحري للأرصفة والأحواض</t>
        </is>
      </c>
      <c r="E31"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1"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الأمر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أن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31" s="12" t="inlineStr">
        <is>
          <t>عام</t>
        </is>
      </c>
      <c r="H31" s="12" t="inlineStr">
        <is>
          <t>0.0%</t>
        </is>
      </c>
      <c r="I31" s="12" t="inlineStr">
        <is>
          <t>government</t>
        </is>
      </c>
      <c r="J31" s="12" t="inlineStr">
        <is>
          <t>2026-09-27</t>
        </is>
      </c>
      <c r="K31" s="12" t="inlineStr">
        <is>
          <t>-</t>
        </is>
      </c>
      <c r="L31" s="12" t="inlineStr">
        <is>
          <t>1000.0</t>
        </is>
      </c>
      <c r="M31" s="12" t="inlineStr">
        <is>
          <t>20.0</t>
        </is>
      </c>
      <c r="N31" s="21" t="inlineStr">
        <is>
          <t>NEW</t>
        </is>
      </c>
      <c r="O31" s="12" t="inlineStr">
        <is>
          <t>غير متوافقة مع اختصاصات KBM</t>
        </is>
      </c>
      <c r="P31" s="23">
        <f>HYPERLINK("https://kuwaitalyawm.media.gov.kw/Online/ViewAdsHTML?id=171711&amp;no=1", "عرض المصدر")</f>
        <v/>
      </c>
    </row>
    <row r="32">
      <c r="A32" s="13" t="inlineStr">
        <is>
          <t>2026/16</t>
        </is>
      </c>
      <c r="B32" s="13" t="inlineStr">
        <is>
          <t>بيت الزكـاة</t>
        </is>
      </c>
      <c r="C32" s="13" t="inlineStr">
        <is>
          <t>Eiman Ashkanani</t>
        </is>
      </c>
      <c r="D32" s="13" t="inlineStr">
        <is>
          <t>ممارسة رقم 2026/16: توفير خدمات إنشاء وتطوير وصيانة أنظمة أوراكل</t>
        </is>
      </c>
      <c r="E3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32" s="13" t="inlineStr">
        <is>
          <t>• https://www.zakathouse.org.kw/tender.aspx</t>
        </is>
      </c>
      <c r="G32" s="24" t="inlineStr">
        <is>
          <t>قطاع العمليات المدارة والدعم الفني متعدد الموردين</t>
        </is>
      </c>
      <c r="H32" s="14" t="inlineStr">
        <is>
          <t>84.0%</t>
        </is>
      </c>
      <c r="I32" s="14" t="inlineStr">
        <is>
          <t>government</t>
        </is>
      </c>
      <c r="J32" s="14" t="inlineStr">
        <is>
          <t>2026-09-27</t>
        </is>
      </c>
      <c r="K32" s="14" t="inlineStr">
        <is>
          <t>-</t>
        </is>
      </c>
      <c r="L32" s="14" t="inlineStr">
        <is>
          <t>-</t>
        </is>
      </c>
      <c r="M32" s="14" t="inlineStr">
        <is>
          <t>75.0</t>
        </is>
      </c>
      <c r="N32" s="21" t="inlineStr">
        <is>
          <t>NEW</t>
        </is>
      </c>
      <c r="O32" s="14" t="inlineStr">
        <is>
          <t>فرصة استراتيجية رئيسية (موصى بالتقديم)</t>
        </is>
      </c>
      <c r="P32" s="22">
        <f>HYPERLINK("https://kuwaitalyawm.media.gov.kw/Online/ViewAdsHTML?id=171714&amp;no=1", "عرض المصدر")</f>
        <v/>
      </c>
    </row>
    <row r="33">
      <c r="A33" s="11" t="inlineStr">
        <is>
          <t>2027/2026/84</t>
        </is>
      </c>
      <c r="B33" s="11" t="inlineStr">
        <is>
          <t>معهد الكـويت للابحاث العلمية</t>
        </is>
      </c>
      <c r="C33" s="11" t="inlineStr">
        <is>
          <t>Eiman Ashkanani</t>
        </is>
      </c>
      <c r="D33"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3"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t>
        </is>
      </c>
      <c r="N33" s="21" t="inlineStr">
        <is>
          <t>NEW</t>
        </is>
      </c>
      <c r="O33" s="12" t="inlineStr">
        <is>
          <t>غير متوافقة مع اختصاصات KBM</t>
        </is>
      </c>
      <c r="P33" s="23">
        <f>HYPERLINK("https://kuwaitalyawm.media.gov.kw/Online/ViewAdsHTML?id=171717&amp;no=1", "عرض المصدر")</f>
        <v/>
      </c>
    </row>
    <row r="34">
      <c r="A34" s="13" t="inlineStr">
        <is>
          <t>2027/2026/86</t>
        </is>
      </c>
      <c r="B34" s="13" t="inlineStr">
        <is>
          <t>معهد الكـويت للابحاث العلمية</t>
        </is>
      </c>
      <c r="C34" s="13" t="inlineStr">
        <is>
          <t>Eiman Ashkanani</t>
        </is>
      </c>
      <c r="D34" s="13" t="inlineStr">
        <is>
          <t>ممارسة رقم 2027/2026/86: يعلن معهد الكويت للأبحـاث العلمية عن طـــرح ممارسة رقم 86-M-2026/2027 توريد جهاز تحليل الخصائص الباردة للنفط الخام والمنتجات البترولية، ويمكن الحصول على وثائق الممارسة من موقع المعهد التالي: -</t>
        </is>
      </c>
      <c r="E34" s="13" t="inlineStr">
        <is>
          <t>أعمال وتوريدات يعلن معهد الكويت للأبحـاث العلمية عن طـــرح ممارسة رقم 86-M-2026/2027 توريد جهاز تحليل الخصائص الباردة للنفط الخام والمنتجات البترولية، ويمكن الحصول على وثائق الممارسة من موقع المعهد التالي: - لصالح معهد الكـويت للابحاث العلمية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2026-09-27</t>
        </is>
      </c>
      <c r="K34" s="14" t="inlineStr">
        <is>
          <t>2026-10-13</t>
        </is>
      </c>
      <c r="L34" s="14" t="inlineStr">
        <is>
          <t>-</t>
        </is>
      </c>
      <c r="M34" s="14" t="inlineStr">
        <is>
          <t>75.0</t>
        </is>
      </c>
      <c r="N34" s="21" t="inlineStr">
        <is>
          <t>NEW</t>
        </is>
      </c>
      <c r="O34" s="14" t="inlineStr">
        <is>
          <t>غير متوافقة مع اختصاصات KBM</t>
        </is>
      </c>
      <c r="P34" s="22">
        <f>HYPERLINK("https://kuwaitalyawm.media.gov.kw/Online/ViewAdsHTML?id=171718&amp;no=1", "عرض المصدر")</f>
        <v/>
      </c>
    </row>
    <row r="35">
      <c r="A35" s="11" t="inlineStr">
        <is>
          <t>RFQ/1063554</t>
        </is>
      </c>
      <c r="B35" s="11" t="inlineStr">
        <is>
          <t>شركة البترول الوطنية الكويتية</t>
        </is>
      </c>
      <c r="C35" s="11" t="inlineStr">
        <is>
          <t>Abrar Al-Qallaf</t>
        </is>
      </c>
      <c r="D35" s="11" t="inlineStr">
        <is>
          <t>ممارسة رقم RFQ/1063554: توريد العوامل المساعدة لوحدة نزع الكبريت (OCR Catalyst for ARDS Unit-12 Tr-2 - MAB) - شركة البترول الوطنية الكويتية</t>
        </is>
      </c>
      <c r="E35" s="11" t="inlineStr">
        <is>
          <t>توريد مواد كيميائية وعوامل مساعدة تكريرية (Catalyst) لوحدة نزع الكبريت بمصفاة ميناء الأحمدي.</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2026-10-22</t>
        </is>
      </c>
      <c r="L35" s="12" t="inlineStr">
        <is>
          <t>50000.0</t>
        </is>
      </c>
      <c r="M35" s="12" t="inlineStr">
        <is>
          <t>500.0</t>
        </is>
      </c>
      <c r="N35" s="21" t="inlineStr">
        <is>
          <t>NEW</t>
        </is>
      </c>
      <c r="O35" s="12" t="inlineStr">
        <is>
          <t>غير متوافقة</t>
        </is>
      </c>
      <c r="P35" s="23">
        <f>HYPERLINK("https://kuwaitalyawm.media.gov.kw/Online/ViewAdsHTML?id=171724&amp;no=1", "عرض المصدر")</f>
        <v/>
      </c>
    </row>
    <row r="36">
      <c r="A36" s="13" t="inlineStr">
        <is>
          <t>RFQ/1063825</t>
        </is>
      </c>
      <c r="B36" s="13" t="inlineStr">
        <is>
          <t>شركة البترول الوطنية الكويتية</t>
        </is>
      </c>
      <c r="C36" s="13" t="inlineStr">
        <is>
          <t>Abrar Al-Qallaf</t>
        </is>
      </c>
      <c r="D36" s="13" t="inlineStr">
        <is>
          <t>ممارسة رقم RFQ/1063825: توريد قطع غيار أنظمة الاتصالات (Spares for the Telecommunication System - LBP) - شركة البترول الوطنية الكويتية</t>
        </is>
      </c>
      <c r="E36" s="13" t="inlineStr">
        <is>
          <t>توريد قطع غيار ومعدات شبكات الاتصالات وأنظمة التراسل السلكي واللاسلكي لمصفاة ميناء عبد الله (LBP).</t>
        </is>
      </c>
      <c r="F36" s="13" t="inlineStr">
        <is>
          <t>وفقاً لشروط وإجراءات المناقصات والتوريد لدى شركة البترول الوطنية الكويتية (KNPC) عبر منصة K-Tendering.</t>
        </is>
      </c>
      <c r="G36" s="24" t="inlineStr">
        <is>
          <t>قطاع العمليات المدارة والدعم الفني متعدد الموردين</t>
        </is>
      </c>
      <c r="H36" s="14" t="inlineStr">
        <is>
          <t>75.0%</t>
        </is>
      </c>
      <c r="I36" s="14" t="inlineStr">
        <is>
          <t>oil_and_gas</t>
        </is>
      </c>
      <c r="J36" s="14" t="inlineStr">
        <is>
          <t>2026-09-27</t>
        </is>
      </c>
      <c r="K36" s="14" t="inlineStr">
        <is>
          <t>2026-10-22</t>
        </is>
      </c>
      <c r="L36" s="14" t="inlineStr">
        <is>
          <t>1000.0</t>
        </is>
      </c>
      <c r="M36" s="14" t="inlineStr">
        <is>
          <t>-</t>
        </is>
      </c>
      <c r="N36" s="21" t="inlineStr">
        <is>
          <t>NEW</t>
        </is>
      </c>
      <c r="O36" s="14" t="inlineStr">
        <is>
          <t>موصى بالتقديم</t>
        </is>
      </c>
      <c r="P36" s="22">
        <f>HYPERLINK("https://kuwaitalyawm.media.gov.kw/Online/ViewAdsHTML?id=171725&amp;no=1", "عرض المصدر")</f>
        <v/>
      </c>
    </row>
    <row r="37">
      <c r="A37" s="11" t="inlineStr">
        <is>
          <t>RFQ/1064135</t>
        </is>
      </c>
      <c r="B37" s="11" t="inlineStr">
        <is>
          <t>شركة البترول الوطنية الكويتية</t>
        </is>
      </c>
      <c r="C37" s="11" t="inlineStr">
        <is>
          <t>Abrar Al-Qallaf</t>
        </is>
      </c>
      <c r="D37" s="11" t="inlineStr">
        <is>
          <t>ممارسة رقم RFQ/1064135: توريد مواد ومهمات تشغيلية لزوم شركة البترول الوطنية الكويتية - شركة البترول الوطنية الكويتية</t>
        </is>
      </c>
      <c r="E37" s="11" t="inlineStr">
        <is>
          <t>أعمال وتوريدات تخصصية لزوم شركة البترول الوطنية الكويتية حسب وثائق الممارسة رقم RFQ/1064135 عبر منصة K-Tendering.</t>
        </is>
      </c>
      <c r="F37" s="11" t="inlineStr">
        <is>
          <t>وفقاً لشروط وإجراءات المناقصات والتوريد لدى شركة البترول الوطنية الكويتية (KNPC) عبر منصة K-Tendering.</t>
        </is>
      </c>
      <c r="G37" s="12" t="inlineStr">
        <is>
          <t>عام</t>
        </is>
      </c>
      <c r="H37" s="12" t="inlineStr">
        <is>
          <t>15.0%</t>
        </is>
      </c>
      <c r="I37" s="12" t="inlineStr">
        <is>
          <t>oil_and_gas</t>
        </is>
      </c>
      <c r="J37" s="12" t="inlineStr">
        <is>
          <t>2026-09-27</t>
        </is>
      </c>
      <c r="K37" s="12" t="inlineStr">
        <is>
          <t>2026-10-22</t>
        </is>
      </c>
      <c r="L37" s="12" t="inlineStr">
        <is>
          <t>1000.0</t>
        </is>
      </c>
      <c r="M37" s="12" t="inlineStr">
        <is>
          <t>-</t>
        </is>
      </c>
      <c r="N37" s="21" t="inlineStr">
        <is>
          <t>NEW</t>
        </is>
      </c>
      <c r="O37" s="12" t="inlineStr">
        <is>
          <t>غير متوافقة</t>
        </is>
      </c>
      <c r="P37" s="23">
        <f>HYPERLINK("https://kuwaitalyawm.media.gov.kw/Online/ViewAdsHTML?id=171726&amp;no=1", "عرض المصدر")</f>
        <v/>
      </c>
    </row>
    <row r="38">
      <c r="A38" s="13" t="inlineStr">
        <is>
          <t>RFQ/1063478</t>
        </is>
      </c>
      <c r="B38" s="13" t="inlineStr">
        <is>
          <t>شركة البترول الوطنية الكويتية</t>
        </is>
      </c>
      <c r="C38" s="13" t="inlineStr">
        <is>
          <t>Abrar Al-Qallaf</t>
        </is>
      </c>
      <c r="D38" s="13" t="inlineStr">
        <is>
          <t>ممارسة رقم RFQ/1063478: توريد مواد ومهمات تشغيلية لزوم شركة البترول الوطنية الكويتية - شركة البترول الوطنية الكويتية</t>
        </is>
      </c>
      <c r="E38" s="13" t="inlineStr">
        <is>
          <t>أعمال وتوريدات تخصصية لزوم شركة البترول الوطنية الكويتية حسب وثائق الممارسة رقم RFQ/1063478 عبر منصة K-Tendering.</t>
        </is>
      </c>
      <c r="F38" s="13" t="inlineStr">
        <is>
          <t>وفقاً لشروط وإجراءات المناقصات والتوريد لدى شركة البترول الوطنية الكويتية (KNPC) عبر منصة K-Tendering.</t>
        </is>
      </c>
      <c r="G38" s="14" t="inlineStr">
        <is>
          <t>عام</t>
        </is>
      </c>
      <c r="H38" s="14" t="inlineStr">
        <is>
          <t>15.0%</t>
        </is>
      </c>
      <c r="I38" s="14" t="inlineStr">
        <is>
          <t>oil_and_gas</t>
        </is>
      </c>
      <c r="J38" s="14" t="inlineStr">
        <is>
          <t>2026-09-27</t>
        </is>
      </c>
      <c r="K38" s="14" t="inlineStr">
        <is>
          <t>2026-10-22</t>
        </is>
      </c>
      <c r="L38" s="14" t="inlineStr">
        <is>
          <t>1000.0</t>
        </is>
      </c>
      <c r="M38" s="14" t="inlineStr">
        <is>
          <t>-</t>
        </is>
      </c>
      <c r="N38" s="21" t="inlineStr">
        <is>
          <t>NEW</t>
        </is>
      </c>
      <c r="O38" s="14" t="inlineStr">
        <is>
          <t>غير متوافقة</t>
        </is>
      </c>
      <c r="P38" s="22">
        <f>HYPERLINK("https://kuwaitalyawm.media.gov.kw/Online/ViewAdsHTML?id=171727&amp;no=1", "عرض المصدر")</f>
        <v/>
      </c>
    </row>
    <row r="39">
      <c r="A39" s="11" t="inlineStr">
        <is>
          <t>CB/CPC/2564/CNSL</t>
        </is>
      </c>
      <c r="B39" s="11" t="inlineStr">
        <is>
          <t>شركة البترول الوطنية الكويتية</t>
        </is>
      </c>
      <c r="C39" s="11" t="inlineStr">
        <is>
          <t>Abrar Al-Qallaf</t>
        </is>
      </c>
      <c r="D39" s="11" t="inlineStr">
        <is>
          <t>ممارسة رقم CB/CPC/2564/CNSL: توريد مواد ومهمات تشغيلية لزوم شركة البترول الوطنية الكويتية - شركة البترول الوطنية الكويتية</t>
        </is>
      </c>
      <c r="E39" s="11" t="inlineStr">
        <is>
          <t>أعمال وتوريدات تخصصية لزوم شركة البترول الوطنية الكويتية حسب وثائق الممارسة رقم CB/CPC/2564/CNSL عبر منصة K-Tendering.</t>
        </is>
      </c>
      <c r="F39" s="11" t="inlineStr">
        <is>
          <t>وفقاً لشروط وإجراءات المناقصات والتوريد لدى شركة البترول الوطنية الكويتية (KNPC) عبر منصة K-Tendering.</t>
        </is>
      </c>
      <c r="G39" s="12" t="inlineStr">
        <is>
          <t>عام</t>
        </is>
      </c>
      <c r="H39" s="12" t="inlineStr">
        <is>
          <t>15.0%</t>
        </is>
      </c>
      <c r="I39" s="12" t="inlineStr">
        <is>
          <t>oil_and_gas</t>
        </is>
      </c>
      <c r="J39" s="12" t="inlineStr">
        <is>
          <t>2026-09-27</t>
        </is>
      </c>
      <c r="K39" s="12" t="inlineStr">
        <is>
          <t>-</t>
        </is>
      </c>
      <c r="L39" s="12" t="inlineStr">
        <is>
          <t>-</t>
        </is>
      </c>
      <c r="M39" s="12" t="inlineStr">
        <is>
          <t>-</t>
        </is>
      </c>
      <c r="N39" s="21" t="inlineStr">
        <is>
          <t>NEW</t>
        </is>
      </c>
      <c r="O39" s="12" t="inlineStr">
        <is>
          <t>غير متوافقة</t>
        </is>
      </c>
      <c r="P39" s="23">
        <f>HYPERLINK("https://kuwaitalyawm.media.gov.kw/Online/ViewAdsHTML?id=171728&amp;no=1", "عرض المصدر")</f>
        <v/>
      </c>
    </row>
    <row r="40">
      <c r="A40" s="13" t="inlineStr">
        <is>
          <t>RFQ/1063250</t>
        </is>
      </c>
      <c r="B40" s="13" t="inlineStr">
        <is>
          <t>شركة البترول الوطنية الكويتية</t>
        </is>
      </c>
      <c r="C40" s="13" t="inlineStr">
        <is>
          <t>Abrar Al-Qallaf</t>
        </is>
      </c>
      <c r="D40" s="13" t="inlineStr">
        <is>
          <t>ممارسة رقم RFQ/1063250: توريد مواد ومهمات تشغيلية لزوم شركة البترول الوطنية الكويتية - شركة البترول الوطنية الكويتية</t>
        </is>
      </c>
      <c r="E40" s="13" t="inlineStr">
        <is>
          <t>أعمال وتوريدات تخصصية لزوم شركة البترول الوطنية الكويتية حسب وثائق الممارسة رقم RFQ/1063250 عبر منصة K-Tendering.</t>
        </is>
      </c>
      <c r="F40" s="13" t="inlineStr">
        <is>
          <t>وفقاً لشروط وإجراءات المناقصات والتوريد لدى شركة البترول الوطنية الكويتية (KNPC) عبر منصة K-Tendering.</t>
        </is>
      </c>
      <c r="G40" s="14" t="inlineStr">
        <is>
          <t>عام</t>
        </is>
      </c>
      <c r="H40" s="14" t="inlineStr">
        <is>
          <t>15.0%</t>
        </is>
      </c>
      <c r="I40" s="14" t="inlineStr">
        <is>
          <t>oil_and_gas</t>
        </is>
      </c>
      <c r="J40" s="14" t="inlineStr">
        <is>
          <t>2026-09-27</t>
        </is>
      </c>
      <c r="K40" s="14" t="inlineStr">
        <is>
          <t>2026-10-15</t>
        </is>
      </c>
      <c r="L40" s="14" t="inlineStr">
        <is>
          <t>1000.0</t>
        </is>
      </c>
      <c r="M40" s="14" t="inlineStr">
        <is>
          <t>-</t>
        </is>
      </c>
      <c r="N40" s="21" t="inlineStr">
        <is>
          <t>NEW</t>
        </is>
      </c>
      <c r="O40" s="14" t="inlineStr">
        <is>
          <t>غير متوافقة</t>
        </is>
      </c>
      <c r="P40" s="22">
        <f>HYPERLINK("https://kuwaitalyawm.media.gov.kw/Online/ViewAdsHTML?id=171729&amp;no=1", "عرض المصدر")</f>
        <v/>
      </c>
    </row>
    <row r="41">
      <c r="A41" s="11" t="inlineStr">
        <is>
          <t>2027/2026/967</t>
        </is>
      </c>
      <c r="B41" s="11" t="inlineStr">
        <is>
          <t>وزارة الاعلام</t>
        </is>
      </c>
      <c r="C41" s="11" t="inlineStr">
        <is>
          <t>Eiman Ashkanani</t>
        </is>
      </c>
      <c r="D41" s="11" t="inlineStr">
        <is>
          <t>ممارسة رقم 2027/2026/967: ستقوم وزارة الإعلام بعقد اجتماع تمهيدي يوم الأحد الموافق 27/9/2026 في تمام الساعة الحادية عشر ظهراً بقاعة اجتماعات السيد/ مدير عام الإدارة العامة للخدمات الهندسية و المساندة / الوكيل المساعد للشؤون الهندسية (سابقا) الدور الأرضي - مبنى الإذاعة -مجمع الإعلام - شارع السور ، وذلك للرد على الاستفسارات المقدمة بشأن الممارسة ، ويجوز لكل من قام بشراء وثائق الممارسة حضور الاجتماع بشخصه أو من يمثله ، ويعتبر كل ما يدون بمحضر الاجتماع جزءاً لا يتجزأ من وثائق الممارسة ، ويسرى في مواجهة مقدمي العطاءات ، وستقوم الوزارة بتعميم الاسئلة والاستفسارات والردود عليها بعد اعتمادها على جميع الممارسين قبل موعد اقفال العطاءات .</t>
        </is>
      </c>
      <c r="E41" s="11" t="inlineStr">
        <is>
          <t>أعمال وتوريدات ستقوم وزارة الإعلام بعقد اجتماع تمهيدي يوم الأحد الموافق 27/9/2026 في تمام الساعة الحادية عشر ظهراً بقاعة اجتماعات السيد/ مدير عام الإدارة العامة للخدمات الهندسية و المساندة / الوكيل المساعد للشؤون الهندسية (سابقا) الدور الأرضي - مبنى الإذاعة -مجمع الإعلام - شارع السور ، وذلك للرد على الاستفسارات المقدمة بشأن الممارسة ، ويجوز لكل من قام بشراء وثائق الممارسة حضور الاجتماع بشخصه أو من يمثله ، ويعتبر كل ما يدون بمحضر الاجتماع جزءاً لا يتجزأ من وثائق الممارسة ، ويسرى في مواجهة مقدمي العطاءات ، وستقوم الوزارة بتعميم الاسئلة والاستفسارات والردود عليها بعد اعتمادها على جميع الممارسين قبل موعد اقفال العطاءات . لصالح وزارة الاعلام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2026-09-20</t>
        </is>
      </c>
      <c r="K41" s="18" t="inlineStr">
        <is>
          <t>2026-10-08</t>
        </is>
      </c>
      <c r="L41" s="12" t="inlineStr">
        <is>
          <t>-</t>
        </is>
      </c>
      <c r="M41" s="12" t="inlineStr">
        <is>
          <t>50.0</t>
        </is>
      </c>
      <c r="N41" s="21" t="inlineStr">
        <is>
          <t>NEW</t>
        </is>
      </c>
      <c r="O41" s="12" t="inlineStr">
        <is>
          <t>غير متوافقة مع اختصاصات KBM</t>
        </is>
      </c>
      <c r="P41" s="23">
        <f>HYPERLINK("https://kuwaitalyawm.media.gov.kw/Online/ViewAdsHTML?id=170599&amp;no=1", "عرض المصدر")</f>
        <v/>
      </c>
    </row>
    <row r="42">
      <c r="A42" s="13" t="inlineStr">
        <is>
          <t>2027/2026/19</t>
        </is>
      </c>
      <c r="B42" s="13" t="inlineStr">
        <is>
          <t>وزارة الأوقاف والشئون الإسلامية</t>
        </is>
      </c>
      <c r="C42" s="13" t="inlineStr">
        <is>
          <t>Eiman Ashkanani</t>
        </is>
      </c>
      <c r="D42" s="13" t="inlineStr">
        <is>
          <t>ممارسة رقم 2027/2026/19: بتقديم خدمات إنترنت وخطوط اتصال لاسلكية للمواقع</t>
        </is>
      </c>
      <c r="E42" s="13" t="inlineStr">
        <is>
          <t>أعمال وتوريدات بتقديم خدمات إنترنت وخطوط اتصال لاسلكية للمواقع لصالح وزارة الأوقاف والشئون الإسلامية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2026-09-20</t>
        </is>
      </c>
      <c r="K42" s="18" t="inlineStr">
        <is>
          <t>2026-10-11</t>
        </is>
      </c>
      <c r="L42" s="14" t="inlineStr">
        <is>
          <t>600.0</t>
        </is>
      </c>
      <c r="M42" s="14" t="inlineStr">
        <is>
          <t>75.0</t>
        </is>
      </c>
      <c r="N42" s="21" t="inlineStr">
        <is>
          <t>NEW</t>
        </is>
      </c>
      <c r="O42" s="14" t="inlineStr">
        <is>
          <t>غير متوافقة مع اختصاصات KBM</t>
        </is>
      </c>
      <c r="P42" s="22">
        <f>HYPERLINK("https://kuwaitalyawm.media.gov.kw/Online/ViewAdsHTML?id=170600&amp;no=1", "عرض المصدر")</f>
        <v/>
      </c>
    </row>
    <row r="43">
      <c r="A43" s="11" t="inlineStr">
        <is>
          <t>2027/2026/20</t>
        </is>
      </c>
      <c r="B43" s="11" t="inlineStr">
        <is>
          <t>وزارة الداخلية</t>
        </is>
      </c>
      <c r="C43" s="11" t="inlineStr">
        <is>
          <t>Khaled Alabdallah</t>
        </is>
      </c>
      <c r="D43" s="11" t="inlineStr">
        <is>
          <t>مناقصة رقم 2027/2026/20: صيانة وإصلاح وتدريب وتوريد قطع الغيار لعدد (8) أبراج كندور وسيميوليتر وتوريد وضمان وتركيب وتشغيل وصيانة وتدريب للمنظار المستقل للقائد (CIV) لأبراج مدرعات الكندور لزوم الإدارة العامة لقوات الأمن الخاصة – للإدارة العامة للإمداد والتموين</t>
        </is>
      </c>
      <c r="E43" s="11" t="inlineStr">
        <is>
          <t>توفير خدمات الحراسة والأمن والسلامة للمباني والمنشآت وتأمين المداخل وتوفير الكوادر الأمنية المدربة.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قطاع العمليات المدارة والدعم الفني متعدد الموردين</t>
        </is>
      </c>
      <c r="H43" s="12" t="inlineStr">
        <is>
          <t>64.0%</t>
        </is>
      </c>
      <c r="I43" s="12" t="inlineStr">
        <is>
          <t>government</t>
        </is>
      </c>
      <c r="J43" s="12" t="inlineStr">
        <is>
          <t>2026-09-06</t>
        </is>
      </c>
      <c r="K43" s="18" t="inlineStr">
        <is>
          <t>2026-10-07</t>
        </is>
      </c>
      <c r="L43" s="12" t="inlineStr">
        <is>
          <t>700.0</t>
        </is>
      </c>
      <c r="M43" s="12" t="inlineStr">
        <is>
          <t>75.0</t>
        </is>
      </c>
      <c r="N43" s="21" t="inlineStr">
        <is>
          <t>NEW</t>
        </is>
      </c>
      <c r="O43" s="12" t="inlineStr">
        <is>
          <t>فرصة ICT متوافقة مع قدرات KBM</t>
        </is>
      </c>
      <c r="P43" s="23">
        <f>HYPERLINK("https://kuwaitalyawm.media.gov.kw/Online/ViewAdsHTML?id=170601&amp;no=1", "عرض المصدر")</f>
        <v/>
      </c>
    </row>
    <row r="44">
      <c r="A44" s="13" t="inlineStr">
        <is>
          <t>241410119341260</t>
        </is>
      </c>
      <c r="B44" s="13" t="inlineStr">
        <is>
          <t>وزارة الدفاع</t>
        </is>
      </c>
      <c r="C44" s="13" t="inlineStr">
        <is>
          <t>Eiman Ashkanani</t>
        </is>
      </c>
      <c r="D44" s="13" t="inlineStr">
        <is>
          <t>ممارسة رقم 241410119341260: تأثيث من خارج دليل الشراء</t>
        </is>
      </c>
      <c r="E44" s="13" t="inlineStr">
        <is>
          <t>أعمال وتوريدات تأثيث من خارج دليل الشراء لصالح وزارة الدفاع وفقاً للشروط والمواصفات المعتمدة في وثائق الطرح.</t>
        </is>
      </c>
      <c r="F44" s="13" t="inlineStr">
        <is>
          <t>• 1. تقديم كتاب تفويض من الشركة بشراء الوثائق .
• 2. أن تكون الشركة متخصصة في هذا المجال ومصنفة لدى مراقبة تصنيف الشركات بالوزارة لسنة 2026 .
• 3. أن تقدم الشركة شهادة دعم العمالة الوطنية لدى الشركات الغير حكومية .
• 4. سداد الرسوم المقررة لشراء وثائق الممارسة عن طريق الKent .
• 5. جميع التكاليف المترتبة على المشاركة في هذه الممارسة تقع على الممارسين المشاركين كما تحتفظ وزارة لدفاع بحقها بإلغاء أو تعديل أو الاستمرار في هذه الممارسة دون أدنى مسئولية تجاه الوزارة .
• للاستفسار: هاتف : 1844411 – 60395 .</t>
        </is>
      </c>
      <c r="G44" s="14" t="inlineStr">
        <is>
          <t>عام</t>
        </is>
      </c>
      <c r="H44" s="14" t="inlineStr">
        <is>
          <t>15.0%</t>
        </is>
      </c>
      <c r="I44" s="14" t="inlineStr">
        <is>
          <t>government</t>
        </is>
      </c>
      <c r="J44" s="14" t="inlineStr">
        <is>
          <t>2026-09-20</t>
        </is>
      </c>
      <c r="K44" s="18" t="inlineStr">
        <is>
          <t>2026-10-08</t>
        </is>
      </c>
      <c r="L44" s="14" t="inlineStr">
        <is>
          <t>2.0</t>
        </is>
      </c>
      <c r="M44" s="14" t="inlineStr">
        <is>
          <t>75.0</t>
        </is>
      </c>
      <c r="N44" s="21" t="inlineStr">
        <is>
          <t>NEW</t>
        </is>
      </c>
      <c r="O44" s="14" t="inlineStr">
        <is>
          <t>غير متوافقة مع اختصاصات KBM</t>
        </is>
      </c>
      <c r="P44" s="22">
        <f>HYPERLINK("https://kuwaitalyawm.media.gov.kw/Online/ViewAdsHTML?id=170976&amp;no=1", "عرض المصدر")</f>
        <v/>
      </c>
    </row>
    <row r="45">
      <c r="A45" s="11" t="inlineStr">
        <is>
          <t>2414/105/19973/26</t>
        </is>
      </c>
      <c r="B45" s="11" t="inlineStr">
        <is>
          <t>وزارة الدفاع</t>
        </is>
      </c>
      <c r="C45" s="11" t="inlineStr">
        <is>
          <t>Eiman Ashkanani</t>
        </is>
      </c>
      <c r="D45" s="11" t="inlineStr">
        <is>
          <t>ممارسة رقم 2414/105/19973/26: طلب شراء مفروشات لزوم / وزارة الدفاع</t>
        </is>
      </c>
      <c r="E45" s="11" t="inlineStr">
        <is>
          <t>أعمال وتوريدات طلب شراء مفروشات لزوم / وزارة الدفاع لصالح وزارة الدفاع وفقاً للشروط والمواصفات المعتمدة في وثائق الطرح.</t>
        </is>
      </c>
      <c r="F45"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5" s="12" t="inlineStr">
        <is>
          <t>عام</t>
        </is>
      </c>
      <c r="H45" s="12" t="inlineStr">
        <is>
          <t>15.0%</t>
        </is>
      </c>
      <c r="I45" s="12" t="inlineStr">
        <is>
          <t>government</t>
        </is>
      </c>
      <c r="J45" s="12" t="inlineStr">
        <is>
          <t>2026-09-20</t>
        </is>
      </c>
      <c r="K45" s="12" t="inlineStr">
        <is>
          <t>2026-10-15</t>
        </is>
      </c>
      <c r="L45" s="12" t="inlineStr">
        <is>
          <t>2.0</t>
        </is>
      </c>
      <c r="M45" s="12" t="inlineStr">
        <is>
          <t>-</t>
        </is>
      </c>
      <c r="N45" s="21" t="inlineStr">
        <is>
          <t>NEW</t>
        </is>
      </c>
      <c r="O45" s="12" t="inlineStr">
        <is>
          <t>غير متوافقة مع اختصاصات KBM</t>
        </is>
      </c>
      <c r="P45" s="23">
        <f>HYPERLINK("https://kuwaitalyawm.media.gov.kw/Online/ViewAdsHTML?id=170977&amp;no=1", "عرض المصدر")</f>
        <v/>
      </c>
    </row>
    <row r="46">
      <c r="A46" s="13" t="inlineStr">
        <is>
          <t>16-5</t>
        </is>
      </c>
      <c r="B46" s="13" t="inlineStr">
        <is>
          <t>وزارة الصحة</t>
        </is>
      </c>
      <c r="C46" s="13" t="inlineStr">
        <is>
          <t>Jana Al-Obaid</t>
        </is>
      </c>
      <c r="D46" s="13" t="inlineStr">
        <is>
          <t>ممارسة رقم 16-5 - وزارة الصحة</t>
        </is>
      </c>
      <c r="E46" s="13" t="inlineStr">
        <is>
          <t>أعمال وتوريدات ممارسة رقم 16-5 لصالح وزارة الصحة وفقاً للشروط والمواصفات المعتمدة في وثائق الطرح.</t>
        </is>
      </c>
      <c r="F46"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6" s="14" t="inlineStr">
        <is>
          <t>عام</t>
        </is>
      </c>
      <c r="H46" s="14" t="inlineStr">
        <is>
          <t>15.0%</t>
        </is>
      </c>
      <c r="I46" s="14" t="inlineStr">
        <is>
          <t>government</t>
        </is>
      </c>
      <c r="J46" s="14" t="inlineStr">
        <is>
          <t>2026-09-20</t>
        </is>
      </c>
      <c r="K46" s="14" t="inlineStr">
        <is>
          <t>2026-10-14</t>
        </is>
      </c>
      <c r="L46" s="14" t="inlineStr">
        <is>
          <t>-</t>
        </is>
      </c>
      <c r="M46" s="14" t="inlineStr">
        <is>
          <t>300.0</t>
        </is>
      </c>
      <c r="N46" s="21" t="inlineStr">
        <is>
          <t>NEW</t>
        </is>
      </c>
      <c r="O46" s="14" t="inlineStr">
        <is>
          <t>غير متوافقة مع اختصاصات KBM</t>
        </is>
      </c>
      <c r="P46" s="22">
        <f>HYPERLINK("https://kuwaitalyawm.media.gov.kw/Online/ViewAdsHTML?id=170980&amp;no=1", "عرض المصدر")</f>
        <v/>
      </c>
    </row>
    <row r="47">
      <c r="A47" s="11" t="inlineStr">
        <is>
          <t>370-278</t>
        </is>
      </c>
      <c r="B47" s="11" t="inlineStr">
        <is>
          <t>وزارة الصحة</t>
        </is>
      </c>
      <c r="C47" s="11" t="inlineStr">
        <is>
          <t>Jana Al-Obaid</t>
        </is>
      </c>
      <c r="D47" s="11" t="inlineStr">
        <is>
          <t>ممارسة رقم 370-278 - وزارة الصحة</t>
        </is>
      </c>
      <c r="E47" s="11" t="inlineStr">
        <is>
          <t>أعمال وتوريدات ممارسة رقم 370-278 لصالح وزارة الصحة وفقاً للشروط والمواصفات المعتمدة في وثائق الطرح.</t>
        </is>
      </c>
      <c r="F47"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47" s="12" t="inlineStr">
        <is>
          <t>قطاع الأمن السيبراني والدفاع الرقمي</t>
        </is>
      </c>
      <c r="H47" s="12" t="inlineStr">
        <is>
          <t>47.0%</t>
        </is>
      </c>
      <c r="I47" s="12" t="inlineStr">
        <is>
          <t>government</t>
        </is>
      </c>
      <c r="J47" s="12" t="inlineStr">
        <is>
          <t>2026-09-20</t>
        </is>
      </c>
      <c r="K47" s="18" t="inlineStr">
        <is>
          <t>2026-10-12</t>
        </is>
      </c>
      <c r="L47" s="12" t="inlineStr">
        <is>
          <t>-</t>
        </is>
      </c>
      <c r="M47" s="12" t="inlineStr">
        <is>
          <t>75.0</t>
        </is>
      </c>
      <c r="N47" s="21" t="inlineStr">
        <is>
          <t>NEW</t>
        </is>
      </c>
      <c r="O47" s="12" t="inlineStr">
        <is>
          <t>فرصة تتطلب شراكة أو دراسة نطاق</t>
        </is>
      </c>
      <c r="P47" s="23">
        <f>HYPERLINK("https://kuwaitalyawm.media.gov.kw/Online/ViewAdsHTML?id=170981&amp;no=1", "عرض المصدر")</f>
        <v/>
      </c>
    </row>
    <row r="48">
      <c r="A48" s="13" t="inlineStr">
        <is>
          <t>223-396</t>
        </is>
      </c>
      <c r="B48" s="13" t="inlineStr">
        <is>
          <t>وزارة الصحة</t>
        </is>
      </c>
      <c r="C48" s="13" t="inlineStr">
        <is>
          <t>Jana Al-Obaid</t>
        </is>
      </c>
      <c r="D48" s="13" t="inlineStr">
        <is>
          <t>ممارسة رقم 223-396 - وزارة الصحة</t>
        </is>
      </c>
      <c r="E48" s="13" t="inlineStr">
        <is>
          <t>أعمال وتوريدات ممارسة رقم 223-396 لصالح وزارة الصحة وفقاً للشروط والمواصفات المعتمدة في وثائق الطرح.</t>
        </is>
      </c>
      <c r="F48"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48" s="14" t="inlineStr">
        <is>
          <t>عام</t>
        </is>
      </c>
      <c r="H48" s="14" t="inlineStr">
        <is>
          <t>15.0%</t>
        </is>
      </c>
      <c r="I48" s="14" t="inlineStr">
        <is>
          <t>government</t>
        </is>
      </c>
      <c r="J48" s="14" t="inlineStr">
        <is>
          <t>2026-09-20</t>
        </is>
      </c>
      <c r="K48" s="18" t="inlineStr">
        <is>
          <t>2026-10-12</t>
        </is>
      </c>
      <c r="L48" s="14" t="inlineStr">
        <is>
          <t>-</t>
        </is>
      </c>
      <c r="M48" s="14" t="inlineStr">
        <is>
          <t>75.0</t>
        </is>
      </c>
      <c r="N48" s="21" t="inlineStr">
        <is>
          <t>NEW</t>
        </is>
      </c>
      <c r="O48" s="14" t="inlineStr">
        <is>
          <t>غير متوافقة مع اختصاصات KBM</t>
        </is>
      </c>
      <c r="P48" s="22">
        <f>HYPERLINK("https://kuwaitalyawm.media.gov.kw/Online/ViewAdsHTML?id=170982&amp;no=1", "عرض المصدر")</f>
        <v/>
      </c>
    </row>
    <row r="49">
      <c r="A49" s="11" t="inlineStr">
        <is>
          <t>294-293</t>
        </is>
      </c>
      <c r="B49" s="11" t="inlineStr">
        <is>
          <t>وزارة الصحة</t>
        </is>
      </c>
      <c r="C49" s="11" t="inlineStr">
        <is>
          <t>Jana Al-Obaid</t>
        </is>
      </c>
      <c r="D49" s="11" t="inlineStr">
        <is>
          <t>ممارسة رقم 294-293 - وزارة الصحة</t>
        </is>
      </c>
      <c r="E49" s="11" t="inlineStr">
        <is>
          <t>أعمال وتوريدات ممارسة رقم 294-293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government</t>
        </is>
      </c>
      <c r="J49" s="12" t="inlineStr">
        <is>
          <t>2026-09-20</t>
        </is>
      </c>
      <c r="K49" s="12" t="inlineStr">
        <is>
          <t>2026-10-21</t>
        </is>
      </c>
      <c r="L49" s="12" t="inlineStr">
        <is>
          <t>-</t>
        </is>
      </c>
      <c r="M49" s="12" t="inlineStr">
        <is>
          <t>75.0</t>
        </is>
      </c>
      <c r="N49" s="21" t="inlineStr">
        <is>
          <t>NEW</t>
        </is>
      </c>
      <c r="O49" s="12" t="inlineStr">
        <is>
          <t>غير متوافقة مع اختصاصات KBM</t>
        </is>
      </c>
      <c r="P49" s="23">
        <f>HYPERLINK("https://kuwaitalyawm.media.gov.kw/Online/ViewAdsHTML?id=170983&amp;no=1", "عرض المصدر")</f>
        <v/>
      </c>
    </row>
    <row r="50">
      <c r="A50" s="13" t="inlineStr">
        <is>
          <t>115-214</t>
        </is>
      </c>
      <c r="B50" s="13" t="inlineStr">
        <is>
          <t>وزارة الصحة</t>
        </is>
      </c>
      <c r="C50" s="13" t="inlineStr">
        <is>
          <t>Jana Al-Obaid</t>
        </is>
      </c>
      <c r="D50" s="13" t="inlineStr">
        <is>
          <t>ممارسة رقم 115-214 - وزارة الصحة</t>
        </is>
      </c>
      <c r="E50" s="13" t="inlineStr">
        <is>
          <t>أعمال وتوريدات ممارسة رقم 115-214 لصالح وزارة الصحة وفقاً للشروط والمواصفات المعتمدة في وثائق الطرح.</t>
        </is>
      </c>
      <c r="F50"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50" s="14" t="inlineStr">
        <is>
          <t>عام</t>
        </is>
      </c>
      <c r="H50" s="14" t="inlineStr">
        <is>
          <t>15.0%</t>
        </is>
      </c>
      <c r="I50" s="14" t="inlineStr">
        <is>
          <t>government</t>
        </is>
      </c>
      <c r="J50" s="14" t="inlineStr">
        <is>
          <t>2026-09-20</t>
        </is>
      </c>
      <c r="K50" s="18" t="inlineStr">
        <is>
          <t>2026-10-12</t>
        </is>
      </c>
      <c r="L50" s="14" t="inlineStr">
        <is>
          <t>-</t>
        </is>
      </c>
      <c r="M50" s="14" t="inlineStr">
        <is>
          <t>75.0</t>
        </is>
      </c>
      <c r="N50" s="21" t="inlineStr">
        <is>
          <t>NEW</t>
        </is>
      </c>
      <c r="O50" s="14" t="inlineStr">
        <is>
          <t>غير متوافقة مع اختصاصات KBM</t>
        </is>
      </c>
      <c r="P50" s="22">
        <f>HYPERLINK("https://kuwaitalyawm.media.gov.kw/Online/ViewAdsHTML?id=170984&amp;no=1", "عرض المصدر")</f>
        <v/>
      </c>
    </row>
    <row r="51">
      <c r="A51" s="11" t="inlineStr">
        <is>
          <t>331-16</t>
        </is>
      </c>
      <c r="B51" s="11" t="inlineStr">
        <is>
          <t>وزارة الصحة</t>
        </is>
      </c>
      <c r="C51" s="11" t="inlineStr">
        <is>
          <t>Jana Al-Obaid</t>
        </is>
      </c>
      <c r="D51" s="11" t="inlineStr">
        <is>
          <t>ممارسة رقم 331-16 - وزارة الصحة</t>
        </is>
      </c>
      <c r="E51" s="11" t="inlineStr">
        <is>
          <t>أعمال وتوريدات ممارسة رقم 331-16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government</t>
        </is>
      </c>
      <c r="J51" s="12" t="inlineStr">
        <is>
          <t>2026-09-20</t>
        </is>
      </c>
      <c r="K51" s="18" t="inlineStr">
        <is>
          <t>2026-10-12</t>
        </is>
      </c>
      <c r="L51" s="12" t="inlineStr">
        <is>
          <t>-</t>
        </is>
      </c>
      <c r="M51" s="12" t="inlineStr">
        <is>
          <t>75.0</t>
        </is>
      </c>
      <c r="N51" s="21" t="inlineStr">
        <is>
          <t>NEW</t>
        </is>
      </c>
      <c r="O51" s="12" t="inlineStr">
        <is>
          <t>غير متوافقة مع اختصاصات KBM</t>
        </is>
      </c>
      <c r="P51" s="23">
        <f>HYPERLINK("https://kuwaitalyawm.media.gov.kw/Online/ViewAdsHTML?id=170985&amp;no=1", "عرض المصدر")</f>
        <v/>
      </c>
    </row>
    <row r="52">
      <c r="A52" s="13" t="inlineStr">
        <is>
          <t>221-127</t>
        </is>
      </c>
      <c r="B52" s="13" t="inlineStr">
        <is>
          <t>وزارة الصحة</t>
        </is>
      </c>
      <c r="C52" s="13" t="inlineStr">
        <is>
          <t>Jana Al-Obaid</t>
        </is>
      </c>
      <c r="D52" s="13" t="inlineStr">
        <is>
          <t>ممارسة رقم 221-127 - وزارة الصحة</t>
        </is>
      </c>
      <c r="E52" s="13" t="inlineStr">
        <is>
          <t>أعمال وتوريدات ممارسة رقم 221-127 لصالح وزارة الصحة وفقاً للشروط والمواصفات المعتمدة في وثائق الطرح.</t>
        </is>
      </c>
      <c r="F52" s="13" t="inlineStr">
        <is>
          <t>• الشركة المحلية يجب أن تكون مسجلة لدى إدارة المستودعات الطبية بسجل الموردين
• الشركة المحلية يجب أن تكون متخصصة في المجال الطبي وموثق بشهادة معتمدة من غرفة التجارة والصناعة
• عند تقديم عرضين يجب شراء كراستين بوصلين مختلفين
•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تقديم عينات للمواد الجديدة سواءً كان منتج جديد يطلب لأول مرة أو من شركة مصنعة جديدة للمراقبة المختصة ( الأدوية – اللوازم الطبية)
• ارفاق شهادة نسبة دعم العمالة الوطنية
• يمكن الحصول على وثائق الممارسات في الموقع الإلكتروني الخاص بوزارة الصحة
• يمكن دفع رسوم شراء الكراسة من الموقع الإلكتروني لإرفاقه مع وثائق الممارسة
• تقديم عروض الأسعار بظرف مقفل شامل مع وثائق الممارسة حسب تاريخ الإقفال المحدد في الموقع الإلكتروني الخاص بوزارة الصحة</t>
        </is>
      </c>
      <c r="G52" s="14" t="inlineStr">
        <is>
          <t>عام</t>
        </is>
      </c>
      <c r="H52" s="14" t="inlineStr">
        <is>
          <t>0.0%</t>
        </is>
      </c>
      <c r="I52" s="14" t="inlineStr">
        <is>
          <t>government</t>
        </is>
      </c>
      <c r="J52" s="14" t="inlineStr">
        <is>
          <t>2026-09-20</t>
        </is>
      </c>
      <c r="K52" s="18" t="inlineStr">
        <is>
          <t>2026-10-05</t>
        </is>
      </c>
      <c r="L52" s="14" t="inlineStr">
        <is>
          <t>-</t>
        </is>
      </c>
      <c r="M52" s="14" t="inlineStr">
        <is>
          <t>1000.0</t>
        </is>
      </c>
      <c r="N52" s="21" t="inlineStr">
        <is>
          <t>NEW</t>
        </is>
      </c>
      <c r="O52" s="14" t="inlineStr">
        <is>
          <t>غير متوافقة مع اختصاصات KBM</t>
        </is>
      </c>
      <c r="P52" s="22">
        <f>HYPERLINK("https://kuwaitalyawm.media.gov.kw/Online/ViewAdsHTML?id=170986&amp;no=1", "عرض المصدر")</f>
        <v/>
      </c>
    </row>
    <row r="53">
      <c r="A53" s="11" t="inlineStr">
        <is>
          <t>41-40</t>
        </is>
      </c>
      <c r="B53" s="11" t="inlineStr">
        <is>
          <t>وزارة الصحة</t>
        </is>
      </c>
      <c r="C53" s="11" t="inlineStr">
        <is>
          <t>Jana Al-Obaid</t>
        </is>
      </c>
      <c r="D53" s="11" t="inlineStr">
        <is>
          <t>ممارسة رقم 41-40 - وزارة الصحة</t>
        </is>
      </c>
      <c r="E53" s="11" t="inlineStr">
        <is>
          <t>أعمال وتوريدات ممارسة رقم 41-40 لصالح وزارة الصحة وفقاً للشروط والمواصفات المعتمدة في وثائق الطرح.</t>
        </is>
      </c>
      <c r="F5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3" s="12" t="inlineStr">
        <is>
          <t>عام</t>
        </is>
      </c>
      <c r="H53" s="12" t="inlineStr">
        <is>
          <t>0.0%</t>
        </is>
      </c>
      <c r="I53" s="12" t="inlineStr">
        <is>
          <t>government</t>
        </is>
      </c>
      <c r="J53" s="12" t="inlineStr">
        <is>
          <t>2026-09-20</t>
        </is>
      </c>
      <c r="K53" s="18" t="inlineStr">
        <is>
          <t>2026-10-05</t>
        </is>
      </c>
      <c r="L53" s="12" t="inlineStr">
        <is>
          <t>-</t>
        </is>
      </c>
      <c r="M53" s="12" t="inlineStr">
        <is>
          <t>300.0</t>
        </is>
      </c>
      <c r="N53" s="21" t="inlineStr">
        <is>
          <t>NEW</t>
        </is>
      </c>
      <c r="O53" s="12" t="inlineStr">
        <is>
          <t>غير متوافقة مع اختصاصات KBM</t>
        </is>
      </c>
      <c r="P53" s="23">
        <f>HYPERLINK("https://kuwaitalyawm.media.gov.kw/Online/ViewAdsHTML?id=170987&amp;no=1", "عرض المصدر")</f>
        <v/>
      </c>
    </row>
    <row r="54">
      <c r="A54" s="13" t="inlineStr">
        <is>
          <t>61-16</t>
        </is>
      </c>
      <c r="B54" s="13" t="inlineStr">
        <is>
          <t>وزارة الصحة</t>
        </is>
      </c>
      <c r="C54" s="13" t="inlineStr">
        <is>
          <t>Jana Al-Obaid</t>
        </is>
      </c>
      <c r="D54" s="13" t="inlineStr">
        <is>
          <t>ممارسة رقم 61-16 - وزارة الصحة</t>
        </is>
      </c>
      <c r="E54" s="13" t="inlineStr">
        <is>
          <t>أعمال وتوريدات ممارسة رقم 61-16 لصالح وزارة الصحة وفقاً للشروط والمواصفات المعتمدة في وثائق الطرح.</t>
        </is>
      </c>
      <c r="F54"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4" s="14" t="inlineStr">
        <is>
          <t>عام</t>
        </is>
      </c>
      <c r="H54" s="14" t="inlineStr">
        <is>
          <t>0.0%</t>
        </is>
      </c>
      <c r="I54" s="14" t="inlineStr">
        <is>
          <t>government</t>
        </is>
      </c>
      <c r="J54" s="14" t="inlineStr">
        <is>
          <t>2026-09-20</t>
        </is>
      </c>
      <c r="K54" s="14" t="inlineStr">
        <is>
          <t>2026-10-21</t>
        </is>
      </c>
      <c r="L54" s="14" t="inlineStr">
        <is>
          <t>-</t>
        </is>
      </c>
      <c r="M54" s="14" t="inlineStr">
        <is>
          <t>75.0</t>
        </is>
      </c>
      <c r="N54" s="21" t="inlineStr">
        <is>
          <t>NEW</t>
        </is>
      </c>
      <c r="O54" s="14" t="inlineStr">
        <is>
          <t>غير متوافقة مع اختصاصات KBM</t>
        </is>
      </c>
      <c r="P54" s="22">
        <f>HYPERLINK("https://kuwaitalyawm.media.gov.kw/Online/ViewAdsHTML?id=170988&amp;no=1", "عرض المصدر")</f>
        <v/>
      </c>
    </row>
    <row r="55">
      <c r="A55" s="11" t="inlineStr">
        <is>
          <t>41-15</t>
        </is>
      </c>
      <c r="B55" s="11" t="inlineStr">
        <is>
          <t>وزارة الصحة</t>
        </is>
      </c>
      <c r="C55" s="11" t="inlineStr">
        <is>
          <t>Jana Al-Obaid</t>
        </is>
      </c>
      <c r="D55" s="11" t="inlineStr">
        <is>
          <t>ممارسة رقم 41-15 - وزارة الصحة</t>
        </is>
      </c>
      <c r="E55" s="11" t="inlineStr">
        <is>
          <t>أعمال وتوريدات ممارسة رقم 41-15 لصالح وزارة الصحة وفقاً للشروط والمواصفات المعتمدة في وثائق الطرح.</t>
        </is>
      </c>
      <c r="F5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5" s="12" t="inlineStr">
        <is>
          <t>عام</t>
        </is>
      </c>
      <c r="H55" s="12" t="inlineStr">
        <is>
          <t>0.0%</t>
        </is>
      </c>
      <c r="I55" s="12" t="inlineStr">
        <is>
          <t>government</t>
        </is>
      </c>
      <c r="J55" s="12" t="inlineStr">
        <is>
          <t>2026-09-20</t>
        </is>
      </c>
      <c r="K55" s="18" t="inlineStr">
        <is>
          <t>2026-10-07</t>
        </is>
      </c>
      <c r="L55" s="12" t="inlineStr">
        <is>
          <t>-</t>
        </is>
      </c>
      <c r="M55" s="12" t="inlineStr">
        <is>
          <t>75.0</t>
        </is>
      </c>
      <c r="N55" s="21" t="inlineStr">
        <is>
          <t>NEW</t>
        </is>
      </c>
      <c r="O55" s="12" t="inlineStr">
        <is>
          <t>غير متوافقة مع اختصاصات KBM</t>
        </is>
      </c>
      <c r="P55" s="23">
        <f>HYPERLINK("https://kuwaitalyawm.media.gov.kw/Online/ViewAdsHTML?id=170989&amp;no=1", "عرض المصدر")</f>
        <v/>
      </c>
    </row>
    <row r="56">
      <c r="A56" s="13" t="inlineStr">
        <is>
          <t>4-6</t>
        </is>
      </c>
      <c r="B56" s="13" t="inlineStr">
        <is>
          <t>وزارة الصحة</t>
        </is>
      </c>
      <c r="C56" s="13" t="inlineStr">
        <is>
          <t>Jana Al-Obaid</t>
        </is>
      </c>
      <c r="D56" s="13" t="inlineStr">
        <is>
          <t>ممارسة رقم 4-6 - وزارة الصحة</t>
        </is>
      </c>
      <c r="E56" s="13" t="inlineStr">
        <is>
          <t>أعمال وتوريدات ممارسة رقم 4-6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government</t>
        </is>
      </c>
      <c r="J56" s="14" t="inlineStr">
        <is>
          <t>2026-09-20</t>
        </is>
      </c>
      <c r="K56" s="14" t="inlineStr">
        <is>
          <t>2026-10-14</t>
        </is>
      </c>
      <c r="L56" s="14" t="inlineStr">
        <is>
          <t>-</t>
        </is>
      </c>
      <c r="M56" s="14" t="inlineStr">
        <is>
          <t>75.0</t>
        </is>
      </c>
      <c r="N56" s="21" t="inlineStr">
        <is>
          <t>NEW</t>
        </is>
      </c>
      <c r="O56" s="14" t="inlineStr">
        <is>
          <t>غير متوافقة مع اختصاصات KBM</t>
        </is>
      </c>
      <c r="P56" s="22">
        <f>HYPERLINK("https://kuwaitalyawm.media.gov.kw/Online/ViewAdsHTML?id=170990&amp;no=1", "عرض المصدر")</f>
        <v/>
      </c>
    </row>
    <row r="57">
      <c r="A57" s="11" t="inlineStr">
        <is>
          <t>2027/2026/72</t>
        </is>
      </c>
      <c r="B57" s="11" t="inlineStr">
        <is>
          <t>وزارة الصحة</t>
        </is>
      </c>
      <c r="C57" s="11" t="inlineStr">
        <is>
          <t>Jana Al-Obaid</t>
        </is>
      </c>
      <c r="D5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2026-09-20</t>
        </is>
      </c>
      <c r="K57" s="12" t="inlineStr">
        <is>
          <t>-</t>
        </is>
      </c>
      <c r="L57" s="12" t="inlineStr">
        <is>
          <t>-</t>
        </is>
      </c>
      <c r="M57" s="12" t="inlineStr">
        <is>
          <t>-</t>
        </is>
      </c>
      <c r="N57" s="21" t="inlineStr">
        <is>
          <t>NEW</t>
        </is>
      </c>
      <c r="O57" s="12" t="inlineStr">
        <is>
          <t>غير متوافقة مع اختصاصات KBM</t>
        </is>
      </c>
      <c r="P57" s="23">
        <f>HYPERLINK("https://kuwaitalyawm.media.gov.kw/Online/ViewAdsHTML?id=170991&amp;no=1", "عرض المصدر")</f>
        <v/>
      </c>
    </row>
    <row r="58">
      <c r="A58" s="13" t="inlineStr">
        <is>
          <t>2026/2025/10/2</t>
        </is>
      </c>
      <c r="B58" s="13" t="inlineStr">
        <is>
          <t>وزارة الأشغال العامة</t>
        </is>
      </c>
      <c r="C58" s="13" t="inlineStr">
        <is>
          <t>Eiman Ashkanani</t>
        </is>
      </c>
      <c r="D58" s="13" t="inlineStr">
        <is>
          <t>ممارسة رقم 2026/2025/10/2: تشغيل وصيانة كاميرات مراقبة أمنية لمواقع وزارة الأشغال العامة</t>
        </is>
      </c>
      <c r="E58" s="13" t="inlineStr">
        <is>
          <t>تنفيذ أعمال تشغيل وصيانة كاميرات مراقبة أمنية لمواقع وزارة الأشغال العامة،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الأمن السيبراني والدفاع الرقمي</t>
        </is>
      </c>
      <c r="H58" s="14" t="inlineStr">
        <is>
          <t>72.0%</t>
        </is>
      </c>
      <c r="I58" s="14" t="inlineStr">
        <is>
          <t>government</t>
        </is>
      </c>
      <c r="J58" s="14" t="inlineStr">
        <is>
          <t>2026-09-13</t>
        </is>
      </c>
      <c r="K58" s="14" t="inlineStr">
        <is>
          <t>2026-09-20</t>
        </is>
      </c>
      <c r="L58" s="14" t="inlineStr">
        <is>
          <t>-</t>
        </is>
      </c>
      <c r="M58" s="14" t="inlineStr">
        <is>
          <t>125.0</t>
        </is>
      </c>
      <c r="N58" s="21" t="inlineStr">
        <is>
          <t>NEW</t>
        </is>
      </c>
      <c r="O58" s="14" t="inlineStr">
        <is>
          <t>فرصة ICT متوافقة مع قدرات KBM</t>
        </is>
      </c>
      <c r="P58" s="22">
        <f>HYPERLINK("https://kuwaitalyawm.media.gov.kw/Online/ViewAdsHTML?id=169481&amp;no=1", "عرض المصدر")</f>
        <v/>
      </c>
    </row>
    <row r="59">
      <c r="A59" s="11" t="inlineStr">
        <is>
          <t>126-320</t>
        </is>
      </c>
      <c r="B59" s="11" t="inlineStr">
        <is>
          <t>وزارة الصحة</t>
        </is>
      </c>
      <c r="C59" s="11" t="inlineStr">
        <is>
          <t>Jana Al-Obaid</t>
        </is>
      </c>
      <c r="D59" s="11" t="inlineStr">
        <is>
          <t>ممارسة رقم 126-320 - وزارة الصحة</t>
        </is>
      </c>
      <c r="E59" s="11" t="inlineStr">
        <is>
          <t>أعمال وتوريدات ممارسة رقم 126-320 لصالح وزارة الصحة وفقاً للشروط والمواصفات المعتمدة في وثائق الطرح.</t>
        </is>
      </c>
      <c r="F5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9" s="12" t="inlineStr">
        <is>
          <t>عام</t>
        </is>
      </c>
      <c r="H59" s="12" t="inlineStr">
        <is>
          <t>15.0%</t>
        </is>
      </c>
      <c r="I59" s="12" t="inlineStr">
        <is>
          <t>government</t>
        </is>
      </c>
      <c r="J59" s="12" t="inlineStr">
        <is>
          <t>2026-09-13</t>
        </is>
      </c>
      <c r="K59" s="12" t="inlineStr">
        <is>
          <t>2026-10-14</t>
        </is>
      </c>
      <c r="L59" s="12" t="inlineStr">
        <is>
          <t>-</t>
        </is>
      </c>
      <c r="M59" s="12" t="inlineStr">
        <is>
          <t>75.0</t>
        </is>
      </c>
      <c r="N59" s="21" t="inlineStr">
        <is>
          <t>NEW</t>
        </is>
      </c>
      <c r="O59" s="12" t="inlineStr">
        <is>
          <t>غير متوافقة مع اختصاصات KBM</t>
        </is>
      </c>
      <c r="P59" s="23">
        <f>HYPERLINK("https://kuwaitalyawm.media.gov.kw/Online/ViewAdsHTML?id=169860&amp;no=1", "عرض المصدر")</f>
        <v/>
      </c>
    </row>
    <row r="60">
      <c r="A60" s="13" t="inlineStr">
        <is>
          <t>703-280</t>
        </is>
      </c>
      <c r="B60" s="13" t="inlineStr">
        <is>
          <t>وزارة الصحة</t>
        </is>
      </c>
      <c r="C60" s="13" t="inlineStr">
        <is>
          <t>Jana Al-Obaid</t>
        </is>
      </c>
      <c r="D60" s="13" t="inlineStr">
        <is>
          <t>ممارسة رقم 703-280 - وزارة الصحة</t>
        </is>
      </c>
      <c r="E60" s="13" t="inlineStr">
        <is>
          <t>أعمال وتوريدات ممارسة رقم 703-280 لصالح وزارة الصحة وفقاً للشروط والمواصفات المعتمدة في وثائق الطرح.</t>
        </is>
      </c>
      <c r="F6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60" s="14" t="inlineStr">
        <is>
          <t>عام</t>
        </is>
      </c>
      <c r="H60" s="14" t="inlineStr">
        <is>
          <t>15.0%</t>
        </is>
      </c>
      <c r="I60" s="14" t="inlineStr">
        <is>
          <t>government</t>
        </is>
      </c>
      <c r="J60" s="14" t="inlineStr">
        <is>
          <t>2026-09-13</t>
        </is>
      </c>
      <c r="K60" s="14" t="inlineStr">
        <is>
          <t>2026-10-14</t>
        </is>
      </c>
      <c r="L60" s="14" t="inlineStr">
        <is>
          <t>-</t>
        </is>
      </c>
      <c r="M60" s="14" t="inlineStr">
        <is>
          <t>75.0</t>
        </is>
      </c>
      <c r="N60" s="21" t="inlineStr">
        <is>
          <t>NEW</t>
        </is>
      </c>
      <c r="O60" s="14" t="inlineStr">
        <is>
          <t>غير متوافقة مع اختصاصات KBM</t>
        </is>
      </c>
      <c r="P60" s="22">
        <f>HYPERLINK("https://kuwaitalyawm.media.gov.kw/Online/ViewAdsHTML?id=169861&amp;no=1", "عرض المصدر")</f>
        <v/>
      </c>
    </row>
    <row r="61">
      <c r="A61" s="11" t="inlineStr">
        <is>
          <t>5-3</t>
        </is>
      </c>
      <c r="B61" s="11" t="inlineStr">
        <is>
          <t>وزارة الصحة</t>
        </is>
      </c>
      <c r="C61" s="11" t="inlineStr">
        <is>
          <t>Jana Al-Obaid</t>
        </is>
      </c>
      <c r="D61" s="11" t="inlineStr">
        <is>
          <t>ممارسة رقم 5-3 - وزارة الصحة</t>
        </is>
      </c>
      <c r="E61" s="11" t="inlineStr">
        <is>
          <t>أعمال وتوريدات ممارسة رقم 5-3 لصالح وزارة الصحة وفقاً للشروط والمواصفات المعتمدة في وثائق الطرح.</t>
        </is>
      </c>
      <c r="F6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61" s="12" t="inlineStr">
        <is>
          <t>عام</t>
        </is>
      </c>
      <c r="H61" s="12" t="inlineStr">
        <is>
          <t>0.0%</t>
        </is>
      </c>
      <c r="I61" s="12" t="inlineStr">
        <is>
          <t>government</t>
        </is>
      </c>
      <c r="J61" s="12" t="inlineStr">
        <is>
          <t>2026-09-13</t>
        </is>
      </c>
      <c r="K61" s="18" t="inlineStr">
        <is>
          <t>2026-10-12</t>
        </is>
      </c>
      <c r="L61" s="12" t="inlineStr">
        <is>
          <t>-</t>
        </is>
      </c>
      <c r="M61" s="12" t="inlineStr">
        <is>
          <t>75.0</t>
        </is>
      </c>
      <c r="N61" s="21" t="inlineStr">
        <is>
          <t>NEW</t>
        </is>
      </c>
      <c r="O61" s="12" t="inlineStr">
        <is>
          <t>غير متوافقة مع اختصاصات KBM</t>
        </is>
      </c>
      <c r="P61" s="23">
        <f>HYPERLINK("https://kuwaitalyawm.media.gov.kw/Online/ViewAdsHTML?id=169862&amp;no=1", "عرض المصدر")</f>
        <v/>
      </c>
    </row>
    <row r="62">
      <c r="A62" s="13" t="inlineStr">
        <is>
          <t>13-4</t>
        </is>
      </c>
      <c r="B62" s="13" t="inlineStr">
        <is>
          <t>وزارة الصحة</t>
        </is>
      </c>
      <c r="C62" s="13" t="inlineStr">
        <is>
          <t>Jana Al-Obaid</t>
        </is>
      </c>
      <c r="D62" s="13" t="inlineStr">
        <is>
          <t>ممارسة رقم 13-4 - وزارة الصحة</t>
        </is>
      </c>
      <c r="E62" s="13" t="inlineStr">
        <is>
          <t>أعمال وتوريدات ممارسة رقم 13-4 لصالح وزارة الصحة وفقاً للشروط والمواصفات المعتمدة في وثائق الطرح.</t>
        </is>
      </c>
      <c r="F6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62" s="14" t="inlineStr">
        <is>
          <t>عام</t>
        </is>
      </c>
      <c r="H62" s="14" t="inlineStr">
        <is>
          <t>15.0%</t>
        </is>
      </c>
      <c r="I62" s="14" t="inlineStr">
        <is>
          <t>government</t>
        </is>
      </c>
      <c r="J62" s="14" t="inlineStr">
        <is>
          <t>2026-09-13</t>
        </is>
      </c>
      <c r="K62" s="18" t="inlineStr">
        <is>
          <t>2026-10-05</t>
        </is>
      </c>
      <c r="L62" s="14" t="inlineStr">
        <is>
          <t>-</t>
        </is>
      </c>
      <c r="M62" s="14" t="inlineStr">
        <is>
          <t>75.0</t>
        </is>
      </c>
      <c r="N62" s="21" t="inlineStr">
        <is>
          <t>NEW</t>
        </is>
      </c>
      <c r="O62" s="14" t="inlineStr">
        <is>
          <t>غير متوافقة مع اختصاصات KBM</t>
        </is>
      </c>
      <c r="P62" s="22">
        <f>HYPERLINK("https://kuwaitalyawm.media.gov.kw/Online/ViewAdsHTML?id=169863&amp;no=1", "عرض المصدر")</f>
        <v/>
      </c>
    </row>
    <row r="63">
      <c r="A63" s="11" t="inlineStr">
        <is>
          <t>1-5</t>
        </is>
      </c>
      <c r="B63" s="11" t="inlineStr">
        <is>
          <t>وزارة الصحة</t>
        </is>
      </c>
      <c r="C63" s="11" t="inlineStr">
        <is>
          <t>Jana Al-Obaid</t>
        </is>
      </c>
      <c r="D63" s="11" t="inlineStr">
        <is>
          <t>ممارسة رقم 1-5 - وزارة الصحة</t>
        </is>
      </c>
      <c r="E63" s="11" t="inlineStr">
        <is>
          <t>أعمال وتوريدات ممارسة رقم 1-5 لصالح وزارة الصحة وفقاً للشروط والمواصفات المعتمدة في وثائق الطرح.</t>
        </is>
      </c>
      <c r="F6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63" s="12" t="inlineStr">
        <is>
          <t>عام</t>
        </is>
      </c>
      <c r="H63" s="12" t="inlineStr">
        <is>
          <t>15.0%</t>
        </is>
      </c>
      <c r="I63" s="12" t="inlineStr">
        <is>
          <t>government</t>
        </is>
      </c>
      <c r="J63" s="12" t="inlineStr">
        <is>
          <t>2026-09-13</t>
        </is>
      </c>
      <c r="K63" s="18" t="inlineStr">
        <is>
          <t>2026-10-07</t>
        </is>
      </c>
      <c r="L63" s="12" t="inlineStr">
        <is>
          <t>-</t>
        </is>
      </c>
      <c r="M63" s="12" t="inlineStr">
        <is>
          <t>75.0</t>
        </is>
      </c>
      <c r="N63" s="21" t="inlineStr">
        <is>
          <t>NEW</t>
        </is>
      </c>
      <c r="O63" s="12" t="inlineStr">
        <is>
          <t>غير متوافقة مع اختصاصات KBM</t>
        </is>
      </c>
      <c r="P63" s="23">
        <f>HYPERLINK("https://kuwaitalyawm.media.gov.kw/Online/ViewAdsHTML?id=169864&amp;no=1", "عرض المصدر")</f>
        <v/>
      </c>
    </row>
    <row r="64">
      <c r="A64" s="13" t="inlineStr">
        <is>
          <t>1-8</t>
        </is>
      </c>
      <c r="B64" s="13" t="inlineStr">
        <is>
          <t>وزارة الصحة</t>
        </is>
      </c>
      <c r="C64" s="13" t="inlineStr">
        <is>
          <t>Jana Al-Obaid</t>
        </is>
      </c>
      <c r="D64" s="13" t="inlineStr">
        <is>
          <t>ممارسة رقم 1-8 - وزارة الصحة</t>
        </is>
      </c>
      <c r="E64" s="13" t="inlineStr">
        <is>
          <t>أعمال وتوريدات ممارسة رقم 1-8 لصالح وزارة الصحة وفقاً للشروط والمواصفات المعتمدة في وثائق الطرح.</t>
        </is>
      </c>
      <c r="F64"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64" s="14" t="inlineStr">
        <is>
          <t>عام</t>
        </is>
      </c>
      <c r="H64" s="14" t="inlineStr">
        <is>
          <t>15.0%</t>
        </is>
      </c>
      <c r="I64" s="14" t="inlineStr">
        <is>
          <t>government</t>
        </is>
      </c>
      <c r="J64" s="14" t="inlineStr">
        <is>
          <t>2026-09-13</t>
        </is>
      </c>
      <c r="K64" s="14" t="inlineStr">
        <is>
          <t>2026-09-21</t>
        </is>
      </c>
      <c r="L64" s="14" t="inlineStr">
        <is>
          <t>-</t>
        </is>
      </c>
      <c r="M64" s="14" t="inlineStr">
        <is>
          <t>75.0</t>
        </is>
      </c>
      <c r="N64" s="21" t="inlineStr">
        <is>
          <t>NEW</t>
        </is>
      </c>
      <c r="O64" s="14" t="inlineStr">
        <is>
          <t>غير متوافقة مع اختصاصات KBM</t>
        </is>
      </c>
      <c r="P64" s="22">
        <f>HYPERLINK("https://kuwaitalyawm.media.gov.kw/Online/ViewAdsHTML?id=169865&amp;no=1", "عرض المصدر")</f>
        <v/>
      </c>
    </row>
    <row r="65">
      <c r="A65" s="11" t="inlineStr">
        <is>
          <t>274-20</t>
        </is>
      </c>
      <c r="B65" s="11" t="inlineStr">
        <is>
          <t>وزارة الصحة</t>
        </is>
      </c>
      <c r="C65" s="11" t="inlineStr">
        <is>
          <t>Jana Al-Obaid</t>
        </is>
      </c>
      <c r="D65" s="11" t="inlineStr">
        <is>
          <t>ممارسة رقم 274-20 - وزارة الصحة</t>
        </is>
      </c>
      <c r="E65" s="11" t="inlineStr">
        <is>
          <t>أعمال وتوريدات ممارسة رقم 274-20 لصالح وزارة الصحة وفقاً للشروط والمواصفات المعتمدة في وثائق الطرح.</t>
        </is>
      </c>
      <c r="F6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65" s="12" t="inlineStr">
        <is>
          <t>عام</t>
        </is>
      </c>
      <c r="H65" s="12" t="inlineStr">
        <is>
          <t>0.0%</t>
        </is>
      </c>
      <c r="I65" s="12" t="inlineStr">
        <is>
          <t>government</t>
        </is>
      </c>
      <c r="J65" s="12" t="inlineStr">
        <is>
          <t>2026-09-13</t>
        </is>
      </c>
      <c r="K65" s="12" t="inlineStr">
        <is>
          <t>2026-09-28</t>
        </is>
      </c>
      <c r="L65" s="12" t="inlineStr">
        <is>
          <t>-</t>
        </is>
      </c>
      <c r="M65" s="12" t="inlineStr">
        <is>
          <t>1000.0</t>
        </is>
      </c>
      <c r="N65" s="21" t="inlineStr">
        <is>
          <t>NEW</t>
        </is>
      </c>
      <c r="O65" s="12" t="inlineStr">
        <is>
          <t>غير متوافقة مع اختصاصات KBM</t>
        </is>
      </c>
      <c r="P65" s="23">
        <f>HYPERLINK("https://kuwaitalyawm.media.gov.kw/Online/ViewAdsHTML?id=169866&amp;no=1", "عرض المصدر")</f>
        <v/>
      </c>
    </row>
    <row r="66">
      <c r="A66" s="13" t="inlineStr">
        <is>
          <t>334-331</t>
        </is>
      </c>
      <c r="B66" s="13" t="inlineStr">
        <is>
          <t>وزارة الصحة</t>
        </is>
      </c>
      <c r="C66" s="13" t="inlineStr">
        <is>
          <t>Jana Al-Obaid</t>
        </is>
      </c>
      <c r="D66" s="13" t="inlineStr">
        <is>
          <t>ممارسة رقم 334-331 - وزارة الصحة</t>
        </is>
      </c>
      <c r="E66" s="13" t="inlineStr">
        <is>
          <t>أعمال وتوريدات ممارسة رقم 334-331 لصالح وزارة الصحة وفقاً للشروط والمواصفات المعتمدة في وثائق الطرح.</t>
        </is>
      </c>
      <c r="F6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66" s="14" t="inlineStr">
        <is>
          <t>عام</t>
        </is>
      </c>
      <c r="H66" s="14" t="inlineStr">
        <is>
          <t>0.0%</t>
        </is>
      </c>
      <c r="I66" s="14" t="inlineStr">
        <is>
          <t>government</t>
        </is>
      </c>
      <c r="J66" s="14" t="inlineStr">
        <is>
          <t>2026-09-13</t>
        </is>
      </c>
      <c r="K66" s="14" t="inlineStr">
        <is>
          <t>2026-10-14</t>
        </is>
      </c>
      <c r="L66" s="14" t="inlineStr">
        <is>
          <t>-</t>
        </is>
      </c>
      <c r="M66" s="14" t="inlineStr">
        <is>
          <t>75.0</t>
        </is>
      </c>
      <c r="N66" s="21" t="inlineStr">
        <is>
          <t>NEW</t>
        </is>
      </c>
      <c r="O66" s="14" t="inlineStr">
        <is>
          <t>غير متوافقة مع اختصاصات KBM</t>
        </is>
      </c>
      <c r="P66" s="22">
        <f>HYPERLINK("https://kuwaitalyawm.media.gov.kw/Online/ViewAdsHTML?id=169867&amp;no=1", "عرض المصدر")</f>
        <v/>
      </c>
    </row>
    <row r="67">
      <c r="A67" s="11" t="inlineStr">
        <is>
          <t>2026/2</t>
        </is>
      </c>
      <c r="B67" s="11" t="inlineStr">
        <is>
          <t>وزارة الأوقاف والشئون الإسلامية</t>
        </is>
      </c>
      <c r="C67" s="11" t="inlineStr">
        <is>
          <t>Eiman Ashkanani</t>
        </is>
      </c>
      <c r="D67" s="11" t="inlineStr">
        <is>
          <t>مناقصة رقم 2026/2: الخاصة بأعمال توريد وتركيب سجاد ولباد للمساجد التابعة</t>
        </is>
      </c>
      <c r="E6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15.0%</t>
        </is>
      </c>
      <c r="I67" s="12" t="inlineStr">
        <is>
          <t>government</t>
        </is>
      </c>
      <c r="J67" s="12" t="inlineStr">
        <is>
          <t>2026-09-27</t>
        </is>
      </c>
      <c r="K67" s="12" t="inlineStr">
        <is>
          <t>2026-10-15</t>
        </is>
      </c>
      <c r="L67" s="12" t="inlineStr">
        <is>
          <t>500.0</t>
        </is>
      </c>
      <c r="M67" s="12" t="inlineStr">
        <is>
          <t>500.0</t>
        </is>
      </c>
      <c r="N67" s="21" t="inlineStr">
        <is>
          <t>NEW</t>
        </is>
      </c>
      <c r="O67" s="12" t="inlineStr">
        <is>
          <t>غير متوافقة مع اختصاصات KBM</t>
        </is>
      </c>
      <c r="P67" s="23">
        <f>HYPERLINK("https://kuwaitalyawm.media.gov.kw/Online/ViewAdsHTML?id=171071&amp;no=1", "عرض المصدر")</f>
        <v/>
      </c>
    </row>
    <row r="68">
      <c r="A68" s="13" t="inlineStr">
        <is>
          <t>2027/2026/1443</t>
        </is>
      </c>
      <c r="B68" s="13" t="inlineStr">
        <is>
          <t>المؤسسة العامة للرعاية السكنية</t>
        </is>
      </c>
      <c r="C68" s="13" t="inlineStr">
        <is>
          <t>Eiman Ashkanani</t>
        </is>
      </c>
      <c r="D68" s="13" t="inlineStr">
        <is>
          <t>مناقصة رقم 2027/2026/1443 - المؤسسة العامة للرعاية السكنية</t>
        </is>
      </c>
      <c r="E68" s="13" t="inlineStr">
        <is>
          <t>أعمال وتوريدات مناقصة رقم 2027/2026/1443 لصالح المؤسسة العامة للرعاية السكنية وفقاً للشروط والمواصفات المعتمدة في وثائق الطرح.</t>
        </is>
      </c>
      <c r="F6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68" s="14" t="inlineStr">
        <is>
          <t>عام</t>
        </is>
      </c>
      <c r="H68" s="14" t="inlineStr">
        <is>
          <t>28.0%</t>
        </is>
      </c>
      <c r="I68" s="14" t="inlineStr">
        <is>
          <t>government</t>
        </is>
      </c>
      <c r="J68" s="14" t="inlineStr">
        <is>
          <t>2026-08-30</t>
        </is>
      </c>
      <c r="K68" s="14" t="inlineStr">
        <is>
          <t>2026-09-30</t>
        </is>
      </c>
      <c r="L68" s="14" t="inlineStr">
        <is>
          <t>500000.0</t>
        </is>
      </c>
      <c r="M68" s="14" t="inlineStr">
        <is>
          <t>3500.0</t>
        </is>
      </c>
      <c r="N68" s="21" t="inlineStr">
        <is>
          <t>NEW</t>
        </is>
      </c>
      <c r="O68" s="14" t="inlineStr">
        <is>
          <t>غير متوافقة مع اختصاصات KBM</t>
        </is>
      </c>
      <c r="P68" s="22">
        <f>HYPERLINK("https://kuwaitalyawm.media.gov.kw/Online/ViewAdsHTML?id=171709&amp;no=1", "عرض المصدر")</f>
        <v/>
      </c>
    </row>
    <row r="69">
      <c r="A69" s="11" t="inlineStr">
        <is>
          <t>2027/2026/1444</t>
        </is>
      </c>
      <c r="B69" s="11" t="inlineStr">
        <is>
          <t>المؤسسة العامة للرعاية السكنية</t>
        </is>
      </c>
      <c r="C69" s="11" t="inlineStr">
        <is>
          <t>Eiman Ashkanani</t>
        </is>
      </c>
      <c r="D69" s="11" t="inlineStr">
        <is>
          <t>مناقصة رقم 2027/2026/1444 - المؤسسة العامة للرعاية السكنية</t>
        </is>
      </c>
      <c r="E69" s="11" t="inlineStr">
        <is>
          <t>أعمال وتوريدات مناقصة رقم 2027/2026/1444 لصالح المؤسسة العامة للرعاية السكنية وفقاً للشروط والمواصفات المعتمدة في وثائق الطرح.</t>
        </is>
      </c>
      <c r="F6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69" s="12" t="inlineStr">
        <is>
          <t>عام</t>
        </is>
      </c>
      <c r="H69" s="12" t="inlineStr">
        <is>
          <t>28.0%</t>
        </is>
      </c>
      <c r="I69" s="12" t="inlineStr">
        <is>
          <t>government</t>
        </is>
      </c>
      <c r="J69" s="12" t="inlineStr">
        <is>
          <t>2026-08-30</t>
        </is>
      </c>
      <c r="K69" s="12" t="inlineStr">
        <is>
          <t>2026-09-30</t>
        </is>
      </c>
      <c r="L69" s="12" t="inlineStr">
        <is>
          <t>500000.0</t>
        </is>
      </c>
      <c r="M69" s="12" t="inlineStr">
        <is>
          <t>3500.0</t>
        </is>
      </c>
      <c r="N69" s="21" t="inlineStr">
        <is>
          <t>NEW</t>
        </is>
      </c>
      <c r="O69" s="12" t="inlineStr">
        <is>
          <t>غير متوافقة مع اختصاصات KBM</t>
        </is>
      </c>
      <c r="P69" s="23">
        <f>HYPERLINK("https://kuwaitalyawm.media.gov.kw/Online/ViewAdsHTML?id=171710&amp;no=1", "عرض المصدر")</f>
        <v/>
      </c>
    </row>
    <row r="70">
      <c r="A70" s="13" t="inlineStr">
        <is>
          <t>26/27-11</t>
        </is>
      </c>
      <c r="B70" s="13" t="inlineStr">
        <is>
          <t>الشركة الكويتية لتزويد الطائرات بالوقود</t>
        </is>
      </c>
      <c r="C70" s="13" t="inlineStr">
        <is>
          <t>Eiman Ashkanani</t>
        </is>
      </c>
      <c r="D70" s="13" t="inlineStr">
        <is>
          <t>مناقصة رقم 26/27-11 - الشركة الكويتية لتزويد الطائرات بالوقود</t>
        </is>
      </c>
      <c r="E7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2026-09-27</t>
        </is>
      </c>
      <c r="K70" s="14" t="inlineStr">
        <is>
          <t>-</t>
        </is>
      </c>
      <c r="L70" s="14" t="inlineStr">
        <is>
          <t>37400.0</t>
        </is>
      </c>
      <c r="M70" s="14" t="inlineStr">
        <is>
          <t>-</t>
        </is>
      </c>
      <c r="N70" s="21" t="inlineStr">
        <is>
          <t>NEW</t>
        </is>
      </c>
      <c r="O70" s="14" t="inlineStr">
        <is>
          <t>غير متوافقة مع اختصاصات KBM</t>
        </is>
      </c>
      <c r="P70" s="22">
        <f>HYPERLINK("https://kuwaitalyawm.media.gov.kw/Online/ViewAdsHTML?id=171719&amp;no=1", "عرض المصدر")</f>
        <v/>
      </c>
    </row>
    <row r="71">
      <c r="A71" s="11" t="inlineStr">
        <is>
          <t>25/26-38</t>
        </is>
      </c>
      <c r="B71" s="11" t="inlineStr">
        <is>
          <t>الشركة الكويتية لتزويد الطائرات بالوقود</t>
        </is>
      </c>
      <c r="C71" s="11" t="inlineStr">
        <is>
          <t>Eiman Ashkanani</t>
        </is>
      </c>
      <c r="D71" s="11" t="inlineStr">
        <is>
          <t>مناقصة رقم 25/26/38: تاريخ الاجتماع التمهيدي واخر موعد لشراء وثائق المناقصة</t>
        </is>
      </c>
      <c r="E7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0.0%</t>
        </is>
      </c>
      <c r="I71" s="12" t="inlineStr">
        <is>
          <t>government</t>
        </is>
      </c>
      <c r="J71" s="12" t="inlineStr">
        <is>
          <t>2026-08-30</t>
        </is>
      </c>
      <c r="K71" s="12" t="inlineStr">
        <is>
          <t>2026-08-30</t>
        </is>
      </c>
      <c r="L71" s="12" t="inlineStr">
        <is>
          <t>1000.0</t>
        </is>
      </c>
      <c r="M71" s="12" t="inlineStr">
        <is>
          <t>100.0</t>
        </is>
      </c>
      <c r="N71" s="21" t="inlineStr">
        <is>
          <t>NEW</t>
        </is>
      </c>
      <c r="O71" s="12" t="inlineStr">
        <is>
          <t>غير متوافقة مع اختصاصات KBM</t>
        </is>
      </c>
      <c r="P71" s="23">
        <f>HYPERLINK("https://kuwaitalyawm.media.gov.kw/Online/ViewAdsHTML?id=171720&amp;no=1", "عرض المصدر")</f>
        <v/>
      </c>
    </row>
    <row r="72">
      <c r="A72" s="13" t="inlineStr">
        <is>
          <t>23/24-30</t>
        </is>
      </c>
      <c r="B72" s="13" t="inlineStr">
        <is>
          <t>الشركة الكويتية لتزويد الطائرات بالوقود</t>
        </is>
      </c>
      <c r="C72" s="13" t="inlineStr">
        <is>
          <t>Eiman Ashkanani</t>
        </is>
      </c>
      <c r="D7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7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2026-09-13</t>
        </is>
      </c>
      <c r="K72" s="14" t="inlineStr">
        <is>
          <t>2026-10-13</t>
        </is>
      </c>
      <c r="L72" s="14" t="inlineStr">
        <is>
          <t>-</t>
        </is>
      </c>
      <c r="M72" s="14" t="inlineStr">
        <is>
          <t>-</t>
        </is>
      </c>
      <c r="N72" s="21" t="inlineStr">
        <is>
          <t>NEW</t>
        </is>
      </c>
      <c r="O72" s="14" t="inlineStr">
        <is>
          <t>غير متوافقة مع اختصاصات KBM</t>
        </is>
      </c>
      <c r="P72" s="22">
        <f>HYPERLINK("https://kuwaitalyawm.media.gov.kw/Online/ViewAdsHTML?id=171721&amp;no=1", "عرض المصدر")</f>
        <v/>
      </c>
    </row>
    <row r="73">
      <c r="A73" s="11" t="inlineStr">
        <is>
          <t>26/25/33</t>
        </is>
      </c>
      <c r="B73" s="11" t="inlineStr">
        <is>
          <t>الشركة الكويتية لتزويد الطائرات بالوقود</t>
        </is>
      </c>
      <c r="C73" s="11" t="inlineStr">
        <is>
          <t>Eiman Ashkanani</t>
        </is>
      </c>
      <c r="D7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7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2026-09-27</t>
        </is>
      </c>
      <c r="K73" s="12" t="inlineStr">
        <is>
          <t>2026-09-22</t>
        </is>
      </c>
      <c r="L73" s="12" t="inlineStr">
        <is>
          <t>-</t>
        </is>
      </c>
      <c r="M73" s="12" t="inlineStr">
        <is>
          <t>-</t>
        </is>
      </c>
      <c r="N73" s="21" t="inlineStr">
        <is>
          <t>NEW</t>
        </is>
      </c>
      <c r="O73" s="12" t="inlineStr">
        <is>
          <t>غير متوافقة مع اختصاصات KBM</t>
        </is>
      </c>
      <c r="P73" s="23">
        <f>HYPERLINK("https://kuwaitalyawm.media.gov.kw/Online/ViewAdsHTML?id=171722&amp;no=1", "عرض المصدر")</f>
        <v/>
      </c>
    </row>
    <row r="74">
      <c r="A74" s="13" t="inlineStr">
        <is>
          <t>PR 901782</t>
        </is>
      </c>
      <c r="B74" s="13" t="inlineStr">
        <is>
          <t>شركة البترول الكويتية العالمية</t>
        </is>
      </c>
      <c r="C74" s="13" t="inlineStr">
        <is>
          <t>Eiman Ashkanani</t>
        </is>
      </c>
      <c r="D74" s="13" t="inlineStr">
        <is>
          <t>مناقصة رقم PR 901782 - شركة البترول الكويتية العالمية</t>
        </is>
      </c>
      <c r="E74" s="13" t="inlineStr">
        <is>
          <t>أعمال وتوريدات مناقصة رقم PR 901782 لصالح شركة البترول الكويتية العالمية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28.0%</t>
        </is>
      </c>
      <c r="I74" s="14" t="inlineStr">
        <is>
          <t>government</t>
        </is>
      </c>
      <c r="J74" s="14" t="inlineStr">
        <is>
          <t>2026-09-27</t>
        </is>
      </c>
      <c r="K74" s="14" t="inlineStr">
        <is>
          <t>2026-10-27</t>
        </is>
      </c>
      <c r="L74" s="14" t="inlineStr">
        <is>
          <t>15000.0</t>
        </is>
      </c>
      <c r="M74" s="14" t="inlineStr">
        <is>
          <t>-</t>
        </is>
      </c>
      <c r="N74" s="21" t="inlineStr">
        <is>
          <t>NEW</t>
        </is>
      </c>
      <c r="O74" s="14" t="inlineStr">
        <is>
          <t>غير متوافقة مع اختصاصات KBM</t>
        </is>
      </c>
      <c r="P74" s="22">
        <f>HYPERLINK("https://kuwaitalyawm.media.gov.kw/Online/ViewAdsHTML?id=171723&amp;no=1", "عرض المصدر")</f>
        <v/>
      </c>
    </row>
    <row r="75">
      <c r="A75" s="11" t="inlineStr">
        <is>
          <t>CA/CPC/0964</t>
        </is>
      </c>
      <c r="B75" s="11" t="inlineStr">
        <is>
          <t>شركة البترول الوطنية الكويتية</t>
        </is>
      </c>
      <c r="C75" s="11" t="inlineStr">
        <is>
          <t>Abrar Al-Qallaf</t>
        </is>
      </c>
      <c r="D75" s="11" t="inlineStr">
        <is>
          <t>ممارسة رقم CA/CPC/0964: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CA/CPC/0964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2026-09-06</t>
        </is>
      </c>
      <c r="K75" s="12" t="inlineStr">
        <is>
          <t>-</t>
        </is>
      </c>
      <c r="L75" s="12" t="inlineStr">
        <is>
          <t>-</t>
        </is>
      </c>
      <c r="M75" s="12" t="inlineStr">
        <is>
          <t>-</t>
        </is>
      </c>
      <c r="N75" s="21" t="inlineStr">
        <is>
          <t>NEW</t>
        </is>
      </c>
      <c r="O75" s="12" t="inlineStr">
        <is>
          <t>غير متوافقة</t>
        </is>
      </c>
      <c r="P75" s="23">
        <f>HYPERLINK("https://kuwaitalyawm.media.gov.kw/Online/ViewAdsHTML?id=171736&amp;no=1", "عرض المصدر")</f>
        <v/>
      </c>
    </row>
    <row r="76">
      <c r="A76" s="13" t="inlineStr">
        <is>
          <t>RFQ/2167273</t>
        </is>
      </c>
      <c r="B76" s="13" t="inlineStr">
        <is>
          <t>شركة البترول الوطنية الكويتية</t>
        </is>
      </c>
      <c r="C76" s="13" t="inlineStr">
        <is>
          <t>Abrar Al-Qallaf</t>
        </is>
      </c>
      <c r="D76" s="13" t="inlineStr">
        <is>
          <t>ممارسة رقم RFQ/2167273: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RFQ/2167273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2026-09-27</t>
        </is>
      </c>
      <c r="L76" s="14" t="inlineStr">
        <is>
          <t>5000.0</t>
        </is>
      </c>
      <c r="M76" s="14" t="inlineStr">
        <is>
          <t>-</t>
        </is>
      </c>
      <c r="N76" s="21" t="inlineStr">
        <is>
          <t>NEW</t>
        </is>
      </c>
      <c r="O76" s="14" t="inlineStr">
        <is>
          <t>غير متوافقة</t>
        </is>
      </c>
      <c r="P76" s="22">
        <f>HYPERLINK("https://kuwaitalyawm.media.gov.kw/Online/ViewAdsHTML?id=171743&amp;no=1", "عرض المصدر")</f>
        <v/>
      </c>
    </row>
    <row r="77">
      <c r="A77" s="11" t="inlineStr">
        <is>
          <t>RFQ/2167277</t>
        </is>
      </c>
      <c r="B77" s="11" t="inlineStr">
        <is>
          <t>شركة البترول الوطنية الكويتية</t>
        </is>
      </c>
      <c r="C77" s="11" t="inlineStr">
        <is>
          <t>Abrar Al-Qallaf</t>
        </is>
      </c>
      <c r="D77" s="11" t="inlineStr">
        <is>
          <t>ممارسة رقم RFQ/2167277: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RFQ/2167277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2026-09-27</t>
        </is>
      </c>
      <c r="K77" s="12" t="inlineStr">
        <is>
          <t>2026-12-28</t>
        </is>
      </c>
      <c r="L77" s="12" t="inlineStr">
        <is>
          <t>1000.0</t>
        </is>
      </c>
      <c r="M77" s="12" t="inlineStr">
        <is>
          <t>100.0</t>
        </is>
      </c>
      <c r="N77" s="21" t="inlineStr">
        <is>
          <t>NEW</t>
        </is>
      </c>
      <c r="O77" s="12" t="inlineStr">
        <is>
          <t>غير متوافقة</t>
        </is>
      </c>
      <c r="P77" s="23">
        <f>HYPERLINK("https://kuwaitalyawm.media.gov.kw/Online/ViewAdsHTML?id=171744&amp;no=1", "عرض المصدر")</f>
        <v/>
      </c>
    </row>
    <row r="78">
      <c r="A78" s="13" t="inlineStr">
        <is>
          <t>RFQ/2163705</t>
        </is>
      </c>
      <c r="B78" s="13" t="inlineStr">
        <is>
          <t>شركة البترول الوطنية الكويتية</t>
        </is>
      </c>
      <c r="C78" s="13" t="inlineStr">
        <is>
          <t>Abrar Al-Qallaf</t>
        </is>
      </c>
      <c r="D78" s="13" t="inlineStr">
        <is>
          <t>ممارسة رقم RFQ/2163705: 2163705 - شركة البترول الوطنية الكويتية</t>
        </is>
      </c>
      <c r="E78" s="13" t="inlineStr">
        <is>
          <t>أعمال وتوريدات تخصصية لزوم شركة البترول الوطنية الكويتية حسب وثائق الممارسة رقم RFQ/2163705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2026-08-30</t>
        </is>
      </c>
      <c r="K78" s="18" t="inlineStr">
        <is>
          <t>2026-10-05</t>
        </is>
      </c>
      <c r="L78" s="14" t="inlineStr">
        <is>
          <t>-</t>
        </is>
      </c>
      <c r="M78" s="14" t="inlineStr">
        <is>
          <t>-</t>
        </is>
      </c>
      <c r="N78" s="21" t="inlineStr">
        <is>
          <t>NEW</t>
        </is>
      </c>
      <c r="O78" s="14" t="inlineStr">
        <is>
          <t>غير متوافقة</t>
        </is>
      </c>
      <c r="P78" s="22">
        <f>HYPERLINK("https://kuwaitalyawm.media.gov.kw/Online/ViewAdsHTML?id=171745&amp;no=1", "عرض المصدر")</f>
        <v/>
      </c>
    </row>
    <row r="79">
      <c r="A79" s="11" t="inlineStr">
        <is>
          <t>2027/2026/24</t>
        </is>
      </c>
      <c r="B79" s="11" t="inlineStr">
        <is>
          <t>وزارة الداخلية</t>
        </is>
      </c>
      <c r="C79" s="11" t="inlineStr">
        <is>
          <t>Khaled Alabdallah</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1" t="inlineStr">
        <is>
          <t>NEW</t>
        </is>
      </c>
      <c r="O79" s="12" t="inlineStr">
        <is>
          <t>فرصة استراتيجية رئيسية (موصى بالتقديم)</t>
        </is>
      </c>
      <c r="P79" s="23">
        <f>HYPERLINK("https://kuwaitalyawm.media.gov.kw/Online/ViewAdsHTML?id=170975&amp;no=1", "عرض المصدر")</f>
        <v/>
      </c>
    </row>
    <row r="80">
      <c r="A80" s="13" t="inlineStr">
        <is>
          <t>241121234261</t>
        </is>
      </c>
      <c r="B80" s="13" t="inlineStr">
        <is>
          <t>وزارة الدفاع</t>
        </is>
      </c>
      <c r="C80" s="13" t="inlineStr">
        <is>
          <t>Eiman Ashkanani</t>
        </is>
      </c>
      <c r="D80" s="13" t="inlineStr">
        <is>
          <t>مناقصة رقم 241121234261: لتوريد إطارات للآليات العسكرية الثقيلة والخفيفة لمدة سنة</t>
        </is>
      </c>
      <c r="E8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0" s="13" t="inlineStr">
        <is>
          <t>• 1/ تقديم كتاب تفويض من الشركة بشراء وثائق المناقصة.
• 2/ تقديم صورة عن شهادة دعم العمالة الوطنية لدى الشركات غير الحكومية ( السنوية).</t>
        </is>
      </c>
      <c r="G80" s="14" t="inlineStr">
        <is>
          <t>عام</t>
        </is>
      </c>
      <c r="H80" s="14" t="inlineStr">
        <is>
          <t>15.0%</t>
        </is>
      </c>
      <c r="I80" s="14" t="inlineStr">
        <is>
          <t>government</t>
        </is>
      </c>
      <c r="J80" s="14" t="inlineStr">
        <is>
          <t>2026-09-20</t>
        </is>
      </c>
      <c r="K80" s="14" t="inlineStr">
        <is>
          <t>-</t>
        </is>
      </c>
      <c r="L80" s="14" t="inlineStr">
        <is>
          <t>14000.0</t>
        </is>
      </c>
      <c r="M80" s="14" t="inlineStr">
        <is>
          <t>1000.0</t>
        </is>
      </c>
      <c r="N80" s="21" t="inlineStr">
        <is>
          <t>NEW</t>
        </is>
      </c>
      <c r="O80" s="14" t="inlineStr">
        <is>
          <t>غير متوافقة مع اختصاصات KBM</t>
        </is>
      </c>
      <c r="P80" s="22">
        <f>HYPERLINK("https://kuwaitalyawm.media.gov.kw/Online/ViewAdsHTML?id=170978&amp;no=1", "عرض المصدر")</f>
        <v/>
      </c>
    </row>
    <row r="81">
      <c r="A81" s="11" t="inlineStr">
        <is>
          <t>241113235253</t>
        </is>
      </c>
      <c r="B81" s="11" t="inlineStr">
        <is>
          <t>وزارة الدفاع</t>
        </is>
      </c>
      <c r="C81" s="11" t="inlineStr">
        <is>
          <t>Eiman Ashkanani</t>
        </is>
      </c>
      <c r="D81" s="11" t="inlineStr">
        <is>
          <t>مناقصة رقم 241113235253: لإصلاح وصيانة القاطرات والمقطورات</t>
        </is>
      </c>
      <c r="E81" s="11" t="inlineStr">
        <is>
          <t>أعمال وتوريدات لإصلاح وصيانة القاطرات والمقطورات لصالح وزارة الدفاع وفقاً للشروط والمواصفات المعتمدة في وثائق الطرح.</t>
        </is>
      </c>
      <c r="F8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1" s="12" t="inlineStr">
        <is>
          <t>عام</t>
        </is>
      </c>
      <c r="H81" s="12" t="inlineStr">
        <is>
          <t>15.0%</t>
        </is>
      </c>
      <c r="I81" s="12" t="inlineStr">
        <is>
          <t>government</t>
        </is>
      </c>
      <c r="J81" s="12" t="inlineStr">
        <is>
          <t>2026-09-20</t>
        </is>
      </c>
      <c r="K81" s="12" t="inlineStr">
        <is>
          <t>2026-10-04</t>
        </is>
      </c>
      <c r="L81" s="12" t="inlineStr">
        <is>
          <t>2.0</t>
        </is>
      </c>
      <c r="M81" s="12" t="inlineStr">
        <is>
          <t>1000.0</t>
        </is>
      </c>
      <c r="N81" s="21" t="inlineStr">
        <is>
          <t>NEW</t>
        </is>
      </c>
      <c r="O81" s="12" t="inlineStr">
        <is>
          <t>غير متوافقة مع اختصاصات KBM</t>
        </is>
      </c>
      <c r="P81" s="23">
        <f>HYPERLINK("https://kuwaitalyawm.media.gov.kw/Online/ViewAdsHTML?id=170979&amp;no=1", "عرض المصدر")</f>
        <v/>
      </c>
    </row>
    <row r="82">
      <c r="A82" s="13" t="inlineStr">
        <is>
          <t>2027/2026/18</t>
        </is>
      </c>
      <c r="B82" s="13" t="inlineStr">
        <is>
          <t>وزارة الداخلية</t>
        </is>
      </c>
      <c r="C82" s="13" t="inlineStr">
        <is>
          <t>Khaled Alabdallah</t>
        </is>
      </c>
      <c r="D82" s="13" t="inlineStr">
        <is>
          <t>مناقصة رقم 2027/2026/18: توريد المواد الكيميائية ـ الطلبية السنوية للسنة المالية</t>
        </is>
      </c>
      <c r="E8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2026-09-06</t>
        </is>
      </c>
      <c r="K82" s="18" t="inlineStr">
        <is>
          <t>2026-10-12</t>
        </is>
      </c>
      <c r="L82" s="14" t="inlineStr">
        <is>
          <t>-</t>
        </is>
      </c>
      <c r="M82" s="14" t="inlineStr">
        <is>
          <t>-</t>
        </is>
      </c>
      <c r="N82" s="21" t="inlineStr">
        <is>
          <t>NEW</t>
        </is>
      </c>
      <c r="O82" s="14" t="inlineStr">
        <is>
          <t>غير متوافقة مع اختصاصات KBM</t>
        </is>
      </c>
      <c r="P82" s="22">
        <f>HYPERLINK("https://kuwaitalyawm.media.gov.kw/Online/ViewAdsHTML?id=169855&amp;no=1", "عرض المصدر")</f>
        <v/>
      </c>
    </row>
    <row r="83">
      <c r="A83" s="11" t="inlineStr">
        <is>
          <t>2027/2026/33</t>
        </is>
      </c>
      <c r="B83" s="11" t="inlineStr">
        <is>
          <t>وزارة الداخلية</t>
        </is>
      </c>
      <c r="C83" s="11" t="inlineStr">
        <is>
          <t>Khaled Alabdallah</t>
        </is>
      </c>
      <c r="D83" s="11" t="inlineStr">
        <is>
          <t>مناقصة رقم 2027/2026/33 - وزارة الداخلية</t>
        </is>
      </c>
      <c r="E83" s="11" t="inlineStr">
        <is>
          <t>أعمال وتوريدات مناقصة رقم 2027/2026/33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15.0%</t>
        </is>
      </c>
      <c r="I83" s="12" t="inlineStr">
        <is>
          <t>government</t>
        </is>
      </c>
      <c r="J83" s="12" t="inlineStr">
        <is>
          <t>2026-09-13</t>
        </is>
      </c>
      <c r="K83" s="12" t="inlineStr">
        <is>
          <t>2026-11-09</t>
        </is>
      </c>
      <c r="L83" s="12" t="inlineStr">
        <is>
          <t>-</t>
        </is>
      </c>
      <c r="M83" s="12" t="inlineStr">
        <is>
          <t>75.0</t>
        </is>
      </c>
      <c r="N83" s="21" t="inlineStr">
        <is>
          <t>NEW</t>
        </is>
      </c>
      <c r="O83" s="12" t="inlineStr">
        <is>
          <t>غير متوافقة مع اختصاصات KBM</t>
        </is>
      </c>
      <c r="P83" s="23">
        <f>HYPERLINK("https://kuwaitalyawm.media.gov.kw/Online/ViewAdsHTML?id=169856&amp;no=1", "عرض المصدر")</f>
        <v/>
      </c>
    </row>
    <row r="84">
      <c r="A84" s="13" t="inlineStr">
        <is>
          <t>2027/2026/1529</t>
        </is>
      </c>
      <c r="B84" s="13" t="inlineStr">
        <is>
          <t>المؤسسة العامة للرعاية السكنية</t>
        </is>
      </c>
      <c r="C84" s="13" t="inlineStr">
        <is>
          <t>Eiman Ashkanani</t>
        </is>
      </c>
      <c r="D84" s="13" t="inlineStr">
        <is>
          <t>مناقصة رقم 2027/2026/1529 - المؤسسة العامة للرعاية السكنية</t>
        </is>
      </c>
      <c r="E84" s="13" t="inlineStr">
        <is>
          <t>أعمال وتوريدات مناقصة رقم 2027/2026/1529 لصالح المؤسسة العامة للرعاية السكنية وفقاً للشروط والمواصفات المعتمدة في وثائق الطرح.</t>
        </is>
      </c>
      <c r="F84" s="13" t="inlineStr">
        <is>
          <t>• - ورقتا صيغة العطاء وإجمالي قيمة العطاء (نسخاً أصلية) مستكملة البيانات ومختومة وموقعة.</t>
        </is>
      </c>
      <c r="G84" s="14" t="inlineStr">
        <is>
          <t>عام</t>
        </is>
      </c>
      <c r="H84" s="14" t="inlineStr">
        <is>
          <t>0.0%</t>
        </is>
      </c>
      <c r="I84" s="14" t="inlineStr">
        <is>
          <t>government</t>
        </is>
      </c>
      <c r="J84" s="14" t="inlineStr">
        <is>
          <t>2026-09-13</t>
        </is>
      </c>
      <c r="K84" s="14" t="inlineStr">
        <is>
          <t>-</t>
        </is>
      </c>
      <c r="L84" s="14" t="inlineStr">
        <is>
          <t>6000.0</t>
        </is>
      </c>
      <c r="M84" s="14" t="inlineStr">
        <is>
          <t>150.0</t>
        </is>
      </c>
      <c r="N84" s="21" t="inlineStr">
        <is>
          <t>NEW</t>
        </is>
      </c>
      <c r="O84" s="14" t="inlineStr">
        <is>
          <t>غير متوافقة مع اختصاصات KBM</t>
        </is>
      </c>
      <c r="P84" s="22">
        <f>HYPERLINK("https://kuwaitalyawm.media.gov.kw/Online/ViewAdsHTML?id=170492&amp;no=1", "عرض المصدر")</f>
        <v/>
      </c>
    </row>
    <row r="85">
      <c r="A85" s="11" t="inlineStr">
        <is>
          <t>2027/2026/1526</t>
        </is>
      </c>
      <c r="B85" s="11" t="inlineStr">
        <is>
          <t>المؤسسة العامة للرعاية السكنية</t>
        </is>
      </c>
      <c r="C85" s="11" t="inlineStr">
        <is>
          <t>Eiman Ashkanani</t>
        </is>
      </c>
      <c r="D85" s="11" t="inlineStr">
        <is>
          <t>مناقصة رقم 2027/2026/1526 - المؤسسة العامة للرعاية السكنية</t>
        </is>
      </c>
      <c r="E85" s="11" t="inlineStr">
        <is>
          <t>أعمال وتوريدات مناقصة رقم 2027/2026/1526 لصالح المؤسسة العامة للرعاية السكنية وفقاً للشروط والمواصفات المعتمدة في وثائق الطرح.</t>
        </is>
      </c>
      <c r="F8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85" s="12" t="inlineStr">
        <is>
          <t>عام</t>
        </is>
      </c>
      <c r="H85" s="12" t="inlineStr">
        <is>
          <t>28.0%</t>
        </is>
      </c>
      <c r="I85" s="12" t="inlineStr">
        <is>
          <t>government</t>
        </is>
      </c>
      <c r="J85" s="12" t="inlineStr">
        <is>
          <t>2026-09-13</t>
        </is>
      </c>
      <c r="K85" s="18" t="inlineStr">
        <is>
          <t>2026-10-11</t>
        </is>
      </c>
      <c r="L85" s="12" t="inlineStr">
        <is>
          <t>10000.0</t>
        </is>
      </c>
      <c r="M85" s="12" t="inlineStr">
        <is>
          <t>300.0</t>
        </is>
      </c>
      <c r="N85" s="21" t="inlineStr">
        <is>
          <t>NEW</t>
        </is>
      </c>
      <c r="O85" s="12" t="inlineStr">
        <is>
          <t>غير متوافقة مع اختصاصات KBM</t>
        </is>
      </c>
      <c r="P85" s="23">
        <f>HYPERLINK("https://kuwaitalyawm.media.gov.kw/Online/ViewAdsHTML?id=170493&amp;no=1", "عرض المصدر")</f>
        <v/>
      </c>
    </row>
    <row r="86">
      <c r="A86" s="13" t="inlineStr">
        <is>
          <t>2026/09/07</t>
        </is>
      </c>
      <c r="B86" s="13" t="inlineStr">
        <is>
          <t>شركة إدارة المرافق العمومية</t>
        </is>
      </c>
      <c r="C86" s="13" t="inlineStr">
        <is>
          <t>Eiman Ashkanani</t>
        </is>
      </c>
      <c r="D86" s="13" t="inlineStr">
        <is>
          <t>مناقصة رقم 2026/09/07: بخصـوص القيام بأعمال الصيانة والإصلاح وإعادة التأهيل</t>
        </is>
      </c>
      <c r="E8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8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86" s="14" t="inlineStr">
        <is>
          <t>عام</t>
        </is>
      </c>
      <c r="H86" s="14" t="inlineStr">
        <is>
          <t>0.0%</t>
        </is>
      </c>
      <c r="I86" s="14" t="inlineStr">
        <is>
          <t>government</t>
        </is>
      </c>
      <c r="J86" s="14" t="inlineStr">
        <is>
          <t>2026-09-13</t>
        </is>
      </c>
      <c r="K86" s="18" t="inlineStr">
        <is>
          <t>2026-10-08</t>
        </is>
      </c>
      <c r="L86" s="14" t="inlineStr">
        <is>
          <t>1500.0</t>
        </is>
      </c>
      <c r="M86" s="14" t="inlineStr">
        <is>
          <t>150.0</t>
        </is>
      </c>
      <c r="N86" s="21" t="inlineStr">
        <is>
          <t>NEW</t>
        </is>
      </c>
      <c r="O86" s="14" t="inlineStr">
        <is>
          <t>غير متوافقة مع اختصاصات KBM</t>
        </is>
      </c>
      <c r="P86" s="22">
        <f>HYPERLINK("https://kuwaitalyawm.media.gov.kw/Online/ViewAdsHTML?id=170505&amp;no=1", "عرض المصدر")</f>
        <v/>
      </c>
    </row>
    <row r="87">
      <c r="A87" s="11" t="inlineStr">
        <is>
          <t>CA CPC 4780</t>
        </is>
      </c>
      <c r="B87" s="11" t="inlineStr">
        <is>
          <t>شركة البترول الوطنية الكويتية</t>
        </is>
      </c>
      <c r="C87" s="11" t="inlineStr">
        <is>
          <t>Abrar Al-Qallaf</t>
        </is>
      </c>
      <c r="D87" s="11" t="inlineStr">
        <is>
          <t>ممارسة رقم CA CPC 4780: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CA CPC 4780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2026-12-17</t>
        </is>
      </c>
      <c r="L87" s="12" t="inlineStr">
        <is>
          <t>50000.0</t>
        </is>
      </c>
      <c r="M87" s="12" t="inlineStr">
        <is>
          <t>500.0</t>
        </is>
      </c>
      <c r="N87" s="21" t="inlineStr">
        <is>
          <t>NEW</t>
        </is>
      </c>
      <c r="O87" s="12" t="inlineStr">
        <is>
          <t>غير متوافقة</t>
        </is>
      </c>
      <c r="P87" s="23">
        <f>HYPERLINK("https://kuwaitalyawm.media.gov.kw/Online/ViewAdsHTML?id=170511&amp;no=1", "عرض المصدر")</f>
        <v/>
      </c>
    </row>
    <row r="88">
      <c r="A88" s="13" t="inlineStr">
        <is>
          <t>RFQ 1060201</t>
        </is>
      </c>
      <c r="B88" s="13" t="inlineStr">
        <is>
          <t>شركة البترول الوطنية الكويتية</t>
        </is>
      </c>
      <c r="C88" s="13" t="inlineStr">
        <is>
          <t>Abrar Al-Qallaf</t>
        </is>
      </c>
      <c r="D88" s="13" t="inlineStr">
        <is>
          <t>ممارسة رقم RFQ 1060201: Tendering) - شركة البترول الوطنية الكويتية</t>
        </is>
      </c>
      <c r="E88" s="13" t="inlineStr">
        <is>
          <t>أعمال وتوريدات تخصصية لزوم شركة البترول الوطنية الكويتية حسب وثائق الممارسة رقم RFQ 1060201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2026-12-17</t>
        </is>
      </c>
      <c r="L88" s="14" t="inlineStr">
        <is>
          <t>1000.0</t>
        </is>
      </c>
      <c r="M88" s="14" t="inlineStr">
        <is>
          <t>100.0</t>
        </is>
      </c>
      <c r="N88" s="21" t="inlineStr">
        <is>
          <t>NEW</t>
        </is>
      </c>
      <c r="O88" s="14" t="inlineStr">
        <is>
          <t>غير متوافقة</t>
        </is>
      </c>
      <c r="P88" s="22">
        <f>HYPERLINK("https://kuwaitalyawm.media.gov.kw/Online/ViewAdsHTML?id=170512&amp;no=1", "عرض المصدر")</f>
        <v/>
      </c>
    </row>
    <row r="89">
      <c r="A89" s="11" t="inlineStr">
        <is>
          <t>RFQ 1063791</t>
        </is>
      </c>
      <c r="B89" s="11" t="inlineStr">
        <is>
          <t>شركة البترول الوطنية الكويتية</t>
        </is>
      </c>
      <c r="C89" s="11" t="inlineStr">
        <is>
          <t>Abrar Al-Qallaf</t>
        </is>
      </c>
      <c r="D89" s="11" t="inlineStr">
        <is>
          <t>ممارسة رقم RFQ 1063791: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 1063791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2026-12-17</t>
        </is>
      </c>
      <c r="L89" s="12" t="inlineStr">
        <is>
          <t>1000.0</t>
        </is>
      </c>
      <c r="M89" s="12" t="inlineStr">
        <is>
          <t>100.0</t>
        </is>
      </c>
      <c r="N89" s="21" t="inlineStr">
        <is>
          <t>NEW</t>
        </is>
      </c>
      <c r="O89" s="12" t="inlineStr">
        <is>
          <t>غير متوافقة</t>
        </is>
      </c>
      <c r="P89" s="23">
        <f>HYPERLINK("https://kuwaitalyawm.media.gov.kw/Online/ViewAdsHTML?id=170513&amp;no=1", "عرض المصدر")</f>
        <v/>
      </c>
    </row>
    <row r="90">
      <c r="A90" s="13" t="inlineStr">
        <is>
          <t>2026/1</t>
        </is>
      </c>
      <c r="B90" s="13" t="inlineStr">
        <is>
          <t>شركة ناقلات النفط الكويتية</t>
        </is>
      </c>
      <c r="C90" s="13" t="inlineStr">
        <is>
          <t>Ahmed Habib</t>
        </is>
      </c>
      <c r="D90" s="13" t="inlineStr">
        <is>
          <t>مناقصة رقم 2026/1: إعلان طرح المناقصة الخاصة بتقديم خدمات الانترنت</t>
        </is>
      </c>
      <c r="E9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عام</t>
        </is>
      </c>
      <c r="H90" s="14" t="inlineStr">
        <is>
          <t>0.0%</t>
        </is>
      </c>
      <c r="I90" s="14" t="inlineStr">
        <is>
          <t>government</t>
        </is>
      </c>
      <c r="J90" s="14" t="inlineStr">
        <is>
          <t>2026-09-13</t>
        </is>
      </c>
      <c r="K90" s="14" t="inlineStr">
        <is>
          <t>2026-10-20</t>
        </is>
      </c>
      <c r="L90" s="14" t="inlineStr">
        <is>
          <t>2500.0</t>
        </is>
      </c>
      <c r="M90" s="14" t="inlineStr">
        <is>
          <t>100.0</t>
        </is>
      </c>
      <c r="N90" s="21" t="inlineStr">
        <is>
          <t>NEW</t>
        </is>
      </c>
      <c r="O90" s="14" t="inlineStr">
        <is>
          <t>غير متوافقة مع اختصاصات KBM</t>
        </is>
      </c>
      <c r="P90" s="22">
        <f>HYPERLINK("https://kuwaitalyawm.media.gov.kw/Online/ViewAdsHTML?id=170514&amp;no=1", "عرض المصدر")</f>
        <v/>
      </c>
    </row>
    <row r="91">
      <c r="A91" s="11" t="inlineStr">
        <is>
          <t>RFQ/2163185</t>
        </is>
      </c>
      <c r="B91" s="11" t="inlineStr">
        <is>
          <t>شركة البترول الوطنية الكويتية</t>
        </is>
      </c>
      <c r="C91" s="11" t="inlineStr">
        <is>
          <t>Abrar Al-Qallaf</t>
        </is>
      </c>
      <c r="D91" s="11" t="inlineStr">
        <is>
          <t>ممارسة رقم RFQ/2163185: 2163185 - شركة البترول الوطنية الكويتية</t>
        </is>
      </c>
      <c r="E91" s="11" t="inlineStr">
        <is>
          <t>أعمال وتوريدات تخصصية لزوم شركة البترول الوطنية الكويتية حسب وثائق الممارسة رقم RFQ/2163185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t>
        </is>
      </c>
      <c r="L91" s="12" t="inlineStr">
        <is>
          <t>-</t>
        </is>
      </c>
      <c r="M91" s="12" t="inlineStr">
        <is>
          <t>-</t>
        </is>
      </c>
      <c r="N91" s="21" t="inlineStr">
        <is>
          <t>NEW</t>
        </is>
      </c>
      <c r="O91" s="12" t="inlineStr">
        <is>
          <t>غير متوافقة</t>
        </is>
      </c>
      <c r="P91" s="23">
        <f>HYPERLINK("https://kuwaitalyawm.media.gov.kw/Online/ViewAdsHTML?id=170525&amp;no=1", "عرض المصدر")</f>
        <v/>
      </c>
    </row>
    <row r="92">
      <c r="A92" s="13" t="inlineStr">
        <is>
          <t>RFQ/2163729</t>
        </is>
      </c>
      <c r="B92" s="13" t="inlineStr">
        <is>
          <t>شركة البترول الوطنية الكويتية</t>
        </is>
      </c>
      <c r="C92" s="13" t="inlineStr">
        <is>
          <t>Abrar Al-Qallaf</t>
        </is>
      </c>
      <c r="D92" s="13" t="inlineStr">
        <is>
          <t>ممارسة رقم RFQ/2163729: 2163729 - شركة البترول الوطنية الكويتية</t>
        </is>
      </c>
      <c r="E92" s="13" t="inlineStr">
        <is>
          <t>أعمال وتوريدات تخصصية لزوم شركة البترول الوطنية الكويتية حسب وثائق الممارسة رقم RFQ/2163729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t>
        </is>
      </c>
      <c r="N92" s="21" t="inlineStr">
        <is>
          <t>NEW</t>
        </is>
      </c>
      <c r="O92" s="14" t="inlineStr">
        <is>
          <t>غير متوافقة</t>
        </is>
      </c>
      <c r="P92" s="22">
        <f>HYPERLINK("https://kuwaitalyawm.media.gov.kw/Online/ViewAdsHTML?id=170526&amp;no=1", "عرض المصدر")</f>
        <v/>
      </c>
    </row>
    <row r="93">
      <c r="A93" s="11" t="inlineStr">
        <is>
          <t>RFQ/2160171</t>
        </is>
      </c>
      <c r="B93" s="11" t="inlineStr">
        <is>
          <t>شركة البترول الوطنية الكويتية</t>
        </is>
      </c>
      <c r="C93" s="11" t="inlineStr">
        <is>
          <t>Abrar Al-Qallaf</t>
        </is>
      </c>
      <c r="D93" s="11" t="inlineStr">
        <is>
          <t>ممارسة رقم RFQ/2160171: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RFQ/2160171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2026-08-30</t>
        </is>
      </c>
      <c r="K93" s="18" t="inlineStr">
        <is>
          <t>2026-10-05</t>
        </is>
      </c>
      <c r="L93" s="12" t="inlineStr">
        <is>
          <t>-</t>
        </is>
      </c>
      <c r="M93" s="12" t="inlineStr">
        <is>
          <t>-</t>
        </is>
      </c>
      <c r="N93" s="21" t="inlineStr">
        <is>
          <t>NEW</t>
        </is>
      </c>
      <c r="O93" s="12" t="inlineStr">
        <is>
          <t>غير متوافقة</t>
        </is>
      </c>
      <c r="P93" s="23">
        <f>HYPERLINK("https://kuwaitalyawm.media.gov.kw/Online/ViewAdsHTML?id=170527&amp;no=1", "عرض المصدر")</f>
        <v/>
      </c>
    </row>
    <row r="94">
      <c r="A94" s="13" t="inlineStr">
        <is>
          <t>RFQ/2162788</t>
        </is>
      </c>
      <c r="B94" s="13" t="inlineStr">
        <is>
          <t>شركة البترول الوطنية الكويتية</t>
        </is>
      </c>
      <c r="C94" s="13" t="inlineStr">
        <is>
          <t>Abrar Al-Qallaf</t>
        </is>
      </c>
      <c r="D94" s="13" t="inlineStr">
        <is>
          <t>ممارسة رقم RFQ/2162788: 2162788 - شركة البترول الوطنية الكويتية</t>
        </is>
      </c>
      <c r="E94" s="13" t="inlineStr">
        <is>
          <t>أعمال وتوريدات تخصصية لزوم شركة البترول الوطنية الكويتية حسب وثائق الممارسة رقم RFQ/2162788 عبر منصة K-Tendering.</t>
        </is>
      </c>
      <c r="F94" s="13" t="inlineStr">
        <is>
          <t>وفقاً لشروط وإجراءات المناقصات والتوريد لدى شركة البترول الوطنية الكويتية (KNPC) عبر منصة K-Tendering.</t>
        </is>
      </c>
      <c r="G94" s="14" t="inlineStr">
        <is>
          <t>عام</t>
        </is>
      </c>
      <c r="H94" s="14" t="inlineStr">
        <is>
          <t>15.0%</t>
        </is>
      </c>
      <c r="I94" s="14" t="inlineStr">
        <is>
          <t>oil_and_gas</t>
        </is>
      </c>
      <c r="J94" s="14" t="inlineStr">
        <is>
          <t>2026-08-30</t>
        </is>
      </c>
      <c r="K94" s="14" t="inlineStr">
        <is>
          <t>-</t>
        </is>
      </c>
      <c r="L94" s="14" t="inlineStr">
        <is>
          <t>-</t>
        </is>
      </c>
      <c r="M94" s="14" t="inlineStr">
        <is>
          <t>-</t>
        </is>
      </c>
      <c r="N94" s="21" t="inlineStr">
        <is>
          <t>NEW</t>
        </is>
      </c>
      <c r="O94" s="14" t="inlineStr">
        <is>
          <t>غير متوافقة</t>
        </is>
      </c>
      <c r="P94" s="22">
        <f>HYPERLINK("https://kuwaitalyawm.media.gov.kw/Online/ViewAdsHTML?id=170528&amp;no=1", "عرض المصدر")</f>
        <v/>
      </c>
    </row>
    <row r="95">
      <c r="A95" s="11" t="inlineStr">
        <is>
          <t>RFQ/2161574</t>
        </is>
      </c>
      <c r="B95" s="11" t="inlineStr">
        <is>
          <t>شركة البترول الوطنية الكويتية</t>
        </is>
      </c>
      <c r="C95" s="11" t="inlineStr">
        <is>
          <t>Abrar Al-Qallaf</t>
        </is>
      </c>
      <c r="D95" s="11" t="inlineStr">
        <is>
          <t>ممارسة رقم RFQ/2161574: توريد مواد ومهمات تشغيلية لزوم شركة البترول الوطنية الكويتية - شركة البترول الوطنية الكويتية</t>
        </is>
      </c>
      <c r="E95" s="11" t="inlineStr">
        <is>
          <t>أعمال وتوريدات تخصصية لزوم شركة البترول الوطنية الكويتية حسب وثائق الممارسة رقم RFQ/2161574 عبر منصة K-Tendering.</t>
        </is>
      </c>
      <c r="F95" s="11" t="inlineStr">
        <is>
          <t>وفقاً لشروط وإجراءات المناقصات والتوريد لدى شركة البترول الوطنية الكويتية (KNPC) عبر منصة K-Tendering.</t>
        </is>
      </c>
      <c r="G95" s="12" t="inlineStr">
        <is>
          <t>عام</t>
        </is>
      </c>
      <c r="H95" s="12" t="inlineStr">
        <is>
          <t>15.0%</t>
        </is>
      </c>
      <c r="I95" s="12" t="inlineStr">
        <is>
          <t>oil_and_gas</t>
        </is>
      </c>
      <c r="J95" s="12" t="inlineStr">
        <is>
          <t>2026-09-13</t>
        </is>
      </c>
      <c r="K95" s="12" t="inlineStr">
        <is>
          <t>2026-09-14</t>
        </is>
      </c>
      <c r="L95" s="12" t="inlineStr">
        <is>
          <t>-</t>
        </is>
      </c>
      <c r="M95" s="12" t="inlineStr">
        <is>
          <t>-</t>
        </is>
      </c>
      <c r="N95" s="21" t="inlineStr">
        <is>
          <t>NEW</t>
        </is>
      </c>
      <c r="O95" s="12" t="inlineStr">
        <is>
          <t>غير متوافقة</t>
        </is>
      </c>
      <c r="P95" s="23">
        <f>HYPERLINK("https://kuwaitalyawm.media.gov.kw/Online/ViewAdsHTML?id=170529&amp;no=1", "عرض المصدر")</f>
        <v/>
      </c>
    </row>
    <row r="96">
      <c r="A96" s="13" t="inlineStr">
        <is>
          <t>RFQ/2163773</t>
        </is>
      </c>
      <c r="B96" s="13" t="inlineStr">
        <is>
          <t>شركة البترول الوطنية الكويتية</t>
        </is>
      </c>
      <c r="C96" s="13" t="inlineStr">
        <is>
          <t>Abrar Al-Qallaf</t>
        </is>
      </c>
      <c r="D96" s="13" t="inlineStr">
        <is>
          <t>ممارسة رقم RFQ/2163773: 2163773 - شركة البترول الوطنية الكويتية</t>
        </is>
      </c>
      <c r="E96" s="13" t="inlineStr">
        <is>
          <t>أعمال وتوريدات تخصصية لزوم شركة البترول الوطنية الكويتية حسب وثائق الممارسة رقم RFQ/2163773 عبر منصة K-Tendering.</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2026-09-13</t>
        </is>
      </c>
      <c r="K96" s="14" t="inlineStr">
        <is>
          <t>-</t>
        </is>
      </c>
      <c r="L96" s="14" t="inlineStr">
        <is>
          <t>-</t>
        </is>
      </c>
      <c r="M96" s="14" t="inlineStr">
        <is>
          <t>-</t>
        </is>
      </c>
      <c r="N96" s="21" t="inlineStr">
        <is>
          <t>NEW</t>
        </is>
      </c>
      <c r="O96" s="14" t="inlineStr">
        <is>
          <t>غير متوافقة</t>
        </is>
      </c>
      <c r="P96" s="22">
        <f>HYPERLINK("https://kuwaitalyawm.media.gov.kw/Online/ViewAdsHTML?id=170530&amp;no=1", "عرض المصدر")</f>
        <v/>
      </c>
    </row>
    <row r="97">
      <c r="A97" s="11" t="inlineStr">
        <is>
          <t>RFQ/2166412</t>
        </is>
      </c>
      <c r="B97" s="11" t="inlineStr">
        <is>
          <t>شركة البترول الوطنية الكويتية</t>
        </is>
      </c>
      <c r="C97" s="11" t="inlineStr">
        <is>
          <t>Abrar Al-Qallaf</t>
        </is>
      </c>
      <c r="D97" s="11" t="inlineStr">
        <is>
          <t>ممارسة رقم RFQ/2166412: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RFQ/2166412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2026-09-13</t>
        </is>
      </c>
      <c r="K97" s="12" t="inlineStr">
        <is>
          <t>2026-12-14</t>
        </is>
      </c>
      <c r="L97" s="12" t="inlineStr">
        <is>
          <t>15000.0</t>
        </is>
      </c>
      <c r="M97" s="12" t="inlineStr">
        <is>
          <t>-</t>
        </is>
      </c>
      <c r="N97" s="21" t="inlineStr">
        <is>
          <t>NEW</t>
        </is>
      </c>
      <c r="O97" s="12" t="inlineStr">
        <is>
          <t>غير متوافقة</t>
        </is>
      </c>
      <c r="P97" s="23">
        <f>HYPERLINK("https://kuwaitalyawm.media.gov.kw/Online/ViewAdsHTML?id=170531&amp;no=1", "عرض المصدر")</f>
        <v/>
      </c>
    </row>
    <row r="98">
      <c r="A98" s="13" t="inlineStr">
        <is>
          <t>RFQ/2167182</t>
        </is>
      </c>
      <c r="B98" s="13" t="inlineStr">
        <is>
          <t>شركة البترول الوطنية الكويتية</t>
        </is>
      </c>
      <c r="C98" s="13" t="inlineStr">
        <is>
          <t>Abrar Al-Qallaf</t>
        </is>
      </c>
      <c r="D98" s="13" t="inlineStr">
        <is>
          <t>ممارسة رقم RFQ/2167182: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RFQ/2167182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2026-09-13</t>
        </is>
      </c>
      <c r="K98" s="14" t="inlineStr">
        <is>
          <t>2026-12-21</t>
        </is>
      </c>
      <c r="L98" s="14" t="inlineStr">
        <is>
          <t>2500.0</t>
        </is>
      </c>
      <c r="M98" s="14" t="inlineStr">
        <is>
          <t>-</t>
        </is>
      </c>
      <c r="N98" s="21" t="inlineStr">
        <is>
          <t>NEW</t>
        </is>
      </c>
      <c r="O98" s="14" t="inlineStr">
        <is>
          <t>غير متوافقة</t>
        </is>
      </c>
      <c r="P98" s="22">
        <f>HYPERLINK("https://kuwaitalyawm.media.gov.kw/Online/ViewAdsHTML?id=170532&amp;no=1", "عرض المصدر")</f>
        <v/>
      </c>
    </row>
    <row r="99">
      <c r="A99" s="11" t="inlineStr">
        <is>
          <t>RFQ/2167044</t>
        </is>
      </c>
      <c r="B99" s="11" t="inlineStr">
        <is>
          <t>شركة البترول الوطنية الكويتية</t>
        </is>
      </c>
      <c r="C99" s="11" t="inlineStr">
        <is>
          <t>Abrar Al-Qallaf</t>
        </is>
      </c>
      <c r="D99" s="11" t="inlineStr">
        <is>
          <t>ممارسة رقم RFQ/2167044: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RFQ/2167044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2026-09-13</t>
        </is>
      </c>
      <c r="K99" s="12" t="inlineStr">
        <is>
          <t>2026-12-21</t>
        </is>
      </c>
      <c r="L99" s="12" t="inlineStr">
        <is>
          <t>1000.0</t>
        </is>
      </c>
      <c r="M99" s="12" t="inlineStr">
        <is>
          <t>100.0</t>
        </is>
      </c>
      <c r="N99" s="21" t="inlineStr">
        <is>
          <t>NEW</t>
        </is>
      </c>
      <c r="O99" s="12" t="inlineStr">
        <is>
          <t>غير متوافقة</t>
        </is>
      </c>
      <c r="P99" s="23">
        <f>HYPERLINK("https://kuwaitalyawm.media.gov.kw/Online/ViewAdsHTML?id=170533&amp;no=1", "عرض المصدر")</f>
        <v/>
      </c>
    </row>
    <row r="100">
      <c r="A100" s="13" t="inlineStr">
        <is>
          <t>RFQ/2163441</t>
        </is>
      </c>
      <c r="B100" s="13" t="inlineStr">
        <is>
          <t>شركة البترول الوطنية الكويتية</t>
        </is>
      </c>
      <c r="C100" s="13" t="inlineStr">
        <is>
          <t>Abrar Al-Qallaf</t>
        </is>
      </c>
      <c r="D100" s="13" t="inlineStr">
        <is>
          <t>ممارسة رقم RFQ/2163441: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RFQ/2163441 عبر منصة K-Tendering.</t>
        </is>
      </c>
      <c r="F100" s="13" t="inlineStr">
        <is>
          <t>وفقاً لشروط وإجراءات المناقصات والتوريد لدى شركة البترول الوطنية الكويتية (KNPC) عبر منصة K-Tendering.</t>
        </is>
      </c>
      <c r="G100" s="14" t="inlineStr">
        <is>
          <t>عام</t>
        </is>
      </c>
      <c r="H100" s="14" t="inlineStr">
        <is>
          <t>15.0%</t>
        </is>
      </c>
      <c r="I100" s="14" t="inlineStr">
        <is>
          <t>oil_and_gas</t>
        </is>
      </c>
      <c r="J100" s="14" t="inlineStr">
        <is>
          <t>2026-09-13</t>
        </is>
      </c>
      <c r="K100" s="14" t="inlineStr">
        <is>
          <t>2026-12-14</t>
        </is>
      </c>
      <c r="L100" s="14" t="inlineStr">
        <is>
          <t>1000.0</t>
        </is>
      </c>
      <c r="M100" s="14" t="inlineStr">
        <is>
          <t>100.0</t>
        </is>
      </c>
      <c r="N100" s="21" t="inlineStr">
        <is>
          <t>NEW</t>
        </is>
      </c>
      <c r="O100" s="14" t="inlineStr">
        <is>
          <t>غير متوافقة</t>
        </is>
      </c>
      <c r="P100" s="22">
        <f>HYPERLINK("https://kuwaitalyawm.media.gov.kw/Online/ViewAdsHTML?id=170534&amp;no=1", "عرض المصدر")</f>
        <v/>
      </c>
    </row>
    <row r="101">
      <c r="A101" s="11" t="inlineStr">
        <is>
          <t>RFP/2161845</t>
        </is>
      </c>
      <c r="B101" s="11" t="inlineStr">
        <is>
          <t>شركة البترول الوطنية الكويتية</t>
        </is>
      </c>
      <c r="C101" s="11" t="inlineStr">
        <is>
          <t>Abrar Al-Qallaf</t>
        </is>
      </c>
      <c r="D101" s="11" t="inlineStr">
        <is>
          <t>ممارسة رقم RFP/2161845: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RFP/2161845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2026-09-13</t>
        </is>
      </c>
      <c r="K101" s="18" t="inlineStr">
        <is>
          <t>2026-10-12</t>
        </is>
      </c>
      <c r="L101" s="12" t="inlineStr">
        <is>
          <t>30000.0</t>
        </is>
      </c>
      <c r="M101" s="12" t="inlineStr">
        <is>
          <t>-</t>
        </is>
      </c>
      <c r="N101" s="21" t="inlineStr">
        <is>
          <t>NEW</t>
        </is>
      </c>
      <c r="O101" s="12" t="inlineStr">
        <is>
          <t>غير متوافقة</t>
        </is>
      </c>
      <c r="P101" s="23">
        <f>HYPERLINK("https://kuwaitalyawm.media.gov.kw/Online/ViewAdsHTML?id=170535&amp;no=1", "عرض المصدر")</f>
        <v/>
      </c>
    </row>
    <row r="102">
      <c r="A102" s="13" t="inlineStr">
        <is>
          <t>RFP/2161888</t>
        </is>
      </c>
      <c r="B102" s="13" t="inlineStr">
        <is>
          <t>شركة البترول الوطنية الكويتية</t>
        </is>
      </c>
      <c r="C102" s="13" t="inlineStr">
        <is>
          <t>Abrar Al-Qallaf</t>
        </is>
      </c>
      <c r="D102" s="13" t="inlineStr">
        <is>
          <t>ممارسة رقم RFP/2161888: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RFP/2161888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2026-09-13</t>
        </is>
      </c>
      <c r="K102" s="14" t="inlineStr">
        <is>
          <t>-</t>
        </is>
      </c>
      <c r="L102" s="14" t="inlineStr">
        <is>
          <t>-</t>
        </is>
      </c>
      <c r="M102" s="14" t="inlineStr">
        <is>
          <t>250.0</t>
        </is>
      </c>
      <c r="N102" s="21" t="inlineStr">
        <is>
          <t>NEW</t>
        </is>
      </c>
      <c r="O102" s="14" t="inlineStr">
        <is>
          <t>غير متوافقة</t>
        </is>
      </c>
      <c r="P102" s="22">
        <f>HYPERLINK("https://kuwaitalyawm.media.gov.kw/Online/ViewAdsHTML?id=170536&amp;no=1", "عرض المصدر")</f>
        <v/>
      </c>
    </row>
    <row r="103">
      <c r="A103" s="11" t="inlineStr">
        <is>
          <t>CATEGORY KS 01.21</t>
        </is>
      </c>
      <c r="B103" s="11" t="inlineStr">
        <is>
          <t>شركة نفط الكويت</t>
        </is>
      </c>
      <c r="C103" s="11" t="inlineStr">
        <is>
          <t>Ahmed Habib</t>
        </is>
      </c>
      <c r="D103" s="11" t="inlineStr">
        <is>
          <t>مناقصة رقم CATEGORY KS 01.21 - شركة نفط الكويت</t>
        </is>
      </c>
      <c r="E103" s="11" t="inlineStr">
        <is>
          <t>أعمال وتوريدات مناقصة رقم CATEGORY KS 01.21 لصالح شركة نفط الكويت وفقاً للشروط والمواصفات المعتمدة في وثائق الطرح.</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15.0%</t>
        </is>
      </c>
      <c r="I103" s="12" t="inlineStr">
        <is>
          <t>government</t>
        </is>
      </c>
      <c r="J103" s="12" t="inlineStr">
        <is>
          <t>2026-09-13</t>
        </is>
      </c>
      <c r="K103" s="12" t="inlineStr">
        <is>
          <t>-</t>
        </is>
      </c>
      <c r="L103" s="12" t="inlineStr">
        <is>
          <t>-</t>
        </is>
      </c>
      <c r="M103" s="12" t="inlineStr">
        <is>
          <t>-</t>
        </is>
      </c>
      <c r="N103" s="21" t="inlineStr">
        <is>
          <t>NEW</t>
        </is>
      </c>
      <c r="O103" s="12" t="inlineStr">
        <is>
          <t>غير متوافقة مع اختصاصات KBM</t>
        </is>
      </c>
      <c r="P103" s="23">
        <f>HYPERLINK("https://kuwaitalyawm.media.gov.kw/Online/ViewAdsHTML?id=170537&amp;no=1", "عرض المصدر")</f>
        <v/>
      </c>
    </row>
    <row r="104">
      <c r="A104" s="13" t="inlineStr">
        <is>
          <t>24114235253</t>
        </is>
      </c>
      <c r="B104" s="13" t="inlineStr">
        <is>
          <t>وزارة الدفاع</t>
        </is>
      </c>
      <c r="C104" s="13" t="inlineStr">
        <is>
          <t>Eiman Ashkanani</t>
        </is>
      </c>
      <c r="D104" s="13" t="inlineStr">
        <is>
          <t>مناقصة رقم 24114235253: لإصلاح وصيانة القاطرات والمقطورات والآليات المتوسطة شامل</t>
        </is>
      </c>
      <c r="E10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0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04" s="14" t="inlineStr">
        <is>
          <t>عام</t>
        </is>
      </c>
      <c r="H104" s="14" t="inlineStr">
        <is>
          <t>15.0%</t>
        </is>
      </c>
      <c r="I104" s="14" t="inlineStr">
        <is>
          <t>government</t>
        </is>
      </c>
      <c r="J104" s="14" t="inlineStr">
        <is>
          <t>2026-09-06</t>
        </is>
      </c>
      <c r="K104" s="14" t="inlineStr">
        <is>
          <t>2026-10-04</t>
        </is>
      </c>
      <c r="L104" s="14" t="inlineStr">
        <is>
          <t>2.0</t>
        </is>
      </c>
      <c r="M104" s="14" t="inlineStr">
        <is>
          <t>1000.0</t>
        </is>
      </c>
      <c r="N104" s="21" t="inlineStr">
        <is>
          <t>NEW</t>
        </is>
      </c>
      <c r="O104" s="14" t="inlineStr">
        <is>
          <t>غير متوافقة مع اختصاصات KBM</t>
        </is>
      </c>
      <c r="P104" s="22">
        <f>HYPERLINK("https://kuwaitalyawm.media.gov.kw/Online/ViewAdsHTML?id=169152&amp;no=1", "عرض المصدر")</f>
        <v/>
      </c>
    </row>
    <row r="105">
      <c r="A105" s="11" t="inlineStr">
        <is>
          <t>2027/2026/1532</t>
        </is>
      </c>
      <c r="B105" s="11" t="inlineStr">
        <is>
          <t>المؤسسة العامة للرعاية السكنية</t>
        </is>
      </c>
      <c r="C105" s="11" t="inlineStr">
        <is>
          <t>Eiman Ashkanani</t>
        </is>
      </c>
      <c r="D105" s="11" t="inlineStr">
        <is>
          <t>مناقصة رقم 2027/2026/1532: تاريخ الإقفال وتقديم العطاءات: 24/9/2026 بدلا من 6/9/2026م.</t>
        </is>
      </c>
      <c r="E105" s="11" t="inlineStr">
        <is>
          <t>أعمال وتوريدات 24/9/2026 بدلا من 6/9/2026م. لصالح المؤسسة العامة للرعاية السكنية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28.0%</t>
        </is>
      </c>
      <c r="I105" s="12" t="inlineStr">
        <is>
          <t>government</t>
        </is>
      </c>
      <c r="J105" s="12" t="inlineStr">
        <is>
          <t>2026-09-06</t>
        </is>
      </c>
      <c r="K105" s="12" t="inlineStr">
        <is>
          <t>2026-09-24</t>
        </is>
      </c>
      <c r="L105" s="12" t="inlineStr">
        <is>
          <t>-</t>
        </is>
      </c>
      <c r="M105" s="12" t="inlineStr">
        <is>
          <t>-</t>
        </is>
      </c>
      <c r="N105" s="21" t="inlineStr">
        <is>
          <t>NEW</t>
        </is>
      </c>
      <c r="O105" s="12" t="inlineStr">
        <is>
          <t>غير متوافقة مع اختصاصات KBM</t>
        </is>
      </c>
      <c r="P105" s="23">
        <f>HYPERLINK("https://kuwaitalyawm.media.gov.kw/Online/ViewAdsHTML?id=169402&amp;no=1", "عرض المصدر")</f>
        <v/>
      </c>
    </row>
    <row r="106">
      <c r="A106" s="13" t="inlineStr">
        <is>
          <t>507</t>
        </is>
      </c>
      <c r="B106" s="13" t="inlineStr">
        <is>
          <t>مؤسسة البترول الكويتية</t>
        </is>
      </c>
      <c r="C106" s="13" t="inlineStr">
        <is>
          <t>Eiman Ashkanani</t>
        </is>
      </c>
      <c r="D106" s="13" t="inlineStr">
        <is>
          <t>مناقصة رقم 507: استئجار آلات تصوير مستندات</t>
        </is>
      </c>
      <c r="E106" s="13" t="inlineStr">
        <is>
          <t>أعمال وتوريدات استئجار آلات تصوير مستندات لصالح مؤسسة البترول الكويتية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14" t="inlineStr">
        <is>
          <t>عام</t>
        </is>
      </c>
      <c r="H106" s="14" t="inlineStr">
        <is>
          <t>0.0%</t>
        </is>
      </c>
      <c r="I106" s="14" t="inlineStr">
        <is>
          <t>government</t>
        </is>
      </c>
      <c r="J106" s="14" t="inlineStr">
        <is>
          <t>2026-09-06</t>
        </is>
      </c>
      <c r="K106" s="14" t="inlineStr">
        <is>
          <t>2026-10-13</t>
        </is>
      </c>
      <c r="L106" s="14" t="inlineStr">
        <is>
          <t>2500.0</t>
        </is>
      </c>
      <c r="M106" s="14" t="inlineStr">
        <is>
          <t>100.0</t>
        </is>
      </c>
      <c r="N106" s="21" t="inlineStr">
        <is>
          <t>NEW</t>
        </is>
      </c>
      <c r="O106" s="14" t="inlineStr">
        <is>
          <t>غير متوافقة مع اختصاصات KBM</t>
        </is>
      </c>
      <c r="P106" s="22">
        <f>HYPERLINK("https://kuwaitalyawm.media.gov.kw/Online/ViewAdsHTML?id=169407&amp;no=1", "عرض المصدر")</f>
        <v/>
      </c>
    </row>
    <row r="107">
      <c r="A107" s="11" t="inlineStr">
        <is>
          <t>CB CPC 2551</t>
        </is>
      </c>
      <c r="B107" s="11" t="inlineStr">
        <is>
          <t>شركة البترول الوطنية الكويتية</t>
        </is>
      </c>
      <c r="C107" s="11" t="inlineStr">
        <is>
          <t>Abrar Al-Qallaf</t>
        </is>
      </c>
      <c r="D107" s="11" t="inlineStr">
        <is>
          <t>ممارسة رقم CB CPC 2551: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CB CPC 2551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2026-09-06</t>
        </is>
      </c>
      <c r="K107" s="12" t="inlineStr">
        <is>
          <t>-</t>
        </is>
      </c>
      <c r="L107" s="12" t="inlineStr">
        <is>
          <t>-</t>
        </is>
      </c>
      <c r="M107" s="12" t="inlineStr">
        <is>
          <t>-</t>
        </is>
      </c>
      <c r="N107" s="21" t="inlineStr">
        <is>
          <t>NEW</t>
        </is>
      </c>
      <c r="O107" s="12" t="inlineStr">
        <is>
          <t>غير متوافقة</t>
        </is>
      </c>
      <c r="P107" s="23">
        <f>HYPERLINK("https://kuwaitalyawm.media.gov.kw/Online/ViewAdsHTML?id=169420&amp;no=1", "عرض المصدر")</f>
        <v/>
      </c>
    </row>
    <row r="108">
      <c r="A108" s="13" t="inlineStr">
        <is>
          <t>RFQ 1061885</t>
        </is>
      </c>
      <c r="B108" s="13" t="inlineStr">
        <is>
          <t>شركة البترول الوطنية الكويتية</t>
        </is>
      </c>
      <c r="C108" s="13" t="inlineStr">
        <is>
          <t>Abrar Al-Qallaf</t>
        </is>
      </c>
      <c r="D108" s="13" t="inlineStr">
        <is>
          <t>ممارسة رقم RFQ 1061885: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1061885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2026-09-06</t>
        </is>
      </c>
      <c r="K108" s="14" t="inlineStr">
        <is>
          <t>-</t>
        </is>
      </c>
      <c r="L108" s="14" t="inlineStr">
        <is>
          <t>-</t>
        </is>
      </c>
      <c r="M108" s="14" t="inlineStr">
        <is>
          <t>-</t>
        </is>
      </c>
      <c r="N108" s="21" t="inlineStr">
        <is>
          <t>NEW</t>
        </is>
      </c>
      <c r="O108" s="14" t="inlineStr">
        <is>
          <t>غير متوافقة</t>
        </is>
      </c>
      <c r="P108" s="22">
        <f>HYPERLINK("https://kuwaitalyawm.media.gov.kw/Online/ViewAdsHTML?id=169422&amp;no=1", "عرض المصدر")</f>
        <v/>
      </c>
    </row>
    <row r="109">
      <c r="A109" s="11" t="inlineStr">
        <is>
          <t>MNA-14-2026</t>
        </is>
      </c>
      <c r="B109" s="11" t="inlineStr">
        <is>
          <t>شركة صناعة الكيماويات البترولية</t>
        </is>
      </c>
      <c r="C109" s="11" t="inlineStr">
        <is>
          <t>Abrar Al-Qallaf</t>
        </is>
      </c>
      <c r="D109" s="11" t="inlineStr">
        <is>
          <t>مناقصة رقم MNA-14-2026 - شركة صناعة الكيماويات البترولية</t>
        </is>
      </c>
      <c r="E109" s="11" t="inlineStr">
        <is>
          <t>أعمال وتوريدات مناقصة رقم MNA-14-2026 لصالح شركة صناعة الكيماويات البترولية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15.0%</t>
        </is>
      </c>
      <c r="I109" s="12" t="inlineStr">
        <is>
          <t>government</t>
        </is>
      </c>
      <c r="J109" s="12" t="inlineStr">
        <is>
          <t>2026-09-06</t>
        </is>
      </c>
      <c r="K109" s="18" t="inlineStr">
        <is>
          <t>2026-10-11</t>
        </is>
      </c>
      <c r="L109" s="12" t="inlineStr">
        <is>
          <t>750.0</t>
        </is>
      </c>
      <c r="M109" s="12" t="inlineStr">
        <is>
          <t>-</t>
        </is>
      </c>
      <c r="N109" s="21" t="inlineStr">
        <is>
          <t>NEW</t>
        </is>
      </c>
      <c r="O109" s="12" t="inlineStr">
        <is>
          <t>غير متوافقة مع اختصاصات KBM</t>
        </is>
      </c>
      <c r="P109" s="23">
        <f>HYPERLINK("https://kuwaitalyawm.media.gov.kw/Online/ViewAdsHTML?id=169423&amp;no=1", "عرض المصدر")</f>
        <v/>
      </c>
    </row>
    <row r="110">
      <c r="A110" s="13" t="inlineStr">
        <is>
          <t>MNA-19-2026</t>
        </is>
      </c>
      <c r="B110" s="13" t="inlineStr">
        <is>
          <t>شركة صناعة الكيماويات البترولية</t>
        </is>
      </c>
      <c r="C110" s="13" t="inlineStr">
        <is>
          <t>Abrar Al-Qallaf</t>
        </is>
      </c>
      <c r="D110" s="13" t="inlineStr">
        <is>
          <t>مناقصة رقم MNA-19-2026: Network Maintenance and Managed Network Support Services (صيانة الشبكات والدعم المدار) - شركة صناعة الكيماويات البترولية</t>
        </is>
      </c>
      <c r="E11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1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10" s="24" t="inlineStr">
        <is>
          <t>قطاع العمليات المدارة والدعم الفني متعدد الموردين</t>
        </is>
      </c>
      <c r="H110" s="14" t="inlineStr">
        <is>
          <t>95.0%</t>
        </is>
      </c>
      <c r="I110" s="14" t="inlineStr">
        <is>
          <t>oil_and_gas</t>
        </is>
      </c>
      <c r="J110" s="14" t="inlineStr">
        <is>
          <t>2026-09-06</t>
        </is>
      </c>
      <c r="K110" s="18" t="inlineStr">
        <is>
          <t>2026-10-06</t>
        </is>
      </c>
      <c r="L110" s="14" t="inlineStr">
        <is>
          <t>15000.0</t>
        </is>
      </c>
      <c r="M110" s="14" t="inlineStr">
        <is>
          <t>-</t>
        </is>
      </c>
      <c r="N110" s="21" t="inlineStr">
        <is>
          <t>NEW</t>
        </is>
      </c>
      <c r="O110" s="14" t="inlineStr">
        <is>
          <t>موصى بالتقديم</t>
        </is>
      </c>
      <c r="P110" s="22">
        <f>HYPERLINK("https://kuwaitalyawm.media.gov.kw/Online/ViewAdsHTML?id=169424&amp;no=1", "عرض المصدر")</f>
        <v/>
      </c>
    </row>
    <row r="111">
      <c r="A111" s="11" t="inlineStr">
        <is>
          <t>MNA-24-2026</t>
        </is>
      </c>
      <c r="B111" s="11" t="inlineStr">
        <is>
          <t>شركة صناعة الكيماويات البترولية</t>
        </is>
      </c>
      <c r="C111" s="11" t="inlineStr">
        <is>
          <t>Abrar Al-Qallaf</t>
        </is>
      </c>
      <c r="D111" s="11" t="inlineStr">
        <is>
          <t>مناقصة رقم MNA-24-2026: IBM Maximo Application Suite (MAS) MAS-IT (ICD) License Renewal and Support Services - شركة صناعة الكيماويات البترولية</t>
        </is>
      </c>
      <c r="E11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1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11" s="24" t="inlineStr">
        <is>
          <t>قطاع برمجيات IBM وحلول الذكاء الاصطناعي وRed Hat</t>
        </is>
      </c>
      <c r="H111" s="12" t="inlineStr">
        <is>
          <t>95.0%</t>
        </is>
      </c>
      <c r="I111" s="12" t="inlineStr">
        <is>
          <t>oil_and_gas</t>
        </is>
      </c>
      <c r="J111" s="12" t="inlineStr">
        <is>
          <t>2026-09-06</t>
        </is>
      </c>
      <c r="K111" s="18" t="inlineStr">
        <is>
          <t>2026-10-06</t>
        </is>
      </c>
      <c r="L111" s="12" t="inlineStr">
        <is>
          <t>15000.0</t>
        </is>
      </c>
      <c r="M111" s="12" t="inlineStr">
        <is>
          <t>-</t>
        </is>
      </c>
      <c r="N111" s="21" t="inlineStr">
        <is>
          <t>NEW</t>
        </is>
      </c>
      <c r="O111" s="12" t="inlineStr">
        <is>
          <t>موصى بالتقديم</t>
        </is>
      </c>
      <c r="P111" s="23">
        <f>HYPERLINK("https://kuwaitalyawm.media.gov.kw/Online/ViewAdsHTML?id=169425&amp;no=1", "عرض المصدر")</f>
        <v/>
      </c>
    </row>
    <row r="112">
      <c r="A112" s="13" t="inlineStr">
        <is>
          <t>RFP 2165609</t>
        </is>
      </c>
      <c r="B112" s="13" t="inlineStr">
        <is>
          <t>شركة البترول الوطنية الكويتية</t>
        </is>
      </c>
      <c r="C112" s="13" t="inlineStr">
        <is>
          <t>Abrar Al-Qallaf</t>
        </is>
      </c>
      <c r="D112" s="13" t="inlineStr">
        <is>
          <t>ممارسة رقم RFP 2165609: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RFP 2165609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2026-09-06</t>
        </is>
      </c>
      <c r="K112" s="14" t="inlineStr">
        <is>
          <t>2026-12-07</t>
        </is>
      </c>
      <c r="L112" s="14" t="inlineStr">
        <is>
          <t>2500.0</t>
        </is>
      </c>
      <c r="M112" s="14" t="inlineStr">
        <is>
          <t>-</t>
        </is>
      </c>
      <c r="N112" s="21" t="inlineStr">
        <is>
          <t>NEW</t>
        </is>
      </c>
      <c r="O112" s="14" t="inlineStr">
        <is>
          <t>غير متوافقة</t>
        </is>
      </c>
      <c r="P112" s="22">
        <f>HYPERLINK("https://kuwaitalyawm.media.gov.kw/Online/ViewAdsHTML?id=169428&amp;no=1", "عرض المصدر")</f>
        <v/>
      </c>
    </row>
    <row r="113">
      <c r="A113" s="11" t="inlineStr">
        <is>
          <t>RFP 2156844</t>
        </is>
      </c>
      <c r="B113" s="11" t="inlineStr">
        <is>
          <t>شركة البترول الوطنية الكويتية</t>
        </is>
      </c>
      <c r="C113" s="11" t="inlineStr">
        <is>
          <t>Abrar Al-Qallaf</t>
        </is>
      </c>
      <c r="D113" s="11" t="inlineStr">
        <is>
          <t>ممارسة رقم RFP 2156844: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RFP 2156844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2026-09-06</t>
        </is>
      </c>
      <c r="K113" s="18" t="inlineStr">
        <is>
          <t>2026-10-12</t>
        </is>
      </c>
      <c r="L113" s="12" t="inlineStr">
        <is>
          <t>30000.0</t>
        </is>
      </c>
      <c r="M113" s="12" t="inlineStr">
        <is>
          <t>-</t>
        </is>
      </c>
      <c r="N113" s="21" t="inlineStr">
        <is>
          <t>NEW</t>
        </is>
      </c>
      <c r="O113" s="12" t="inlineStr">
        <is>
          <t>غير متوافقة</t>
        </is>
      </c>
      <c r="P113" s="23">
        <f>HYPERLINK("https://kuwaitalyawm.media.gov.kw/Online/ViewAdsHTML?id=169429&amp;no=1", "عرض المصدر")</f>
        <v/>
      </c>
    </row>
    <row r="114">
      <c r="A114" s="13" t="inlineStr">
        <is>
          <t>2026/2025/37</t>
        </is>
      </c>
      <c r="B114" s="13" t="inlineStr">
        <is>
          <t>وزارة الداخلية</t>
        </is>
      </c>
      <c r="C114" s="13" t="inlineStr">
        <is>
          <t>Khaled Alabdallah</t>
        </is>
      </c>
      <c r="D114" s="13" t="inlineStr">
        <is>
          <t>مناقصة رقم 2026/2025/37: تطوير أنظمة الإدارة والمراقبة وتوفير خدمات تشغيلية لمراكز البيانات</t>
        </is>
      </c>
      <c r="E11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15.0%</t>
        </is>
      </c>
      <c r="I114" s="14" t="inlineStr">
        <is>
          <t>government</t>
        </is>
      </c>
      <c r="J114" s="14" t="inlineStr">
        <is>
          <t>2026-08-30</t>
        </is>
      </c>
      <c r="K114" s="14" t="inlineStr">
        <is>
          <t>2026-09-23</t>
        </is>
      </c>
      <c r="L114" s="14" t="inlineStr">
        <is>
          <t>-</t>
        </is>
      </c>
      <c r="M114" s="14" t="inlineStr">
        <is>
          <t>-</t>
        </is>
      </c>
      <c r="N114" s="21" t="inlineStr">
        <is>
          <t>NEW</t>
        </is>
      </c>
      <c r="O114" s="14" t="inlineStr">
        <is>
          <t>غير متوافقة مع اختصاصات KBM</t>
        </is>
      </c>
      <c r="P114" s="22">
        <f>HYPERLINK("https://kuwaitalyawm.media.gov.kw/Online/ViewAdsHTML?id=168277&amp;no=1", "عرض المصدر")</f>
        <v/>
      </c>
    </row>
    <row r="115">
      <c r="A115" s="11" t="inlineStr">
        <is>
          <t>1092925</t>
        </is>
      </c>
      <c r="B115" s="11" t="inlineStr">
        <is>
          <t>وزارة الدفاع</t>
        </is>
      </c>
      <c r="C115" s="11" t="inlineStr">
        <is>
          <t>Eiman Ashkanani</t>
        </is>
      </c>
      <c r="D115" s="11" t="inlineStr">
        <is>
          <t>مناقصة رقم 1092925: أعمال صيانة شاملة للمعسكرات التابعة لمراقبة لواء مبارك 15</t>
        </is>
      </c>
      <c r="E11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15.0%</t>
        </is>
      </c>
      <c r="I115" s="12" t="inlineStr">
        <is>
          <t>government</t>
        </is>
      </c>
      <c r="J115" s="12" t="inlineStr">
        <is>
          <t>2026-08-30</t>
        </is>
      </c>
      <c r="K115" s="12" t="inlineStr">
        <is>
          <t>-</t>
        </is>
      </c>
      <c r="L115" s="12" t="inlineStr">
        <is>
          <t>23000.0</t>
        </is>
      </c>
      <c r="M115" s="12" t="inlineStr">
        <is>
          <t>1000.0</t>
        </is>
      </c>
      <c r="N115" s="21" t="inlineStr">
        <is>
          <t>NEW</t>
        </is>
      </c>
      <c r="O115" s="12" t="inlineStr">
        <is>
          <t>غير متوافقة مع اختصاصات KBM</t>
        </is>
      </c>
      <c r="P115" s="23">
        <f>HYPERLINK("https://kuwaitalyawm.media.gov.kw/Online/ViewAdsHTML?id=168278&amp;no=1", "عرض المصدر")</f>
        <v/>
      </c>
    </row>
    <row r="116">
      <c r="A116" s="13" t="inlineStr">
        <is>
          <t>1042826</t>
        </is>
      </c>
      <c r="B116" s="13" t="inlineStr">
        <is>
          <t>وزارة الدفاع</t>
        </is>
      </c>
      <c r="C116" s="13" t="inlineStr">
        <is>
          <t>Eiman Ashkanani</t>
        </is>
      </c>
      <c r="D116" s="13" t="inlineStr">
        <is>
          <t>مناقصة رقم 1042826: تشغيل وصيانة وإصلاح لمحطات الوقود بمعسكرات</t>
        </is>
      </c>
      <c r="E116" s="13" t="inlineStr">
        <is>
          <t>أعمال وتوريدات تشغيل وصيانة وإصلاح لمحطات الوقود بمعسكرات لصالح وزارة الدفاع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government</t>
        </is>
      </c>
      <c r="J116" s="14" t="inlineStr">
        <is>
          <t>2026-08-30</t>
        </is>
      </c>
      <c r="K116" s="14" t="inlineStr">
        <is>
          <t>2026-10-27</t>
        </is>
      </c>
      <c r="L116" s="14" t="inlineStr">
        <is>
          <t>15000.0</t>
        </is>
      </c>
      <c r="M116" s="14" t="inlineStr">
        <is>
          <t>1000.0</t>
        </is>
      </c>
      <c r="N116" s="21" t="inlineStr">
        <is>
          <t>NEW</t>
        </is>
      </c>
      <c r="O116" s="14" t="inlineStr">
        <is>
          <t>فرصة ICT متوافقة مع قدرات KBM</t>
        </is>
      </c>
      <c r="P116" s="22">
        <f>HYPERLINK("https://kuwaitalyawm.media.gov.kw/Online/ViewAdsHTML?id=168279&amp;no=1", "عرض المصدر")</f>
        <v/>
      </c>
    </row>
    <row r="117">
      <c r="A117" s="11" t="inlineStr">
        <is>
          <t>2026/504</t>
        </is>
      </c>
      <c r="B117" s="11" t="inlineStr">
        <is>
          <t>مؤسسة البترول الكويتية</t>
        </is>
      </c>
      <c r="C117" s="11" t="inlineStr">
        <is>
          <t>Eiman Ashkanani</t>
        </is>
      </c>
      <c r="D117" s="11" t="inlineStr">
        <is>
          <t>مناقصة رقم 2026/504: توريد مواد تموينية غذائية</t>
        </is>
      </c>
      <c r="E117" s="11" t="inlineStr">
        <is>
          <t>أعمال وتوريدات توريد مواد تموينية غذائية لصالح مؤسسة البترول الكويتية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2026-08-30</t>
        </is>
      </c>
      <c r="K117" s="12" t="inlineStr">
        <is>
          <t>-</t>
        </is>
      </c>
      <c r="L117" s="12" t="inlineStr">
        <is>
          <t>-</t>
        </is>
      </c>
      <c r="M117" s="12" t="inlineStr">
        <is>
          <t>-</t>
        </is>
      </c>
      <c r="N117" s="21" t="inlineStr">
        <is>
          <t>NEW</t>
        </is>
      </c>
      <c r="O117" s="12" t="inlineStr">
        <is>
          <t>غير متوافقة مع اختصاصات KBM</t>
        </is>
      </c>
      <c r="P117" s="23">
        <f>HYPERLINK("https://kuwaitalyawm.media.gov.kw/Online/ViewAdsHTML?id=168747&amp;no=1", "عرض المصدر")</f>
        <v/>
      </c>
    </row>
    <row r="118">
      <c r="A118" s="13" t="inlineStr">
        <is>
          <t>2026/2025/33</t>
        </is>
      </c>
      <c r="B118" s="13" t="inlineStr">
        <is>
          <t>الشركة الكويتية لتزويد الطائرات بالوقود</t>
        </is>
      </c>
      <c r="C118" s="13" t="inlineStr">
        <is>
          <t>Eiman Ashkanani</t>
        </is>
      </c>
      <c r="D11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1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14" t="inlineStr">
        <is>
          <t>عام</t>
        </is>
      </c>
      <c r="H118" s="14" t="inlineStr">
        <is>
          <t>0.0%</t>
        </is>
      </c>
      <c r="I118" s="14" t="inlineStr">
        <is>
          <t>government</t>
        </is>
      </c>
      <c r="J118" s="14" t="inlineStr">
        <is>
          <t>2026-08-30</t>
        </is>
      </c>
      <c r="K118" s="14" t="inlineStr">
        <is>
          <t>2026-09-15</t>
        </is>
      </c>
      <c r="L118" s="14" t="inlineStr">
        <is>
          <t>-</t>
        </is>
      </c>
      <c r="M118" s="14" t="inlineStr">
        <is>
          <t>-</t>
        </is>
      </c>
      <c r="N118" s="21" t="inlineStr">
        <is>
          <t>NEW</t>
        </is>
      </c>
      <c r="O118" s="14" t="inlineStr">
        <is>
          <t>غير متوافقة مع اختصاصات KBM</t>
        </is>
      </c>
      <c r="P118" s="22">
        <f>HYPERLINK("https://kuwaitalyawm.media.gov.kw/Online/ViewAdsHTML?id=168756&amp;no=1", "عرض المصدر")</f>
        <v/>
      </c>
    </row>
    <row r="119">
      <c r="A119" s="11" t="inlineStr">
        <is>
          <t>HO/CC066-R0/SV26</t>
        </is>
      </c>
      <c r="B119" s="11" t="inlineStr">
        <is>
          <t>الشركة الكويتية لنفط الخليج</t>
        </is>
      </c>
      <c r="C119" s="11" t="inlineStr">
        <is>
          <t>Eiman Ashkanani</t>
        </is>
      </c>
      <c r="D119" s="11" t="inlineStr">
        <is>
          <t>مناقصة رقم HO/CC066-R0/SV26 - الشركة الكويتية لنفط الخليج</t>
        </is>
      </c>
      <c r="E1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government</t>
        </is>
      </c>
      <c r="J119" s="12" t="inlineStr">
        <is>
          <t>2026-08-30</t>
        </is>
      </c>
      <c r="K119" s="12" t="inlineStr">
        <is>
          <t>2026-12-01</t>
        </is>
      </c>
      <c r="L119" s="12" t="inlineStr">
        <is>
          <t>50000.0</t>
        </is>
      </c>
      <c r="M119" s="12" t="inlineStr">
        <is>
          <t>-</t>
        </is>
      </c>
      <c r="N119" s="21" t="inlineStr">
        <is>
          <t>NEW</t>
        </is>
      </c>
      <c r="O119" s="12" t="inlineStr">
        <is>
          <t>غير متوافقة مع اختصاصات KBM</t>
        </is>
      </c>
      <c r="P119" s="23">
        <f>HYPERLINK("https://kuwaitalyawm.media.gov.kw/Online/ViewAdsHTML?id=168757&amp;no=1", "عرض المصدر")</f>
        <v/>
      </c>
    </row>
    <row r="120">
      <c r="A120" s="13" t="inlineStr">
        <is>
          <t>2026/8/10</t>
        </is>
      </c>
      <c r="B120" s="13" t="inlineStr">
        <is>
          <t>شركة إدارة المرافق العمومية</t>
        </is>
      </c>
      <c r="C120" s="13" t="inlineStr">
        <is>
          <t>Eiman Ashkanani</t>
        </is>
      </c>
      <c r="D120" s="13" t="inlineStr">
        <is>
          <t>مناقصة رقم 2026/8/10: بخصـوص القيام بأعمـال تعديل وصيانة وإعادة توزيع مكاتب مقر شركة إدارة المرافق العمومية - بموقف الأحمدية متعدد الأدوار</t>
        </is>
      </c>
      <c r="E12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2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20" s="14" t="inlineStr">
        <is>
          <t>عام</t>
        </is>
      </c>
      <c r="H120" s="14" t="inlineStr">
        <is>
          <t>0.0%</t>
        </is>
      </c>
      <c r="I120" s="14" t="inlineStr">
        <is>
          <t>government</t>
        </is>
      </c>
      <c r="J120" s="14" t="inlineStr">
        <is>
          <t>2026-08-30</t>
        </is>
      </c>
      <c r="K120" s="14" t="inlineStr">
        <is>
          <t>2026-09-10</t>
        </is>
      </c>
      <c r="L120" s="14" t="inlineStr">
        <is>
          <t>2000.0</t>
        </is>
      </c>
      <c r="M120" s="14" t="inlineStr">
        <is>
          <t>150.0</t>
        </is>
      </c>
      <c r="N120" s="21" t="inlineStr">
        <is>
          <t>NEW</t>
        </is>
      </c>
      <c r="O120" s="14" t="inlineStr">
        <is>
          <t>غير متوافقة مع اختصاصات KBM</t>
        </is>
      </c>
      <c r="P120" s="22">
        <f>HYPERLINK("https://kuwaitalyawm.media.gov.kw/Online/ViewAdsHTML?id=168758&amp;no=1", "عرض المصدر")</f>
        <v/>
      </c>
    </row>
    <row r="121">
      <c r="A121" s="11" t="inlineStr">
        <is>
          <t>601750</t>
        </is>
      </c>
      <c r="B121" s="11" t="inlineStr">
        <is>
          <t>شركة البترول الكويتية العالمية</t>
        </is>
      </c>
      <c r="C121" s="11" t="inlineStr">
        <is>
          <t>Eiman Ashkanani</t>
        </is>
      </c>
      <c r="D121" s="11" t="inlineStr">
        <is>
          <t>مناقصة رقم 601750 - شركة البترول الكويتية العالمية</t>
        </is>
      </c>
      <c r="E121" s="11" t="inlineStr">
        <is>
          <t>أعمال وتوريدات مناقصة رقم 601750 لصالح شركة البترول الكويتية العالمية وفقاً للشروط والمواصفات المعتمدة في وثائق الطرح.</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government</t>
        </is>
      </c>
      <c r="J121" s="12" t="inlineStr">
        <is>
          <t>2026-08-30</t>
        </is>
      </c>
      <c r="K121" s="12" t="inlineStr">
        <is>
          <t>2026-09-29</t>
        </is>
      </c>
      <c r="L121" s="12" t="inlineStr">
        <is>
          <t>2500.0</t>
        </is>
      </c>
      <c r="M121" s="12" t="inlineStr">
        <is>
          <t>-</t>
        </is>
      </c>
      <c r="N121" s="21" t="inlineStr">
        <is>
          <t>NEW</t>
        </is>
      </c>
      <c r="O121" s="12" t="inlineStr">
        <is>
          <t>غير متوافقة مع اختصاصات KBM</t>
        </is>
      </c>
      <c r="P121" s="23">
        <f>HYPERLINK("https://kuwaitalyawm.media.gov.kw/Online/ViewAdsHTML?id=168759&amp;no=1", "عرض المصدر")</f>
        <v/>
      </c>
    </row>
    <row r="122">
      <c r="A122" s="13" t="inlineStr">
        <is>
          <t>CC CMS 6104</t>
        </is>
      </c>
      <c r="B122" s="13" t="inlineStr">
        <is>
          <t>شركة البترول الوطنية الكويتية</t>
        </is>
      </c>
      <c r="C122" s="13" t="inlineStr">
        <is>
          <t>Abrar Al-Qallaf</t>
        </is>
      </c>
      <c r="D122" s="13" t="inlineStr">
        <is>
          <t>ممارسة رقم CC CMS 6104: توريد مواد ومهمات تشغيلية لزوم شركة البترول الوطنية الكويتية - شركة البترول الوطنية الكويتية</t>
        </is>
      </c>
      <c r="E122" s="13" t="inlineStr">
        <is>
          <t>أعمال وتوريدات تخصصية لزوم شركة البترول الوطنية الكويتية حسب وثائق الممارسة رقم CC CMS 6104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2026-08-30</t>
        </is>
      </c>
      <c r="K122" s="14" t="inlineStr">
        <is>
          <t>2026-10-01</t>
        </is>
      </c>
      <c r="L122" s="14" t="inlineStr">
        <is>
          <t>50000.0</t>
        </is>
      </c>
      <c r="M122" s="14" t="inlineStr">
        <is>
          <t>500.0</t>
        </is>
      </c>
      <c r="N122" s="21" t="inlineStr">
        <is>
          <t>NEW</t>
        </is>
      </c>
      <c r="O122" s="14" t="inlineStr">
        <is>
          <t>غير متوافقة</t>
        </is>
      </c>
      <c r="P122" s="22">
        <f>HYPERLINK("https://kuwaitalyawm.media.gov.kw/Online/ViewAdsHTML?id=168768&amp;no=1", "عرض المصدر")</f>
        <v/>
      </c>
    </row>
    <row r="123">
      <c r="A123" s="11" t="inlineStr">
        <is>
          <t>126</t>
        </is>
      </c>
      <c r="B123" s="11" t="inlineStr">
        <is>
          <t>شركة البترول الوطنية الكويتية</t>
        </is>
      </c>
      <c r="C123" s="11" t="inlineStr">
        <is>
          <t>Abrar Al-Qallaf</t>
        </is>
      </c>
      <c r="D123" s="11" t="inlineStr">
        <is>
          <t>ممارسة رقم 126: توريد مواد ومهمات تشغيلية لزوم شركة البترول الوطنية الكويتية - شركة البترول الوطنية الكويتية</t>
        </is>
      </c>
      <c r="E123" s="11" t="inlineStr">
        <is>
          <t>أعمال وتوريدات تخصصية لزوم شركة البترول الوطنية الكويتية حسب وثائق الممارسة رقم 126 عبر منصة K-Tendering.</t>
        </is>
      </c>
      <c r="F123" s="11" t="inlineStr">
        <is>
          <t>وفقاً لشروط وإجراءات المناقصات والتوريد لدى شركة البترول الوطنية الكويتية (KNPC) عبر منصة K-Tendering.</t>
        </is>
      </c>
      <c r="G123" s="12" t="inlineStr">
        <is>
          <t>عام</t>
        </is>
      </c>
      <c r="H123" s="12" t="inlineStr">
        <is>
          <t>15.0%</t>
        </is>
      </c>
      <c r="I123" s="12" t="inlineStr">
        <is>
          <t>oil_and_gas</t>
        </is>
      </c>
      <c r="J123" s="12" t="inlineStr">
        <is>
          <t>2026-08-30</t>
        </is>
      </c>
      <c r="K123" s="12" t="inlineStr">
        <is>
          <t>-</t>
        </is>
      </c>
      <c r="L123" s="12" t="inlineStr">
        <is>
          <t>-</t>
        </is>
      </c>
      <c r="M123" s="12" t="inlineStr">
        <is>
          <t>-</t>
        </is>
      </c>
      <c r="N123" s="21" t="inlineStr">
        <is>
          <t>NEW</t>
        </is>
      </c>
      <c r="O123" s="12" t="inlineStr">
        <is>
          <t>غير متوافقة</t>
        </is>
      </c>
      <c r="P123" s="23">
        <f>HYPERLINK("https://kuwaitalyawm.media.gov.kw/Online/ViewAdsHTML?id=168769&amp;no=1", "عرض المصدر")</f>
        <v/>
      </c>
    </row>
    <row r="124">
      <c r="A124" s="13" t="inlineStr">
        <is>
          <t>2026/4</t>
        </is>
      </c>
      <c r="B124" s="13" t="inlineStr">
        <is>
          <t>شركة ناقلات النفط الكويتية</t>
        </is>
      </c>
      <c r="C124" s="13" t="inlineStr">
        <is>
          <t>Ahmed Habib</t>
        </is>
      </c>
      <c r="D124" s="13" t="inlineStr">
        <is>
          <t>مناقصة رقم 2026/4: إعلان طرح المناقصة الخاصة بتقديم خدمات النظافة والمناولة لشركة ناقلات النفط الكويتية</t>
        </is>
      </c>
      <c r="E124" s="13" t="inlineStr">
        <is>
          <t>توفير خدمات وأعمال النظافة العامة والشاملة للمباني والمرافق وتوفير العمالة والمعدات والمستهلكات اللازمة.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2026-08-30</t>
        </is>
      </c>
      <c r="K124" s="14" t="inlineStr">
        <is>
          <t>2026-10-13</t>
        </is>
      </c>
      <c r="L124" s="14" t="inlineStr">
        <is>
          <t>15000.0</t>
        </is>
      </c>
      <c r="M124" s="14" t="inlineStr">
        <is>
          <t>-</t>
        </is>
      </c>
      <c r="N124" s="21" t="inlineStr">
        <is>
          <t>NEW</t>
        </is>
      </c>
      <c r="O124" s="14" t="inlineStr">
        <is>
          <t>غير متوافقة مع اختصاصات KBM</t>
        </is>
      </c>
      <c r="P124" s="22">
        <f>HYPERLINK("https://kuwaitalyawm.media.gov.kw/Online/ViewAdsHTML?id=168772&amp;no=1", "عرض المصدر")</f>
        <v/>
      </c>
    </row>
    <row r="125">
      <c r="A125" s="11" t="inlineStr">
        <is>
          <t>RFQ 2163800</t>
        </is>
      </c>
      <c r="B125" s="11" t="inlineStr">
        <is>
          <t>شركة البترول الوطنية الكويتية</t>
        </is>
      </c>
      <c r="C125" s="11" t="inlineStr">
        <is>
          <t>Abrar Al-Qallaf</t>
        </is>
      </c>
      <c r="D125" s="11" t="inlineStr">
        <is>
          <t>ممارسة رقم RFQ 2163800: 2163800 - شركة البترول الوطنية الكويتية</t>
        </is>
      </c>
      <c r="E125" s="11" t="inlineStr">
        <is>
          <t>أعمال وتوريدات تخصصية لزوم شركة البترول الوطنية الكويتية حسب وثائق الممارسة رقم RFQ 2163800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2026-08-30</t>
        </is>
      </c>
      <c r="K125" s="12" t="inlineStr">
        <is>
          <t>-</t>
        </is>
      </c>
      <c r="L125" s="12" t="inlineStr">
        <is>
          <t>-</t>
        </is>
      </c>
      <c r="M125" s="12" t="inlineStr">
        <is>
          <t>-</t>
        </is>
      </c>
      <c r="N125" s="21" t="inlineStr">
        <is>
          <t>NEW</t>
        </is>
      </c>
      <c r="O125" s="12" t="inlineStr">
        <is>
          <t>غير متوافقة</t>
        </is>
      </c>
      <c r="P125" s="23">
        <f>HYPERLINK("https://kuwaitalyawm.media.gov.kw/Online/ViewAdsHTML?id=168778&amp;no=1", "عرض المصدر")</f>
        <v/>
      </c>
    </row>
    <row r="126">
      <c r="A126" s="13" t="inlineStr">
        <is>
          <t>RFQ 2161955</t>
        </is>
      </c>
      <c r="B126" s="13" t="inlineStr">
        <is>
          <t>شركة البترول الوطنية الكويتية</t>
        </is>
      </c>
      <c r="C126" s="13" t="inlineStr">
        <is>
          <t>Abrar Al-Qallaf</t>
        </is>
      </c>
      <c r="D126" s="13" t="inlineStr">
        <is>
          <t>ممارسة رقم RFQ 2161955: توريد مواد ومهمات تشغيلية لزوم شركة البترول الوطنية الكويتية - شركة البترول الوطنية الكويتية</t>
        </is>
      </c>
      <c r="E126" s="13" t="inlineStr">
        <is>
          <t>أعمال وتوريدات تخصصية لزوم شركة البترول الوطنية الكويتية حسب وثائق الممارسة رقم RFQ 2161955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2026-08-30</t>
        </is>
      </c>
      <c r="K126" s="14" t="inlineStr">
        <is>
          <t>-</t>
        </is>
      </c>
      <c r="L126" s="14" t="inlineStr">
        <is>
          <t>-</t>
        </is>
      </c>
      <c r="M126" s="14" t="inlineStr">
        <is>
          <t>-</t>
        </is>
      </c>
      <c r="N126" s="21" t="inlineStr">
        <is>
          <t>NEW</t>
        </is>
      </c>
      <c r="O126" s="14" t="inlineStr">
        <is>
          <t>غير متوافقة</t>
        </is>
      </c>
      <c r="P126" s="22">
        <f>HYPERLINK("https://kuwaitalyawm.media.gov.kw/Online/ViewAdsHTML?id=168779&amp;no=1", "عرض المصدر")</f>
        <v/>
      </c>
    </row>
    <row r="127">
      <c r="A127" s="11" t="inlineStr">
        <is>
          <t>RFQ 2151259</t>
        </is>
      </c>
      <c r="B127" s="11" t="inlineStr">
        <is>
          <t>شركة البترول الوطنية الكويتية</t>
        </is>
      </c>
      <c r="C127" s="11" t="inlineStr">
        <is>
          <t>Abrar Al-Qallaf</t>
        </is>
      </c>
      <c r="D127" s="11" t="inlineStr">
        <is>
          <t>ممارسة رقم RFQ 2151259: PALEOZOIC HPHT ONSHORE EXPLORATORY WELLS - شركة البترول الوطنية الكويتية</t>
        </is>
      </c>
      <c r="E127" s="11" t="inlineStr">
        <is>
          <t>أعمال وتوريدات تخصصية لزوم شركة البترول الوطنية الكويتية حسب وثائق الممارسة رقم RFQ 2151259 عبر منصة K-Tendering.</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2026-08-30</t>
        </is>
      </c>
      <c r="K127" s="12" t="inlineStr">
        <is>
          <t>-</t>
        </is>
      </c>
      <c r="L127" s="12" t="inlineStr">
        <is>
          <t>-</t>
        </is>
      </c>
      <c r="M127" s="12" t="inlineStr">
        <is>
          <t>-</t>
        </is>
      </c>
      <c r="N127" s="21" t="inlineStr">
        <is>
          <t>NEW</t>
        </is>
      </c>
      <c r="O127" s="12" t="inlineStr">
        <is>
          <t>غير متوافقة</t>
        </is>
      </c>
      <c r="P127" s="23">
        <f>HYPERLINK("https://kuwaitalyawm.media.gov.kw/Online/ViewAdsHTML?id=168780&amp;no=1", "عرض المصدر")</f>
        <v/>
      </c>
    </row>
    <row r="128">
      <c r="A128" s="13" t="inlineStr">
        <is>
          <t>RFQ 2160432</t>
        </is>
      </c>
      <c r="B128" s="13" t="inlineStr">
        <is>
          <t>شركة البترول الوطنية الكويتية</t>
        </is>
      </c>
      <c r="C128" s="13" t="inlineStr">
        <is>
          <t>Abrar Al-Qallaf</t>
        </is>
      </c>
      <c r="D128" s="13" t="inlineStr">
        <is>
          <t>ممارسة رقم RFQ 2160432: 2160432 - شركة البترول الوطنية الكويتية</t>
        </is>
      </c>
      <c r="E128" s="13" t="inlineStr">
        <is>
          <t>أعمال وتوريدات تخصصية لزوم شركة البترول الوطنية الكويتية حسب وثائق الممارسة رقم RFQ 2160432 عبر منصة K-Tendering.</t>
        </is>
      </c>
      <c r="F128" s="13" t="inlineStr">
        <is>
          <t>وفقاً لشروط وإجراءات المناقصات والتوريد لدى شركة البترول الوطنية الكويتية (KNPC) عبر منصة K-Tendering.</t>
        </is>
      </c>
      <c r="G128" s="14" t="inlineStr">
        <is>
          <t>عام</t>
        </is>
      </c>
      <c r="H128" s="14" t="inlineStr">
        <is>
          <t>15.0%</t>
        </is>
      </c>
      <c r="I128" s="14" t="inlineStr">
        <is>
          <t>oil_and_gas</t>
        </is>
      </c>
      <c r="J128" s="14" t="inlineStr">
        <is>
          <t>2026-08-30</t>
        </is>
      </c>
      <c r="K128" s="14" t="inlineStr">
        <is>
          <t>-</t>
        </is>
      </c>
      <c r="L128" s="14" t="inlineStr">
        <is>
          <t>-</t>
        </is>
      </c>
      <c r="M128" s="14" t="inlineStr">
        <is>
          <t>-</t>
        </is>
      </c>
      <c r="N128" s="21" t="inlineStr">
        <is>
          <t>NEW</t>
        </is>
      </c>
      <c r="O128" s="14" t="inlineStr">
        <is>
          <t>غير متوافقة</t>
        </is>
      </c>
      <c r="P128" s="22">
        <f>HYPERLINK("https://kuwaitalyawm.media.gov.kw/Online/ViewAdsHTML?id=168781&amp;no=1", "عرض المصدر")</f>
        <v/>
      </c>
    </row>
    <row r="129">
      <c r="A129" s="11" t="inlineStr">
        <is>
          <t>RFQ 2164511</t>
        </is>
      </c>
      <c r="B129" s="11" t="inlineStr">
        <is>
          <t>شركة البترول الوطنية الكويتية</t>
        </is>
      </c>
      <c r="C129" s="11" t="inlineStr">
        <is>
          <t>Abrar Al-Qallaf</t>
        </is>
      </c>
      <c r="D129" s="11" t="inlineStr">
        <is>
          <t>ممارسة رقم RFQ 2164511: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 2164511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2026-08-30</t>
        </is>
      </c>
      <c r="K129" s="12" t="inlineStr">
        <is>
          <t>2026-12-07</t>
        </is>
      </c>
      <c r="L129" s="12" t="inlineStr">
        <is>
          <t>5000.0</t>
        </is>
      </c>
      <c r="M129" s="12" t="inlineStr">
        <is>
          <t>-</t>
        </is>
      </c>
      <c r="N129" s="21" t="inlineStr">
        <is>
          <t>NEW</t>
        </is>
      </c>
      <c r="O129" s="12" t="inlineStr">
        <is>
          <t>غير متوافقة</t>
        </is>
      </c>
      <c r="P129" s="23">
        <f>HYPERLINK("https://kuwaitalyawm.media.gov.kw/Online/ViewAdsHTML?id=168784&amp;no=1", "عرض المصدر")</f>
        <v/>
      </c>
    </row>
    <row r="130">
      <c r="A130" s="13" t="inlineStr">
        <is>
          <t>RFQ 2166316</t>
        </is>
      </c>
      <c r="B130" s="13" t="inlineStr">
        <is>
          <t>شركة البترول الوطنية الكويتية</t>
        </is>
      </c>
      <c r="C130" s="13" t="inlineStr">
        <is>
          <t>Abrar Al-Qallaf</t>
        </is>
      </c>
      <c r="D130" s="13" t="inlineStr">
        <is>
          <t>ممارسة رقم RFQ 2166316: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2166316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2026-08-30</t>
        </is>
      </c>
      <c r="K130" s="14" t="inlineStr">
        <is>
          <t>2026-11-30</t>
        </is>
      </c>
      <c r="L130" s="14" t="inlineStr">
        <is>
          <t>150000.0</t>
        </is>
      </c>
      <c r="M130" s="14" t="inlineStr">
        <is>
          <t>-</t>
        </is>
      </c>
      <c r="N130" s="21" t="inlineStr">
        <is>
          <t>NEW</t>
        </is>
      </c>
      <c r="O130" s="14" t="inlineStr">
        <is>
          <t>غير متوافقة</t>
        </is>
      </c>
      <c r="P130" s="22">
        <f>HYPERLINK("https://kuwaitalyawm.media.gov.kw/Online/ViewAdsHTML?id=168785&amp;no=1", "عرض المصدر")</f>
        <v/>
      </c>
    </row>
    <row r="131">
      <c r="A131" s="11" t="inlineStr">
        <is>
          <t>RFP 2162824</t>
        </is>
      </c>
      <c r="B131" s="11" t="inlineStr">
        <is>
          <t>شركة البترول الوطنية الكويتية</t>
        </is>
      </c>
      <c r="C131" s="11" t="inlineStr">
        <is>
          <t>Abrar Al-Qallaf</t>
        </is>
      </c>
      <c r="D131" s="11" t="inlineStr">
        <is>
          <t>ممارسة رقم RFP 2162824: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RFP 2162824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2026-08-30</t>
        </is>
      </c>
      <c r="K131" s="12" t="inlineStr">
        <is>
          <t>2026-11-30</t>
        </is>
      </c>
      <c r="L131" s="12" t="inlineStr">
        <is>
          <t>50000.0</t>
        </is>
      </c>
      <c r="M131" s="12" t="inlineStr">
        <is>
          <t>-</t>
        </is>
      </c>
      <c r="N131" s="21" t="inlineStr">
        <is>
          <t>NEW</t>
        </is>
      </c>
      <c r="O131" s="12" t="inlineStr">
        <is>
          <t>غير متوافقة</t>
        </is>
      </c>
      <c r="P131" s="23">
        <f>HYPERLINK("https://kuwaitalyawm.media.gov.kw/Online/ViewAdsHTML?id=168786&amp;no=1", "عرض المصدر")</f>
        <v/>
      </c>
    </row>
    <row r="132">
      <c r="A132" s="13" t="inlineStr">
        <is>
          <t>2026/2025/41</t>
        </is>
      </c>
      <c r="B132" s="13" t="inlineStr">
        <is>
          <t>وزارة الداخلية</t>
        </is>
      </c>
      <c r="C132" s="13" t="inlineStr">
        <is>
          <t>Khaled Alabdallah</t>
        </is>
      </c>
      <c r="D13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3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2026-08-23</t>
        </is>
      </c>
      <c r="K132" s="14" t="inlineStr">
        <is>
          <t>-</t>
        </is>
      </c>
      <c r="L132" s="14" t="inlineStr">
        <is>
          <t>12000.0</t>
        </is>
      </c>
      <c r="M132" s="14" t="inlineStr">
        <is>
          <t>-</t>
        </is>
      </c>
      <c r="N132" s="21" t="inlineStr">
        <is>
          <t>NEW</t>
        </is>
      </c>
      <c r="O132" s="14" t="inlineStr">
        <is>
          <t>غير متوافقة مع اختصاصات KBM</t>
        </is>
      </c>
      <c r="P132" s="22">
        <f>HYPERLINK("https://kuwaitalyawm.media.gov.kw/Online/ViewAdsHTML?id=167483&amp;no=1", "عرض المصدر")</f>
        <v/>
      </c>
    </row>
    <row r="133">
      <c r="A133" s="11" t="inlineStr">
        <is>
          <t>2027/2026/1302</t>
        </is>
      </c>
      <c r="B133" s="11" t="inlineStr">
        <is>
          <t>المؤسسة العامة للرعاية السكنية</t>
        </is>
      </c>
      <c r="C133" s="11" t="inlineStr">
        <is>
          <t>Eiman Ashkanani</t>
        </is>
      </c>
      <c r="D133" s="11" t="inlineStr">
        <is>
          <t>مناقصة رقم 2027/2026/1302: أعمال إنشاء وإنـجاز وصيانة طبقة الاسفلت السطحية</t>
        </is>
      </c>
      <c r="E133" s="11" t="inlineStr">
        <is>
          <t>تنفيذ الأعمال المدنية والإنشائية والترميم والصيانة العامة للمباني والمنشآت والمرافق التابعة للجهة.</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28.0%</t>
        </is>
      </c>
      <c r="I133" s="12" t="inlineStr">
        <is>
          <t>government</t>
        </is>
      </c>
      <c r="J133" s="12" t="inlineStr">
        <is>
          <t>2026-08-23</t>
        </is>
      </c>
      <c r="K133" s="12" t="inlineStr">
        <is>
          <t>2026-09-13</t>
        </is>
      </c>
      <c r="L133" s="12" t="inlineStr">
        <is>
          <t>-</t>
        </is>
      </c>
      <c r="M133" s="12" t="inlineStr">
        <is>
          <t>-</t>
        </is>
      </c>
      <c r="N133" s="21" t="inlineStr">
        <is>
          <t>NEW</t>
        </is>
      </c>
      <c r="O133" s="12" t="inlineStr">
        <is>
          <t>غير متوافقة مع اختصاصات KBM</t>
        </is>
      </c>
      <c r="P133" s="23">
        <f>HYPERLINK("https://kuwaitalyawm.media.gov.kw/Online/ViewAdsHTML?id=167880&amp;no=1", "عرض المصدر")</f>
        <v/>
      </c>
    </row>
    <row r="134">
      <c r="A134" s="13" t="inlineStr">
        <is>
          <t>2027/2026/1434</t>
        </is>
      </c>
      <c r="B134" s="13" t="inlineStr">
        <is>
          <t>المؤسسة العامة للرعاية السكنية</t>
        </is>
      </c>
      <c r="C134" s="13" t="inlineStr">
        <is>
          <t>Eiman Ashkanani</t>
        </is>
      </c>
      <c r="D134" s="13" t="inlineStr">
        <is>
          <t>مناقصة رقم 2027/2026/1434 - المؤسسة العامة للرعاية السكنية</t>
        </is>
      </c>
      <c r="E134" s="13" t="inlineStr">
        <is>
          <t>أعمال وتوريدات مناقصة رقم 2027/2026/1434 لصالح المؤسسة العامة للرعاية السكنية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government</t>
        </is>
      </c>
      <c r="J134" s="14" t="inlineStr">
        <is>
          <t>2026-08-23</t>
        </is>
      </c>
      <c r="K134" s="14" t="inlineStr">
        <is>
          <t>2026-08-26</t>
        </is>
      </c>
      <c r="L134" s="14" t="inlineStr">
        <is>
          <t>-</t>
        </is>
      </c>
      <c r="M134" s="14" t="inlineStr">
        <is>
          <t>-</t>
        </is>
      </c>
      <c r="N134" s="21" t="inlineStr">
        <is>
          <t>NEW</t>
        </is>
      </c>
      <c r="O134" s="14" t="inlineStr">
        <is>
          <t>غير متوافقة مع اختصاصات KBM</t>
        </is>
      </c>
      <c r="P134" s="22">
        <f>HYPERLINK("https://kuwaitalyawm.media.gov.kw/Online/ViewAdsHTML?id=167881&amp;no=1", "عرض المصدر")</f>
        <v/>
      </c>
    </row>
    <row r="135">
      <c r="A135" s="11" t="inlineStr">
        <is>
          <t>2027/2026/1435</t>
        </is>
      </c>
      <c r="B135" s="11" t="inlineStr">
        <is>
          <t>المؤسسة العامة للرعاية السكنية</t>
        </is>
      </c>
      <c r="C135" s="11" t="inlineStr">
        <is>
          <t>Eiman Ashkanani</t>
        </is>
      </c>
      <c r="D135" s="11" t="inlineStr">
        <is>
          <t>مناقصة رقم 2027/2026/1435 - المؤسسة العامة للرعاية السكنية</t>
        </is>
      </c>
      <c r="E135" s="11" t="inlineStr">
        <is>
          <t>أعمال وتوريدات مناقصة رقم 2027/2026/1435 لصالح المؤسسة العامة للرعاية السكنية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2026-08-23</t>
        </is>
      </c>
      <c r="K135" s="12" t="inlineStr">
        <is>
          <t>2026-08-26</t>
        </is>
      </c>
      <c r="L135" s="12" t="inlineStr">
        <is>
          <t>-</t>
        </is>
      </c>
      <c r="M135" s="12" t="inlineStr">
        <is>
          <t>-</t>
        </is>
      </c>
      <c r="N135" s="21" t="inlineStr">
        <is>
          <t>NEW</t>
        </is>
      </c>
      <c r="O135" s="12" t="inlineStr">
        <is>
          <t>غير متوافقة مع اختصاصات KBM</t>
        </is>
      </c>
      <c r="P135" s="23">
        <f>HYPERLINK("https://kuwaitalyawm.media.gov.kw/Online/ViewAdsHTML?id=167882&amp;no=1", "عرض المصدر")</f>
        <v/>
      </c>
    </row>
    <row r="136">
      <c r="A136" s="13" t="inlineStr">
        <is>
          <t>2026/2025/15</t>
        </is>
      </c>
      <c r="B136" s="13" t="inlineStr">
        <is>
          <t>الشركة الكويتية لتزويد الطائرات بالوقود</t>
        </is>
      </c>
      <c r="C136" s="13" t="inlineStr">
        <is>
          <t>Eiman Ashkanani</t>
        </is>
      </c>
      <c r="D136" s="13" t="inlineStr">
        <is>
          <t>مناقصة رقم 2026/2025/15 - الشركة الكويتية لتزويد الطائرات بالوقود</t>
        </is>
      </c>
      <c r="E13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t>
        </is>
      </c>
      <c r="L136" s="14" t="inlineStr">
        <is>
          <t>19998.5</t>
        </is>
      </c>
      <c r="M136" s="14" t="inlineStr">
        <is>
          <t>-</t>
        </is>
      </c>
      <c r="N136" s="21" t="inlineStr">
        <is>
          <t>NEW</t>
        </is>
      </c>
      <c r="O136" s="14" t="inlineStr">
        <is>
          <t>غير متوافقة مع اختصاصات KBM</t>
        </is>
      </c>
      <c r="P136" s="22">
        <f>HYPERLINK("https://kuwaitalyawm.media.gov.kw/Online/ViewAdsHTML?id=167896&amp;no=1", "عرض المصدر")</f>
        <v/>
      </c>
    </row>
    <row r="137">
      <c r="A137" s="11" t="inlineStr">
        <is>
          <t>2024/2023/30</t>
        </is>
      </c>
      <c r="B137" s="11" t="inlineStr">
        <is>
          <t>الشركة الكويتية لتزويد الطائرات بالوقود</t>
        </is>
      </c>
      <c r="C137" s="11" t="inlineStr">
        <is>
          <t>Eiman Ashkanani</t>
        </is>
      </c>
      <c r="D13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0.0%</t>
        </is>
      </c>
      <c r="I137" s="12" t="inlineStr">
        <is>
          <t>government</t>
        </is>
      </c>
      <c r="J137" s="12" t="inlineStr">
        <is>
          <t>2026-08-23</t>
        </is>
      </c>
      <c r="K137" s="12" t="inlineStr">
        <is>
          <t>-</t>
        </is>
      </c>
      <c r="L137" s="12" t="inlineStr">
        <is>
          <t>-</t>
        </is>
      </c>
      <c r="M137" s="12" t="inlineStr">
        <is>
          <t>-</t>
        </is>
      </c>
      <c r="N137" s="21" t="inlineStr">
        <is>
          <t>NEW</t>
        </is>
      </c>
      <c r="O137" s="12" t="inlineStr">
        <is>
          <t>غير متوافقة مع اختصاصات KBM</t>
        </is>
      </c>
      <c r="P137" s="23">
        <f>HYPERLINK("https://kuwaitalyawm.media.gov.kw/Online/ViewAdsHTML?id=167897&amp;no=1", "عرض المصدر")</f>
        <v/>
      </c>
    </row>
    <row r="138">
      <c r="A138" s="13" t="inlineStr">
        <is>
          <t>HO/TC146000/R0/PM&amp;E26</t>
        </is>
      </c>
      <c r="B138" s="13" t="inlineStr">
        <is>
          <t>الشركة الكويتية لنفط الخليج</t>
        </is>
      </c>
      <c r="C138" s="13" t="inlineStr">
        <is>
          <t>Eiman Ashkanani</t>
        </is>
      </c>
      <c r="D138" s="13" t="inlineStr">
        <is>
          <t>مناقصة رقم HO/TC146000/R0/PM&amp;E26 - الشركة الكويتية لنفط الخليج</t>
        </is>
      </c>
      <c r="E13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2026-08-23</t>
        </is>
      </c>
      <c r="K138" s="14" t="inlineStr">
        <is>
          <t>2026-12-29</t>
        </is>
      </c>
      <c r="L138" s="14" t="inlineStr">
        <is>
          <t>10000000.0</t>
        </is>
      </c>
      <c r="M138" s="14" t="inlineStr">
        <is>
          <t>-</t>
        </is>
      </c>
      <c r="N138" s="21" t="inlineStr">
        <is>
          <t>NEW</t>
        </is>
      </c>
      <c r="O138" s="14" t="inlineStr">
        <is>
          <t>غير متوافقة مع اختصاصات KBM</t>
        </is>
      </c>
      <c r="P138" s="22">
        <f>HYPERLINK("https://kuwaitalyawm.media.gov.kw/Online/ViewAdsHTML?id=167899&amp;no=1", "عرض المصدر")</f>
        <v/>
      </c>
    </row>
    <row r="139">
      <c r="A139" s="11" t="inlineStr">
        <is>
          <t>CB CPC 2562</t>
        </is>
      </c>
      <c r="B139" s="11" t="inlineStr">
        <is>
          <t>شركة البترول الوطنية الكويتية</t>
        </is>
      </c>
      <c r="C139" s="11" t="inlineStr">
        <is>
          <t>Abrar Al-Qallaf</t>
        </is>
      </c>
      <c r="D139" s="11" t="inlineStr">
        <is>
          <t>ممارسة رقم CB CPC 2562: Filter - شركة البترول الوطنية الكويتية</t>
        </is>
      </c>
      <c r="E139" s="11" t="inlineStr">
        <is>
          <t>أعمال وتوريدات تخصصية لزوم شركة البترول الوطنية الكويتية حسب وثائق الممارسة رقم CB CPC 2562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2026-08-23</t>
        </is>
      </c>
      <c r="K139" s="12" t="inlineStr">
        <is>
          <t>2026-11-26</t>
        </is>
      </c>
      <c r="L139" s="12" t="inlineStr">
        <is>
          <t>5000.0</t>
        </is>
      </c>
      <c r="M139" s="12" t="inlineStr">
        <is>
          <t>150.0</t>
        </is>
      </c>
      <c r="N139" s="21" t="inlineStr">
        <is>
          <t>NEW</t>
        </is>
      </c>
      <c r="O139" s="12" t="inlineStr">
        <is>
          <t>غير متوافقة</t>
        </is>
      </c>
      <c r="P139" s="23">
        <f>HYPERLINK("https://kuwaitalyawm.media.gov.kw/Online/ViewAdsHTML?id=167906&amp;no=1", "عرض المصدر")</f>
        <v/>
      </c>
    </row>
    <row r="140">
      <c r="A140" s="13" t="inlineStr">
        <is>
          <t>RFQ 1063574</t>
        </is>
      </c>
      <c r="B140" s="13" t="inlineStr">
        <is>
          <t>شركة البترول الوطنية الكويتية</t>
        </is>
      </c>
      <c r="C140" s="13" t="inlineStr">
        <is>
          <t>Abrar Al-Qallaf</t>
        </is>
      </c>
      <c r="D140" s="13" t="inlineStr">
        <is>
          <t>ممارسة رقم RFQ 1063574: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 1063574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2026-08-23</t>
        </is>
      </c>
      <c r="K140" s="14" t="inlineStr">
        <is>
          <t>2026-12-03</t>
        </is>
      </c>
      <c r="L140" s="14" t="inlineStr">
        <is>
          <t>1000.0</t>
        </is>
      </c>
      <c r="M140" s="14" t="inlineStr">
        <is>
          <t>-</t>
        </is>
      </c>
      <c r="N140" s="21" t="inlineStr">
        <is>
          <t>NEW</t>
        </is>
      </c>
      <c r="O140" s="14" t="inlineStr">
        <is>
          <t>غير متوافقة</t>
        </is>
      </c>
      <c r="P140" s="22">
        <f>HYPERLINK("https://kuwaitalyawm.media.gov.kw/Online/ViewAdsHTML?id=167907&amp;no=1", "عرض المصدر")</f>
        <v/>
      </c>
    </row>
    <row r="141">
      <c r="A141" s="11" t="inlineStr">
        <is>
          <t>1000</t>
        </is>
      </c>
      <c r="B141" s="11" t="inlineStr">
        <is>
          <t>شركة البترول الوطنية الكويتية</t>
        </is>
      </c>
      <c r="C141" s="11" t="inlineStr">
        <is>
          <t>Abrar Al-Qallaf</t>
        </is>
      </c>
      <c r="D141" s="11" t="inlineStr">
        <is>
          <t>ممارسة رقم 1000: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1000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2026-08-23</t>
        </is>
      </c>
      <c r="K141" s="12" t="inlineStr">
        <is>
          <t>-</t>
        </is>
      </c>
      <c r="L141" s="12" t="inlineStr">
        <is>
          <t>-</t>
        </is>
      </c>
      <c r="M141" s="12" t="inlineStr">
        <is>
          <t>-</t>
        </is>
      </c>
      <c r="N141" s="21" t="inlineStr">
        <is>
          <t>NEW</t>
        </is>
      </c>
      <c r="O141" s="12" t="inlineStr">
        <is>
          <t>غير متوافقة</t>
        </is>
      </c>
      <c r="P141" s="23">
        <f>HYPERLINK("https://kuwaitalyawm.media.gov.kw/Online/ViewAdsHTML?id=167908&amp;no=1", "عرض المصدر")</f>
        <v/>
      </c>
    </row>
    <row r="142">
      <c r="A142" s="13" t="inlineStr">
        <is>
          <t>4-65</t>
        </is>
      </c>
      <c r="B142" s="13" t="inlineStr">
        <is>
          <t>وزارة الصحة</t>
        </is>
      </c>
      <c r="C142" s="13" t="inlineStr">
        <is>
          <t>Jana Al-Obaid</t>
        </is>
      </c>
      <c r="D142" s="13" t="inlineStr">
        <is>
          <t>ممارسة رقم 4-65 - وزارة الصحة</t>
        </is>
      </c>
      <c r="E142" s="13" t="inlineStr">
        <is>
          <t>أعمال وتوريدات ممارسة رقم 4-65 لصالح وزارة الصحة وفقاً للشروط والمواصفات المعتمدة في وثائق الطرح.</t>
        </is>
      </c>
      <c r="F14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42" s="14" t="inlineStr">
        <is>
          <t>عام</t>
        </is>
      </c>
      <c r="H142" s="14" t="inlineStr">
        <is>
          <t>15.0%</t>
        </is>
      </c>
      <c r="I142" s="14" t="inlineStr">
        <is>
          <t>healthcare</t>
        </is>
      </c>
      <c r="J142" s="14" t="inlineStr">
        <is>
          <t>2026-09-27</t>
        </is>
      </c>
      <c r="K142" s="18" t="inlineStr">
        <is>
          <t>2026-10-12</t>
        </is>
      </c>
      <c r="L142" s="14" t="inlineStr">
        <is>
          <t>-</t>
        </is>
      </c>
      <c r="M142" s="14" t="inlineStr">
        <is>
          <t>75.0</t>
        </is>
      </c>
      <c r="N142" s="21" t="inlineStr">
        <is>
          <t>NEW</t>
        </is>
      </c>
      <c r="O142" s="14" t="inlineStr">
        <is>
          <t>غير متوافقة مع اختصاصات KBM</t>
        </is>
      </c>
      <c r="P142" s="22">
        <f>HYPERLINK("https://kuwaitalyawm.media.gov.kw/Online/ViewAdsHTML?id=171550&amp;no=1", "عرض المصدر")</f>
        <v/>
      </c>
    </row>
    <row r="143">
      <c r="A143" s="11" t="inlineStr">
        <is>
          <t>32-8</t>
        </is>
      </c>
      <c r="B143" s="11" t="inlineStr">
        <is>
          <t>وزارة الصحة</t>
        </is>
      </c>
      <c r="C143" s="11" t="inlineStr">
        <is>
          <t>Jana Al-Obaid</t>
        </is>
      </c>
      <c r="D143" s="11" t="inlineStr">
        <is>
          <t>ممارسة رقم 32-8 - وزارة الصحة</t>
        </is>
      </c>
      <c r="E143" s="11" t="inlineStr">
        <is>
          <t>أعمال وتوريدات ممارسة رقم 32-8 لصالح وزارة الصحة وفقاً للشروط والمواصفات المعتمدة في وثائق الطرح.</t>
        </is>
      </c>
      <c r="F143"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43" s="12" t="inlineStr">
        <is>
          <t>عام</t>
        </is>
      </c>
      <c r="H143" s="12" t="inlineStr">
        <is>
          <t>0.0%</t>
        </is>
      </c>
      <c r="I143" s="12" t="inlineStr">
        <is>
          <t>healthcare</t>
        </is>
      </c>
      <c r="J143" s="12" t="inlineStr">
        <is>
          <t>2026-09-27</t>
        </is>
      </c>
      <c r="K143" s="18" t="inlineStr">
        <is>
          <t>2026-10-12</t>
        </is>
      </c>
      <c r="L143" s="12" t="inlineStr">
        <is>
          <t>-</t>
        </is>
      </c>
      <c r="M143" s="12" t="inlineStr">
        <is>
          <t>150.0</t>
        </is>
      </c>
      <c r="N143" s="21" t="inlineStr">
        <is>
          <t>NEW</t>
        </is>
      </c>
      <c r="O143" s="12" t="inlineStr">
        <is>
          <t>غير متوافقة مع اختصاصات KBM</t>
        </is>
      </c>
      <c r="P143" s="23">
        <f>HYPERLINK("https://kuwaitalyawm.media.gov.kw/Online/ViewAdsHTML?id=171549&amp;no=1", "عرض المصدر")</f>
        <v/>
      </c>
    </row>
    <row r="144">
      <c r="A144" s="13" t="inlineStr">
        <is>
          <t>268-274</t>
        </is>
      </c>
      <c r="B144" s="13" t="inlineStr">
        <is>
          <t>وزارة الصحة</t>
        </is>
      </c>
      <c r="C144" s="13" t="inlineStr">
        <is>
          <t>Jana Al-Obaid</t>
        </is>
      </c>
      <c r="D144" s="13" t="inlineStr">
        <is>
          <t>ممارسة رقم 268-274 - وزارة الصحة</t>
        </is>
      </c>
      <c r="E144" s="13" t="inlineStr">
        <is>
          <t>أعمال وتوريدات ممارسة رقم 268-274 لصالح وزارة الصحة وفقاً للشروط والمواصفات المعتمدة في وثائق الطرح.</t>
        </is>
      </c>
      <c r="F1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44" s="14" t="inlineStr">
        <is>
          <t>عام</t>
        </is>
      </c>
      <c r="H144" s="14" t="inlineStr">
        <is>
          <t>15.0%</t>
        </is>
      </c>
      <c r="I144" s="14" t="inlineStr">
        <is>
          <t>healthcare</t>
        </is>
      </c>
      <c r="J144" s="14" t="inlineStr">
        <is>
          <t>2026-09-27</t>
        </is>
      </c>
      <c r="K144" s="14" t="inlineStr">
        <is>
          <t>-</t>
        </is>
      </c>
      <c r="L144" s="14" t="inlineStr">
        <is>
          <t>-</t>
        </is>
      </c>
      <c r="M144" s="14" t="inlineStr">
        <is>
          <t>75.0</t>
        </is>
      </c>
      <c r="N144" s="21" t="inlineStr">
        <is>
          <t>NEW</t>
        </is>
      </c>
      <c r="O144" s="14" t="inlineStr">
        <is>
          <t>غير متوافقة مع اختصاصات KBM</t>
        </is>
      </c>
      <c r="P144" s="22">
        <f>HYPERLINK("https://kuwaitalyawm.media.gov.kw/Online/ViewAdsHTML?id=171548&amp;no=1", "عرض المصدر")</f>
        <v/>
      </c>
    </row>
    <row r="145">
      <c r="A145" s="11" t="inlineStr">
        <is>
          <t>313-225</t>
        </is>
      </c>
      <c r="B145" s="11" t="inlineStr">
        <is>
          <t>وزارة الصحة</t>
        </is>
      </c>
      <c r="C145" s="11" t="inlineStr">
        <is>
          <t>Jana Al-Obaid</t>
        </is>
      </c>
      <c r="D145" s="11" t="inlineStr">
        <is>
          <t>ممارسة رقم 313-225: توريد WASTE DISPOSAL SYSTEM MACERATOR</t>
        </is>
      </c>
      <c r="E145" s="11" t="inlineStr">
        <is>
          <t>أعمال وتوريدات توريد WASTE DISPOSAL SYSTEM MACERATOR لصالح وزارة الصحة وفقاً للشروط والمواصفات المعتمدة في وثائق الطرح.</t>
        </is>
      </c>
      <c r="F14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45" s="12" t="inlineStr">
        <is>
          <t>عام</t>
        </is>
      </c>
      <c r="H145" s="12" t="inlineStr">
        <is>
          <t>15.0%</t>
        </is>
      </c>
      <c r="I145" s="12" t="inlineStr">
        <is>
          <t>healthcare</t>
        </is>
      </c>
      <c r="J145" s="12" t="inlineStr">
        <is>
          <t>2026-09-27</t>
        </is>
      </c>
      <c r="K145" s="12" t="inlineStr">
        <is>
          <t>2026-10-28</t>
        </is>
      </c>
      <c r="L145" s="12" t="inlineStr">
        <is>
          <t>-</t>
        </is>
      </c>
      <c r="M145" s="12" t="inlineStr">
        <is>
          <t>150.0</t>
        </is>
      </c>
      <c r="N145" s="21" t="inlineStr">
        <is>
          <t>NEW</t>
        </is>
      </c>
      <c r="O145" s="12" t="inlineStr">
        <is>
          <t>غير متوافقة مع اختصاصات KBM</t>
        </is>
      </c>
      <c r="P145" s="23">
        <f>HYPERLINK("https://kuwaitalyawm.media.gov.kw/Online/ViewAdsHTML?id=171547&amp;no=1", "عرض المصدر")</f>
        <v/>
      </c>
    </row>
    <row r="146">
      <c r="A146" s="13" t="inlineStr">
        <is>
          <t>36-40</t>
        </is>
      </c>
      <c r="B146" s="13" t="inlineStr">
        <is>
          <t>وزارة الصحة</t>
        </is>
      </c>
      <c r="C146" s="13" t="inlineStr">
        <is>
          <t>Jana Al-Obaid</t>
        </is>
      </c>
      <c r="D146" s="13" t="inlineStr">
        <is>
          <t>ممارسة رقم 36-40 - وزارة الصحة</t>
        </is>
      </c>
      <c r="E146" s="13" t="inlineStr">
        <is>
          <t>أعمال وتوريدات ممارسة رقم 36-40 لصالح وزارة الصحة وفقاً للشروط والمواصفات المعتمدة في وثائق الطرح.</t>
        </is>
      </c>
      <c r="F14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46" s="14" t="inlineStr">
        <is>
          <t>عام</t>
        </is>
      </c>
      <c r="H146" s="14" t="inlineStr">
        <is>
          <t>15.0%</t>
        </is>
      </c>
      <c r="I146" s="14" t="inlineStr">
        <is>
          <t>healthcare</t>
        </is>
      </c>
      <c r="J146" s="14" t="inlineStr">
        <is>
          <t>2026-09-27</t>
        </is>
      </c>
      <c r="K146" s="14" t="inlineStr">
        <is>
          <t>2026-10-14</t>
        </is>
      </c>
      <c r="L146" s="14" t="inlineStr">
        <is>
          <t>-</t>
        </is>
      </c>
      <c r="M146" s="14" t="inlineStr">
        <is>
          <t>75.0</t>
        </is>
      </c>
      <c r="N146" s="21" t="inlineStr">
        <is>
          <t>NEW</t>
        </is>
      </c>
      <c r="O146" s="14" t="inlineStr">
        <is>
          <t>غير متوافقة مع اختصاصات KBM</t>
        </is>
      </c>
      <c r="P146" s="22">
        <f>HYPERLINK("https://kuwaitalyawm.media.gov.kw/Online/ViewAdsHTML?id=171546&amp;no=1", "عرض المصدر")</f>
        <v/>
      </c>
    </row>
    <row r="147">
      <c r="A147" s="11" t="inlineStr">
        <is>
          <t>430-190</t>
        </is>
      </c>
      <c r="B147" s="11" t="inlineStr">
        <is>
          <t>وزارة الصحة</t>
        </is>
      </c>
      <c r="C147" s="11" t="inlineStr">
        <is>
          <t>Jana Al-Obaid</t>
        </is>
      </c>
      <c r="D147" s="11" t="inlineStr">
        <is>
          <t>ممارسة رقم 430-190 - وزارة الصحة</t>
        </is>
      </c>
      <c r="E147" s="11" t="inlineStr">
        <is>
          <t>أعمال وتوريدات ممارسة رقم 430-190 لصالح وزارة الصحة وفقاً للشروط والمواصفات المعتمدة في وثائق الطرح.</t>
        </is>
      </c>
      <c r="F147"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47" s="12" t="inlineStr">
        <is>
          <t>عام</t>
        </is>
      </c>
      <c r="H147" s="12" t="inlineStr">
        <is>
          <t>15.0%</t>
        </is>
      </c>
      <c r="I147" s="12" t="inlineStr">
        <is>
          <t>healthcare</t>
        </is>
      </c>
      <c r="J147" s="12" t="inlineStr">
        <is>
          <t>2026-09-27</t>
        </is>
      </c>
      <c r="K147" s="12" t="inlineStr">
        <is>
          <t>2026-10-28</t>
        </is>
      </c>
      <c r="L147" s="12" t="inlineStr">
        <is>
          <t>-</t>
        </is>
      </c>
      <c r="M147" s="12" t="inlineStr">
        <is>
          <t>150.0</t>
        </is>
      </c>
      <c r="N147" s="21" t="inlineStr">
        <is>
          <t>NEW</t>
        </is>
      </c>
      <c r="O147" s="12" t="inlineStr">
        <is>
          <t>غير متوافقة مع اختصاصات KBM</t>
        </is>
      </c>
      <c r="P147" s="23">
        <f>HYPERLINK("https://kuwaitalyawm.media.gov.kw/Online/ViewAdsHTML?id=171545&amp;no=1", "عرض المصدر")</f>
        <v/>
      </c>
    </row>
    <row r="148">
      <c r="A148" s="13" t="inlineStr">
        <is>
          <t>33/32</t>
        </is>
      </c>
      <c r="B148" s="13" t="inlineStr">
        <is>
          <t>وزارة الصحة</t>
        </is>
      </c>
      <c r="C148" s="13" t="inlineStr">
        <is>
          <t>Jana Al-Obaid</t>
        </is>
      </c>
      <c r="D148" s="13" t="inlineStr">
        <is>
          <t>ممارسة رقم 33/32: توريد وتركيب وتشغيل وصيانة نظام كاميرات المراقبة الأمنية بمستشفى الأميري الجديد والقديم والمباني التابعة لها</t>
        </is>
      </c>
      <c r="E148"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24" t="inlineStr">
        <is>
          <t>قطاع العمليات المدارة والدعم الفني متعدد الموردين</t>
        </is>
      </c>
      <c r="H148" s="14" t="inlineStr">
        <is>
          <t>64.0%</t>
        </is>
      </c>
      <c r="I148" s="14" t="inlineStr">
        <is>
          <t>healthcare</t>
        </is>
      </c>
      <c r="J148" s="14" t="inlineStr">
        <is>
          <t>2026-09-27</t>
        </is>
      </c>
      <c r="K148" s="14" t="inlineStr">
        <is>
          <t>-</t>
        </is>
      </c>
      <c r="L148" s="14" t="inlineStr">
        <is>
          <t>-</t>
        </is>
      </c>
      <c r="M148" s="14" t="inlineStr">
        <is>
          <t>-</t>
        </is>
      </c>
      <c r="N148" s="21" t="inlineStr">
        <is>
          <t>NEW</t>
        </is>
      </c>
      <c r="O148" s="14" t="inlineStr">
        <is>
          <t>فرصة ICT متوافقة مع قدرات KBM</t>
        </is>
      </c>
      <c r="P148" s="22">
        <f>HYPERLINK("https://kuwaitalyawm.media.gov.kw/Online/ViewAdsHTML?id=171544&amp;no=1", "عرض المصدر")</f>
        <v/>
      </c>
    </row>
    <row r="149">
      <c r="A149" s="11" t="inlineStr">
        <is>
          <t>364-294</t>
        </is>
      </c>
      <c r="B149" s="11" t="inlineStr">
        <is>
          <t>وزارة الصحة</t>
        </is>
      </c>
      <c r="C149" s="11" t="inlineStr">
        <is>
          <t>Jana Al-Obaid</t>
        </is>
      </c>
      <c r="D149" s="11" t="inlineStr">
        <is>
          <t>ممارسة رقم 364-294 - وزارة الصحة</t>
        </is>
      </c>
      <c r="E149" s="11" t="inlineStr">
        <is>
          <t>أعمال وتوريدات ممارسة رقم 364-294 لصالح وزارة الصحة وفقاً للشروط والمواصفات المعتمدة في وثائق الطرح.</t>
        </is>
      </c>
      <c r="F149"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49" s="12" t="inlineStr">
        <is>
          <t>عام</t>
        </is>
      </c>
      <c r="H149" s="12" t="inlineStr">
        <is>
          <t>0.0%</t>
        </is>
      </c>
      <c r="I149" s="12" t="inlineStr">
        <is>
          <t>healthcare</t>
        </is>
      </c>
      <c r="J149" s="12" t="inlineStr">
        <is>
          <t>2026-09-27</t>
        </is>
      </c>
      <c r="K149" s="12" t="inlineStr">
        <is>
          <t>-</t>
        </is>
      </c>
      <c r="L149" s="12" t="inlineStr">
        <is>
          <t>-</t>
        </is>
      </c>
      <c r="M149" s="12" t="inlineStr">
        <is>
          <t>75.0</t>
        </is>
      </c>
      <c r="N149" s="21" t="inlineStr">
        <is>
          <t>NEW</t>
        </is>
      </c>
      <c r="O149" s="12" t="inlineStr">
        <is>
          <t>غير متوافقة مع اختصاصات KBM</t>
        </is>
      </c>
      <c r="P149" s="23">
        <f>HYPERLINK("https://kuwaitalyawm.media.gov.kw/Online/ViewAdsHTML?id=171543&amp;no=1", "عرض المصدر")</f>
        <v/>
      </c>
    </row>
    <row r="150">
      <c r="A150" s="13" t="inlineStr">
        <is>
          <t>24141071982026</t>
        </is>
      </c>
      <c r="B150" s="13" t="inlineStr">
        <is>
          <t>وزارة الدفاع</t>
        </is>
      </c>
      <c r="C150" s="13" t="inlineStr">
        <is>
          <t>Eiman Ashkanani</t>
        </is>
      </c>
      <c r="D150" s="13" t="inlineStr">
        <is>
          <t>ممارسة رقم 24141071982026: طلب شراء ملفات طبية للمرضى</t>
        </is>
      </c>
      <c r="E150" s="13" t="inlineStr">
        <is>
          <t>توريد المستلزمات والمواد والمستهلكات الطبية أو المخبرية المتخصصة لصالح المرافق الصحية.</t>
        </is>
      </c>
      <c r="F150"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2026-10-22</t>
        </is>
      </c>
      <c r="L150" s="14" t="inlineStr">
        <is>
          <t>2000.0</t>
        </is>
      </c>
      <c r="M150" s="14" t="inlineStr">
        <is>
          <t>-</t>
        </is>
      </c>
      <c r="N150" s="21" t="inlineStr">
        <is>
          <t>NEW</t>
        </is>
      </c>
      <c r="O150" s="14" t="inlineStr">
        <is>
          <t>غير متوافقة مع اختصاصات KBM</t>
        </is>
      </c>
      <c r="P150" s="22">
        <f>HYPERLINK("https://kuwaitalyawm.media.gov.kw/Online/ViewAdsHTML?id=171541&amp;no=1", "عرض المصدر")</f>
        <v/>
      </c>
    </row>
    <row r="151">
      <c r="A151" s="11" t="inlineStr">
        <is>
          <t>24181118110</t>
        </is>
      </c>
      <c r="B151" s="11" t="inlineStr">
        <is>
          <t>وزارة الدفاع</t>
        </is>
      </c>
      <c r="C151" s="11" t="inlineStr">
        <is>
          <t>Eiman Ashkanani</t>
        </is>
      </c>
      <c r="D151" s="11" t="inlineStr">
        <is>
          <t>ممارسة رقم 24181118110: توريد وتركيب وتعريف واختبار أجهزة خوادم النظام المالي لزوم وزارة الدفاع</t>
        </is>
      </c>
      <c r="E151"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1"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1" s="24" t="inlineStr">
        <is>
          <t>قطاع الخوادم وحلول التخزين والبنية التحتية</t>
        </is>
      </c>
      <c r="H151" s="12" t="inlineStr">
        <is>
          <t>85.0%</t>
        </is>
      </c>
      <c r="I151" s="12" t="inlineStr">
        <is>
          <t>defense_and_security</t>
        </is>
      </c>
      <c r="J151" s="12" t="inlineStr">
        <is>
          <t>2026-09-27</t>
        </is>
      </c>
      <c r="K151" s="12" t="inlineStr">
        <is>
          <t>2026-10-25</t>
        </is>
      </c>
      <c r="L151" s="12" t="inlineStr">
        <is>
          <t>5000.0</t>
        </is>
      </c>
      <c r="M151" s="12" t="inlineStr">
        <is>
          <t>150.0</t>
        </is>
      </c>
      <c r="N151" s="21" t="inlineStr">
        <is>
          <t>NEW</t>
        </is>
      </c>
      <c r="O151" s="12" t="inlineStr">
        <is>
          <t>موصى بالتقديم</t>
        </is>
      </c>
      <c r="P151" s="23">
        <f>HYPERLINK("https://kuwaitalyawm.media.gov.kw/Online/ViewAdsHTML?id=171540&amp;no=1", "عرض المصدر")</f>
        <v/>
      </c>
    </row>
    <row r="152">
      <c r="A152" s="13" t="inlineStr">
        <is>
          <t>24141071967826</t>
        </is>
      </c>
      <c r="B152" s="13" t="inlineStr">
        <is>
          <t>وزارة الدفاع</t>
        </is>
      </c>
      <c r="C152" s="13" t="inlineStr">
        <is>
          <t>Eiman Ashkanani</t>
        </is>
      </c>
      <c r="D152" s="13" t="inlineStr">
        <is>
          <t>ممارسة رقم 24141071967826: إعادة طرح توريد أجهزة تلفزيون لزوم / هيئة الإمداد والتموين</t>
        </is>
      </c>
      <c r="E152"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2"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2" s="14" t="inlineStr">
        <is>
          <t>عام</t>
        </is>
      </c>
      <c r="H152" s="14" t="inlineStr">
        <is>
          <t>15.0%</t>
        </is>
      </c>
      <c r="I152" s="14" t="inlineStr">
        <is>
          <t>defense_and_security</t>
        </is>
      </c>
      <c r="J152" s="14" t="inlineStr">
        <is>
          <t>2026-09-27</t>
        </is>
      </c>
      <c r="K152" s="14" t="inlineStr">
        <is>
          <t>-</t>
        </is>
      </c>
      <c r="L152" s="14" t="inlineStr">
        <is>
          <t>-</t>
        </is>
      </c>
      <c r="M152" s="14" t="inlineStr">
        <is>
          <t>-</t>
        </is>
      </c>
      <c r="N152" s="21" t="inlineStr">
        <is>
          <t>NEW</t>
        </is>
      </c>
      <c r="O152" s="14" t="inlineStr">
        <is>
          <t>غير متوافقة مع اختصاصات KBM</t>
        </is>
      </c>
      <c r="P152" s="22">
        <f>HYPERLINK("https://kuwaitalyawm.media.gov.kw/Online/ViewAdsHTML?id=171539&amp;no=1", "عرض المصدر")</f>
        <v/>
      </c>
    </row>
    <row r="153">
      <c r="A153" s="11" t="inlineStr">
        <is>
          <t>2414/109/20167/26</t>
        </is>
      </c>
      <c r="B153" s="11" t="inlineStr">
        <is>
          <t>وزارة الدفاع</t>
        </is>
      </c>
      <c r="C153" s="11" t="inlineStr">
        <is>
          <t>Eiman Ashkanani</t>
        </is>
      </c>
      <c r="D153" s="11" t="inlineStr">
        <is>
          <t>ممارسة رقم 24141092016726: الطلبية العامة لشراء مواد المطبخ</t>
        </is>
      </c>
      <c r="E153" s="11" t="inlineStr">
        <is>
          <t>أعمال وتوريدات الطلبية العامة لشراء مواد المطبخ لصالح وزارة الدفاع وفقاً للشروط والمواصفات المعتمدة في وثائق الطرح.</t>
        </is>
      </c>
      <c r="F153"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3" s="12" t="inlineStr">
        <is>
          <t>عام</t>
        </is>
      </c>
      <c r="H153" s="12" t="inlineStr">
        <is>
          <t>15.0%</t>
        </is>
      </c>
      <c r="I153" s="12" t="inlineStr">
        <is>
          <t>defense_and_security</t>
        </is>
      </c>
      <c r="J153" s="12" t="inlineStr">
        <is>
          <t>2026-09-13</t>
        </is>
      </c>
      <c r="K153" s="12" t="inlineStr">
        <is>
          <t>2026-10-16</t>
        </is>
      </c>
      <c r="L153" s="12" t="inlineStr">
        <is>
          <t>2000.0</t>
        </is>
      </c>
      <c r="M153" s="12" t="inlineStr">
        <is>
          <t>75.0</t>
        </is>
      </c>
      <c r="N153" s="21" t="inlineStr">
        <is>
          <t>NEW</t>
        </is>
      </c>
      <c r="O153" s="12" t="inlineStr">
        <is>
          <t>غير متوافقة مع اختصاصات KBM</t>
        </is>
      </c>
      <c r="P153" s="23">
        <f>HYPERLINK("https://kuwaitalyawm.media.gov.kw/Online/ViewAdsHTML?id=171538&amp;no=1", "عرض المصدر")</f>
        <v/>
      </c>
    </row>
    <row r="154">
      <c r="A154" s="13" t="inlineStr">
        <is>
          <t>2027/2026/7</t>
        </is>
      </c>
      <c r="B154" s="13" t="inlineStr">
        <is>
          <t>وزارة الــعدل</t>
        </is>
      </c>
      <c r="C154" s="13" t="inlineStr">
        <is>
          <t>Eiman Ashkanani</t>
        </is>
      </c>
      <c r="D154" s="13" t="inlineStr">
        <is>
          <t>ممارسة رقم 2027/2026/7: عن الممارسة رقم (وع/7-2026/2027) توريد وتركيب زجاج سيكوريت بمباني وزارة العدل</t>
        </is>
      </c>
      <c r="E154" s="13" t="inlineStr">
        <is>
          <t>أعمال وتوريدات عن الممارسة رقم (وع/7-2026/2027) توريد وتركيب زجاج سيكوريت بمباني وزارة العدل لصالح وزارة الــعدل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15.0%</t>
        </is>
      </c>
      <c r="I154" s="14" t="inlineStr">
        <is>
          <t>government</t>
        </is>
      </c>
      <c r="J154" s="14" t="inlineStr">
        <is>
          <t>2026-09-27</t>
        </is>
      </c>
      <c r="K154" s="14" t="inlineStr">
        <is>
          <t>2026-10-28</t>
        </is>
      </c>
      <c r="L154" s="14" t="inlineStr">
        <is>
          <t>300 KWD</t>
        </is>
      </c>
      <c r="M154" s="14" t="inlineStr">
        <is>
          <t>75.0</t>
        </is>
      </c>
      <c r="N154" s="21" t="inlineStr">
        <is>
          <t>NEW</t>
        </is>
      </c>
      <c r="O154" s="14" t="inlineStr">
        <is>
          <t>غير متوافقة مع اختصاصات KBM</t>
        </is>
      </c>
      <c r="P154" s="22">
        <f>HYPERLINK("https://kuwaitalyawm.media.gov.kw/Online/ViewAdsHTML?id=171533&amp;no=1", "عرض المصدر")</f>
        <v/>
      </c>
    </row>
    <row r="155">
      <c r="A155" s="11" t="inlineStr">
        <is>
          <t>2027/2026/16</t>
        </is>
      </c>
      <c r="B155" s="11" t="inlineStr">
        <is>
          <t>وزارة الداخلية</t>
        </is>
      </c>
      <c r="C155" s="11" t="inlineStr">
        <is>
          <t>Khaled Alabdallah</t>
        </is>
      </c>
      <c r="D155" s="11" t="inlineStr">
        <is>
          <t>مناقصة رقم 2027/2026/16: توريد وضمان مواد متفجرة لزوم إدارة التجهيزات الأمنية</t>
        </is>
      </c>
      <c r="E155" s="11" t="inlineStr">
        <is>
          <t>توفير خدمات الحراسة والأمن والسلامة للمباني والمنشآت وتأمين المداخل وتوفير الكوادر الأمنية المدربة.</t>
        </is>
      </c>
      <c r="F155"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55" s="12" t="inlineStr">
        <is>
          <t>عام</t>
        </is>
      </c>
      <c r="H155" s="12" t="inlineStr">
        <is>
          <t>15.0%</t>
        </is>
      </c>
      <c r="I155" s="12" t="inlineStr">
        <is>
          <t>education_and_research</t>
        </is>
      </c>
      <c r="J155" s="12" t="inlineStr">
        <is>
          <t>2026-08-23</t>
        </is>
      </c>
      <c r="K155" s="12" t="inlineStr">
        <is>
          <t>-</t>
        </is>
      </c>
      <c r="L155" s="12" t="inlineStr">
        <is>
          <t>2000.0</t>
        </is>
      </c>
      <c r="M155" s="12" t="inlineStr">
        <is>
          <t>-</t>
        </is>
      </c>
      <c r="N155" s="21" t="inlineStr">
        <is>
          <t>NEW</t>
        </is>
      </c>
      <c r="O155" s="12" t="inlineStr">
        <is>
          <t>غير متوافقة مع اختصاصات KBM</t>
        </is>
      </c>
      <c r="P155" s="23">
        <f>HYPERLINK("https://kuwaitalyawm.media.gov.kw/Online/ViewAdsHTML?id=171532&amp;no=1", "عرض المصدر")</f>
        <v/>
      </c>
    </row>
    <row r="156">
      <c r="A156" s="13" t="inlineStr">
        <is>
          <t>RFQ/2167075</t>
        </is>
      </c>
      <c r="B156" s="13" t="inlineStr">
        <is>
          <t>شركة البترول الوطنية الكويتية</t>
        </is>
      </c>
      <c r="C156" s="13" t="inlineStr">
        <is>
          <t>Abrar Al-Qallaf</t>
        </is>
      </c>
      <c r="D156" s="13" t="inlineStr">
        <is>
          <t>ممارسة رقم RFQ/2167075: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RFQ/2167075 عبر منصة K-Tendering.</t>
        </is>
      </c>
      <c r="F156" s="13" t="inlineStr">
        <is>
          <t>وفقاً لشروط وإجراءات المناقصات والتوريد لدى شركة البترول الوطنية الكويتية (KNPC)</t>
        </is>
      </c>
      <c r="G156" s="14" t="inlineStr">
        <is>
          <t>عام</t>
        </is>
      </c>
      <c r="H156" s="14" t="inlineStr">
        <is>
          <t>15.0%</t>
        </is>
      </c>
      <c r="I156" s="14" t="inlineStr">
        <is>
          <t>oil_and_gas</t>
        </is>
      </c>
      <c r="J156" s="14" t="inlineStr">
        <is>
          <t>2026-09-27</t>
        </is>
      </c>
      <c r="K156" s="14" t="inlineStr">
        <is>
          <t>2026-11-02</t>
        </is>
      </c>
      <c r="L156" s="14" t="inlineStr">
        <is>
          <t>500000.0</t>
        </is>
      </c>
      <c r="M156" s="14" t="inlineStr">
        <is>
          <t>-</t>
        </is>
      </c>
      <c r="N156" s="21" t="inlineStr">
        <is>
          <t>NEW</t>
        </is>
      </c>
      <c r="O156" s="14" t="inlineStr">
        <is>
          <t>غير متوافقة</t>
        </is>
      </c>
      <c r="P156" s="22">
        <f>HYPERLINK("https://kuwaitalyawm.media.gov.kw/flip/index?id=5599&amp;no=228", "عرض المصدر")</f>
        <v/>
      </c>
    </row>
    <row r="157">
      <c r="A157" s="11" t="inlineStr">
        <is>
          <t>2027/2026/25</t>
        </is>
      </c>
      <c r="B157" s="11" t="inlineStr">
        <is>
          <t>وزارة الأوقاف والشؤون الإسلامية</t>
        </is>
      </c>
      <c r="C157" s="11" t="inlineStr">
        <is>
          <t>Eiman Ashkanani</t>
        </is>
      </c>
      <c r="D157" s="11" t="inlineStr">
        <is>
          <t>ممارسة رقم 2027/2026/25: أعمال النظافة الخاصة بالمباني والمراكز التابعة لإدارتي الدراسات وعلوم القرآن الكريم بمحافظتي الأحمدي ومبارك الكبير</t>
        </is>
      </c>
      <c r="E157" s="11" t="inlineStr">
        <is>
          <t>توفير خدمات وأعمال النظافة العامة والشاملة للمباني والمرافق وتوفير العمالة والمعدات والمستهلكات اللازمة.</t>
        </is>
      </c>
      <c r="F157"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57" s="12" t="inlineStr">
        <is>
          <t>عام</t>
        </is>
      </c>
      <c r="H157" s="12" t="inlineStr">
        <is>
          <t>0.0%</t>
        </is>
      </c>
      <c r="I157" s="12" t="inlineStr">
        <is>
          <t>government</t>
        </is>
      </c>
      <c r="J157" s="12" t="inlineStr">
        <is>
          <t>2026-09-13</t>
        </is>
      </c>
      <c r="K157" s="12" t="inlineStr">
        <is>
          <t>2026-10-18</t>
        </is>
      </c>
      <c r="L157" s="12" t="inlineStr">
        <is>
          <t>2000.0</t>
        </is>
      </c>
      <c r="M157" s="12" t="inlineStr">
        <is>
          <t>75.0</t>
        </is>
      </c>
      <c r="N157" s="25" t="inlineStr">
        <is>
          <t>UPDATED</t>
        </is>
      </c>
      <c r="O157" s="12" t="inlineStr">
        <is>
          <t>غير متوافقة مع اختصاصات KBM</t>
        </is>
      </c>
      <c r="P157" s="23">
        <f>HYPERLINK("https://kuwaitalyawm.media.gov.kw/flip/index?id=5600&amp;no=81", "عرض المصدر")</f>
        <v/>
      </c>
    </row>
    <row r="158">
      <c r="A158" s="13" t="inlineStr">
        <is>
          <t>و ك م /48/2025/2026</t>
        </is>
      </c>
      <c r="B158" s="13" t="inlineStr">
        <is>
          <t>وزارة الكهرباء والماء والطاقة المتجددة</t>
        </is>
      </c>
      <c r="C158" s="13" t="inlineStr">
        <is>
          <t>Raed Obeid</t>
        </is>
      </c>
      <c r="D158" s="13" t="inlineStr">
        <is>
          <t>أعمال صيانة أنظمة الإنذار ومكافحة الحريق في محطات الشعيبة لتوليد القوى الكهربائية وتقطير المياه</t>
        </is>
      </c>
      <c r="E15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24" t="inlineStr">
        <is>
          <t>عام</t>
        </is>
      </c>
      <c r="H158" s="14" t="inlineStr">
        <is>
          <t>24.0%</t>
        </is>
      </c>
      <c r="I158" s="14" t="inlineStr">
        <is>
          <t>oil_and_gas</t>
        </is>
      </c>
      <c r="J158" s="14" t="inlineStr">
        <is>
          <t>2026-10-04</t>
        </is>
      </c>
      <c r="K158" s="14" t="inlineStr">
        <is>
          <t>2026-11-03</t>
        </is>
      </c>
      <c r="L158" s="14" t="inlineStr">
        <is>
          <t>23000.000 KWD</t>
        </is>
      </c>
      <c r="M158" s="14" t="inlineStr">
        <is>
          <t>1000.000 KWD</t>
        </is>
      </c>
      <c r="N158" s="21" t="inlineStr">
        <is>
          <t>NEW</t>
        </is>
      </c>
      <c r="O158" s="14" t="inlineStr">
        <is>
          <t>غير متوافقة مع اختصاصات KBM</t>
        </is>
      </c>
      <c r="P158" s="22">
        <f>HYPERLINK("https://capt.gov.kw/ar/tenders/opening-tenders/#card-4", "عرض المصدر")</f>
        <v/>
      </c>
    </row>
    <row r="159">
      <c r="A159" s="11" t="inlineStr">
        <is>
          <t>و ش ج 8/2025/2026</t>
        </is>
      </c>
      <c r="B159" s="11" t="inlineStr">
        <is>
          <t>وزارة الشئون الاجتماعية</t>
        </is>
      </c>
      <c r="C159" s="11" t="inlineStr">
        <is>
          <t>Eiman Ashkanani</t>
        </is>
      </c>
      <c r="D159" s="11" t="inlineStr">
        <is>
          <t>أعمال اصلاح وتشغيل وصيانة معدات التكييف والتبريد والتدفئة والتهوية الخاصة بصالات الأفراح التابعة للوزارة</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24.0%</t>
        </is>
      </c>
      <c r="I159" s="12" t="inlineStr">
        <is>
          <t>government</t>
        </is>
      </c>
      <c r="J159" s="12" t="inlineStr">
        <is>
          <t>2026-10-04</t>
        </is>
      </c>
      <c r="K159" s="12" t="inlineStr">
        <is>
          <t>2026-12-29</t>
        </is>
      </c>
      <c r="L159" s="12" t="inlineStr">
        <is>
          <t>23000.000 KWD</t>
        </is>
      </c>
      <c r="M159" s="12" t="inlineStr">
        <is>
          <t>1000.000 KWD</t>
        </is>
      </c>
      <c r="N159" s="21" t="inlineStr">
        <is>
          <t>NEW</t>
        </is>
      </c>
      <c r="O159" s="12" t="inlineStr">
        <is>
          <t>غير متوافقة مع اختصاصات KBM</t>
        </is>
      </c>
      <c r="P159" s="23">
        <f>HYPERLINK("https://capt.gov.kw/ar/tenders/opening-tenders/#card-3", "عرض المصدر")</f>
        <v/>
      </c>
    </row>
    <row r="160">
      <c r="A160" s="13" t="inlineStr">
        <is>
          <t>ص / م خ ع / 11/2025/2026</t>
        </is>
      </c>
      <c r="B160" s="13" t="inlineStr">
        <is>
          <t>وزارة الصحة</t>
        </is>
      </c>
      <c r="C160" s="13" t="inlineStr">
        <is>
          <t>Jana Al-Obaid</t>
        </is>
      </c>
      <c r="D160" s="13" t="inlineStr">
        <is>
          <t>زيادة سعة بدالة مستشفى الاميري الجديد وربط المباني الملحقة بها بنظام اتصالات مركزي موحد</t>
        </is>
      </c>
      <c r="E160"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24" t="inlineStr">
        <is>
          <t>عام</t>
        </is>
      </c>
      <c r="H160" s="14" t="inlineStr">
        <is>
          <t>24.0%</t>
        </is>
      </c>
      <c r="I160" s="14" t="inlineStr">
        <is>
          <t>healthcare</t>
        </is>
      </c>
      <c r="J160" s="14" t="inlineStr">
        <is>
          <t>2026-10-04</t>
        </is>
      </c>
      <c r="K160" s="14" t="inlineStr">
        <is>
          <t>2026-11-03</t>
        </is>
      </c>
      <c r="L160" s="14" t="inlineStr">
        <is>
          <t>6000.000 KWD</t>
        </is>
      </c>
      <c r="M160" s="14" t="inlineStr">
        <is>
          <t>300.000 KWD</t>
        </is>
      </c>
      <c r="N160" s="21" t="inlineStr">
        <is>
          <t>NEW</t>
        </is>
      </c>
      <c r="O160" s="14" t="inlineStr">
        <is>
          <t>غير متوافقة مع اختصاصات KBM</t>
        </is>
      </c>
      <c r="P160" s="22">
        <f>HYPERLINK("https://capt.gov.kw/ar/tenders/opening-tenders/#card-2", "عرض المصدر")</f>
        <v/>
      </c>
    </row>
    <row r="161">
      <c r="A161" s="11" t="inlineStr">
        <is>
          <t>ب ب هـ / 1/2025/2026</t>
        </is>
      </c>
      <c r="B161" s="11" t="inlineStr">
        <is>
          <t>وزارة المواصلات</t>
        </is>
      </c>
      <c r="C161" s="11" t="inlineStr">
        <is>
          <t>Eiman Ashkanani</t>
        </is>
      </c>
      <c r="D161" s="11" t="inlineStr">
        <is>
          <t>اعمال التنظيف و خدمة مرافق و مكاتب وزارة المواصلات</t>
        </is>
      </c>
      <c r="E161" s="11" t="inlineStr">
        <is>
          <t>توفير خدمات وأعمال النظافة العامة والشاملة للمباني والمرافق وتوفير العمالة والمعدات والمستهلكات اللازمة.</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telecom_and_media</t>
        </is>
      </c>
      <c r="J161" s="12" t="inlineStr">
        <is>
          <t>2026-10-04</t>
        </is>
      </c>
      <c r="K161" s="12" t="inlineStr">
        <is>
          <t>2026-12-29</t>
        </is>
      </c>
      <c r="L161" s="12" t="inlineStr">
        <is>
          <t>45000.000 KWD</t>
        </is>
      </c>
      <c r="M161" s="12" t="inlineStr">
        <is>
          <t>1000.000 KWD</t>
        </is>
      </c>
      <c r="N161" s="21" t="inlineStr">
        <is>
          <t>NEW</t>
        </is>
      </c>
      <c r="O161" s="12" t="inlineStr">
        <is>
          <t>غير متوافقة مع اختصاصات KBM</t>
        </is>
      </c>
      <c r="P161" s="23">
        <f>HYPERLINK("https://capt.gov.kw/ar/tenders/opening-tenders/#card-1", "عرض المصدر")</f>
        <v/>
      </c>
    </row>
    <row r="162">
      <c r="A162" s="13" t="inlineStr">
        <is>
          <t>4/2024/2025</t>
        </is>
      </c>
      <c r="B162" s="13" t="inlineStr">
        <is>
          <t>بنك الكويت المركزي</t>
        </is>
      </c>
      <c r="C162" s="13" t="inlineStr">
        <is>
          <t>Eiman Ashkanani</t>
        </is>
      </c>
      <c r="D162" s="13" t="inlineStr">
        <is>
          <t>أعمال تأهيل المبنى المساند وإنشاء متحف بنك الكويت المركزي</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banking_and_finance</t>
        </is>
      </c>
      <c r="J162" s="14" t="inlineStr">
        <is>
          <t>2026-10-04</t>
        </is>
      </c>
      <c r="K162" s="14" t="inlineStr">
        <is>
          <t>2026-11-03</t>
        </is>
      </c>
      <c r="L162" s="14" t="inlineStr">
        <is>
          <t>170000.000 KWD</t>
        </is>
      </c>
      <c r="M162" s="14" t="inlineStr">
        <is>
          <t>3500.000 KWD</t>
        </is>
      </c>
      <c r="N162" s="21" t="inlineStr">
        <is>
          <t>NEW</t>
        </is>
      </c>
      <c r="O162" s="14" t="inlineStr">
        <is>
          <t>غير متوافقة مع اختصاصات KBM</t>
        </is>
      </c>
      <c r="P162" s="22">
        <f>HYPERLINK("https://capt.gov.kw/ar/tenders/opening-tenders/#card-0", "عرض المصدر")</f>
        <v/>
      </c>
    </row>
    <row r="163">
      <c r="A163" s="11" t="inlineStr">
        <is>
          <t>و ك م/61/2025/2026</t>
        </is>
      </c>
      <c r="B163" s="11" t="inlineStr">
        <is>
          <t>وزارة الكهرباء والماء والطاقة المتجددة</t>
        </is>
      </c>
      <c r="C163" s="11" t="inlineStr">
        <is>
          <t>Raed Obeid</t>
        </is>
      </c>
      <c r="D163" s="11" t="inlineStr">
        <is>
          <t>أعمال الصيانة السنوية للمعدات الكهربائية في محطة الشعيبة الجنوبية لتوليد القوى الكهربائية وتقطير المياه</t>
        </is>
      </c>
      <c r="E16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oil_and_gas</t>
        </is>
      </c>
      <c r="J163" s="12" t="inlineStr">
        <is>
          <t>2026-08-16</t>
        </is>
      </c>
      <c r="K163" s="12" t="inlineStr">
        <is>
          <t>2026-10-13</t>
        </is>
      </c>
      <c r="L163" s="12" t="inlineStr">
        <is>
          <t>45000.000 KWD</t>
        </is>
      </c>
      <c r="M163" s="12" t="inlineStr">
        <is>
          <t>1000.000 KWD</t>
        </is>
      </c>
      <c r="N163" s="21" t="inlineStr">
        <is>
          <t>NEW</t>
        </is>
      </c>
      <c r="O163" s="12" t="inlineStr">
        <is>
          <t>غير متوافقة مع اختصاصات KBM</t>
        </is>
      </c>
      <c r="P163" s="23">
        <f>HYPERLINK("https://capt.gov.kw/ar/tenders/opening-tenders/#card-9", "عرض المصدر")</f>
        <v/>
      </c>
    </row>
    <row r="164">
      <c r="A164" s="13" t="inlineStr">
        <is>
          <t>ص/م خ ع/2/2025/2026</t>
        </is>
      </c>
      <c r="B164" s="13" t="inlineStr">
        <is>
          <t>وزارة الصحة</t>
        </is>
      </c>
      <c r="C164" s="13" t="inlineStr">
        <is>
          <t>Jana Al-Obaid</t>
        </is>
      </c>
      <c r="D164" s="13" t="inlineStr">
        <is>
          <t>الانشاء و التجهيز و التأثيث و الصيانة لمشروع انشاء المطبخ المركزي لمستشفى الفروانية الجديد</t>
        </is>
      </c>
      <c r="E164"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2026-08-16</t>
        </is>
      </c>
      <c r="K164" s="14" t="inlineStr">
        <is>
          <t>2026-11-03</t>
        </is>
      </c>
      <c r="L164" s="14" t="inlineStr">
        <is>
          <t>62000.000 KWD</t>
        </is>
      </c>
      <c r="M164" s="14" t="inlineStr">
        <is>
          <t>1000.000 KWD</t>
        </is>
      </c>
      <c r="N164" s="21" t="inlineStr">
        <is>
          <t>NEW</t>
        </is>
      </c>
      <c r="O164" s="14" t="inlineStr">
        <is>
          <t>غير متوافقة مع اختصاصات KBM</t>
        </is>
      </c>
      <c r="P164" s="22">
        <f>HYPERLINK("https://capt.gov.kw/ar/tenders/opening-tenders/#card-8", "عرض المصدر")</f>
        <v/>
      </c>
    </row>
    <row r="165">
      <c r="A165" s="11" t="inlineStr">
        <is>
          <t>و ك م /41/2024/2025</t>
        </is>
      </c>
      <c r="B165" s="11" t="inlineStr">
        <is>
          <t>وزارة الكهرباء والماء والطاقة المتجددة</t>
        </is>
      </c>
      <c r="C165" s="11" t="inlineStr">
        <is>
          <t>Raed Obeid</t>
        </is>
      </c>
      <c r="D165" s="11" t="inlineStr">
        <is>
          <t>أعمال توريد وتركيب وصيانة خطوط هوائية ضغط متوسط 11 ك.ف وضغط منخفض والأعمال المدنية المتعلقة بهما في ( المنطقة الجنوبية )</t>
        </is>
      </c>
      <c r="E16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oil_and_gas</t>
        </is>
      </c>
      <c r="J165" s="12" t="inlineStr">
        <is>
          <t>2026-08-23</t>
        </is>
      </c>
      <c r="K165" s="12" t="inlineStr">
        <is>
          <t>2026-10-20</t>
        </is>
      </c>
      <c r="L165" s="12" t="inlineStr">
        <is>
          <t>100000.000 KWD</t>
        </is>
      </c>
      <c r="M165" s="12" t="inlineStr">
        <is>
          <t>3500.000 KWD</t>
        </is>
      </c>
      <c r="N165" s="21" t="inlineStr">
        <is>
          <t>NEW</t>
        </is>
      </c>
      <c r="O165" s="12" t="inlineStr">
        <is>
          <t>غير متوافقة مع اختصاصات KBM</t>
        </is>
      </c>
      <c r="P165" s="23">
        <f>HYPERLINK("https://capt.gov.kw/ar/tenders/opening-tenders/#card-7", "عرض المصدر")</f>
        <v/>
      </c>
    </row>
    <row r="166">
      <c r="A166" s="13" t="inlineStr">
        <is>
          <t>و ك م /39/2024/2025</t>
        </is>
      </c>
      <c r="B166" s="13" t="inlineStr">
        <is>
          <t>وزارة الكهرباء والماء والطاقة المتجددة</t>
        </is>
      </c>
      <c r="C166" s="13" t="inlineStr">
        <is>
          <t>Raed Obeid</t>
        </is>
      </c>
      <c r="D166" s="13" t="inlineStr">
        <is>
          <t>اعمال توريد وتركيب وصيانة خطوط هوائية ضغط متوسط 11 ك.ف وضغط منخفض و الأعمال المدنية المتعلقة بهما في ( المنطقة الشمالية )</t>
        </is>
      </c>
      <c r="E16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0.0%</t>
        </is>
      </c>
      <c r="I166" s="14" t="inlineStr">
        <is>
          <t>oil_and_gas</t>
        </is>
      </c>
      <c r="J166" s="14" t="inlineStr">
        <is>
          <t>2026-08-23</t>
        </is>
      </c>
      <c r="K166" s="14" t="inlineStr">
        <is>
          <t>2026-10-20</t>
        </is>
      </c>
      <c r="L166" s="14" t="inlineStr">
        <is>
          <t>100000.000 KWD</t>
        </is>
      </c>
      <c r="M166" s="14" t="inlineStr">
        <is>
          <t>3500.000 KWD</t>
        </is>
      </c>
      <c r="N166" s="21" t="inlineStr">
        <is>
          <t>NEW</t>
        </is>
      </c>
      <c r="O166" s="14" t="inlineStr">
        <is>
          <t>غير متوافقة مع اختصاصات KBM</t>
        </is>
      </c>
      <c r="P166" s="22">
        <f>HYPERLINK("https://capt.gov.kw/ar/tenders/opening-tenders/#card-6", "عرض المصدر")</f>
        <v/>
      </c>
    </row>
    <row r="167">
      <c r="A167" s="11" t="inlineStr">
        <is>
          <t>و ك م /14/2024/2025</t>
        </is>
      </c>
      <c r="B167" s="11" t="inlineStr">
        <is>
          <t>وزارة الكهرباء والماء والطاقة المتجددة</t>
        </is>
      </c>
      <c r="C167" s="11" t="inlineStr">
        <is>
          <t>Raed Obeid</t>
        </is>
      </c>
      <c r="D167" s="11" t="inlineStr">
        <is>
          <t>اعمال توريد وتركيب وصيانه خطوط هوائيه ضغط متوسط 11 ك.ف وضغط منخفض والاعمال المدنيه المتعلقه بهما في (المنطقه الوسطى)</t>
        </is>
      </c>
      <c r="E16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0.0%</t>
        </is>
      </c>
      <c r="I167" s="12" t="inlineStr">
        <is>
          <t>oil_and_gas</t>
        </is>
      </c>
      <c r="J167" s="12" t="inlineStr">
        <is>
          <t>2026-08-23</t>
        </is>
      </c>
      <c r="K167" s="12" t="inlineStr">
        <is>
          <t>2026-10-20</t>
        </is>
      </c>
      <c r="L167" s="12" t="inlineStr">
        <is>
          <t>100000.000 KWD</t>
        </is>
      </c>
      <c r="M167" s="12" t="inlineStr">
        <is>
          <t>3500.000 KWD</t>
        </is>
      </c>
      <c r="N167" s="21" t="inlineStr">
        <is>
          <t>NEW</t>
        </is>
      </c>
      <c r="O167" s="12" t="inlineStr">
        <is>
          <t>غير متوافقة مع اختصاصات KBM</t>
        </is>
      </c>
      <c r="P167" s="23">
        <f>HYPERLINK("https://capt.gov.kw/ar/tenders/opening-tenders/#card-5", "عرض المصدر")</f>
        <v/>
      </c>
    </row>
    <row r="168">
      <c r="A168" s="13" t="inlineStr">
        <is>
          <t>و ش ج 12/2024/2025</t>
        </is>
      </c>
      <c r="B168" s="13" t="inlineStr">
        <is>
          <t>وزارة الشئون الاجتماعية</t>
        </is>
      </c>
      <c r="C168" s="13" t="inlineStr">
        <is>
          <t>Eiman Ashkanani</t>
        </is>
      </c>
      <c r="D168" s="13" t="inlineStr">
        <is>
          <t>اصلاح و تشغيل و صيانة و توريد و تركيب معدات التكييف و التبريد و التهوية و التدفئه لقطاع الرعاية الاجتماعيه و المباني التابعه له</t>
        </is>
      </c>
      <c r="E168" s="13" t="inlineStr">
        <is>
          <t>أعمال صيانة وتشغيل وإصلاح وحدات ومحطات التكييف المركزي والمبردات وضواغط الهواء وشبكات مجاري الهواء.</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0.0%</t>
        </is>
      </c>
      <c r="I168" s="14" t="inlineStr">
        <is>
          <t>government</t>
        </is>
      </c>
      <c r="J168" s="14" t="inlineStr">
        <is>
          <t>2026-08-23</t>
        </is>
      </c>
      <c r="K168" s="14" t="inlineStr">
        <is>
          <t>2026-11-22</t>
        </is>
      </c>
      <c r="L168" s="14" t="inlineStr">
        <is>
          <t>6000.000 KWD</t>
        </is>
      </c>
      <c r="M168" s="14" t="inlineStr">
        <is>
          <t>300.000 KWD</t>
        </is>
      </c>
      <c r="N168" s="21" t="inlineStr">
        <is>
          <t>NEW</t>
        </is>
      </c>
      <c r="O168" s="14" t="inlineStr">
        <is>
          <t>غير متوافقة مع اختصاصات KBM</t>
        </is>
      </c>
      <c r="P168" s="22">
        <f>HYPERLINK("https://capt.gov.kw/ar/tenders/opening-tenders/#card-4", "عرض المصدر")</f>
        <v/>
      </c>
    </row>
    <row r="169">
      <c r="A169" s="11" t="inlineStr">
        <is>
          <t>هـ ع ص / 9 / 2024-2027</t>
        </is>
      </c>
      <c r="B169" s="11" t="inlineStr">
        <is>
          <t>الهيئة العامة للصناعة</t>
        </is>
      </c>
      <c r="C169" s="11" t="inlineStr">
        <is>
          <t>Eiman Ashkanani</t>
        </is>
      </c>
      <c r="D169"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69"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عام</t>
        </is>
      </c>
      <c r="H169" s="12" t="inlineStr">
        <is>
          <t>0.0%</t>
        </is>
      </c>
      <c r="I169" s="12" t="inlineStr">
        <is>
          <t>government</t>
        </is>
      </c>
      <c r="J169" s="12" t="inlineStr">
        <is>
          <t>2026-08-23</t>
        </is>
      </c>
      <c r="K169" s="12" t="inlineStr">
        <is>
          <t>2026-10-20</t>
        </is>
      </c>
      <c r="L169" s="12" t="inlineStr">
        <is>
          <t>23000.000 KWD</t>
        </is>
      </c>
      <c r="M169" s="12" t="inlineStr">
        <is>
          <t>1000.000 KWD</t>
        </is>
      </c>
      <c r="N169" s="21" t="inlineStr">
        <is>
          <t>NEW</t>
        </is>
      </c>
      <c r="O169" s="12" t="inlineStr">
        <is>
          <t>غير متوافقة مع اختصاصات KBM</t>
        </is>
      </c>
      <c r="P169" s="23">
        <f>HYPERLINK("https://capt.gov.kw/ar/tenders/opening-tenders/#card-3", "عرض المصدر")</f>
        <v/>
      </c>
    </row>
    <row r="170">
      <c r="A170" s="13" t="inlineStr">
        <is>
          <t>م ع/23/2025/2026</t>
        </is>
      </c>
      <c r="B170" s="13" t="inlineStr">
        <is>
          <t>وزارة التربية</t>
        </is>
      </c>
      <c r="C170" s="13" t="inlineStr">
        <is>
          <t>Eiman Ashkanani</t>
        </is>
      </c>
      <c r="D170" s="13" t="inlineStr">
        <is>
          <t>تنفيذ أعمال التشغيل والصيانة وإدارة مبنى ديوان عام الوزارة الجديد بجنوب السرة</t>
        </is>
      </c>
      <c r="E17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0.0%</t>
        </is>
      </c>
      <c r="I170" s="14" t="inlineStr">
        <is>
          <t>education_and_research</t>
        </is>
      </c>
      <c r="J170" s="14" t="inlineStr">
        <is>
          <t>2026-08-23</t>
        </is>
      </c>
      <c r="K170" s="14" t="inlineStr">
        <is>
          <t>2026-11-17</t>
        </is>
      </c>
      <c r="L170" s="14" t="inlineStr">
        <is>
          <t>62000.000 KWD</t>
        </is>
      </c>
      <c r="M170" s="14" t="inlineStr">
        <is>
          <t>3500.000 KWD</t>
        </is>
      </c>
      <c r="N170" s="21" t="inlineStr">
        <is>
          <t>NEW</t>
        </is>
      </c>
      <c r="O170" s="14" t="inlineStr">
        <is>
          <t>غير متوافقة مع اختصاصات KBM</t>
        </is>
      </c>
      <c r="P170" s="22">
        <f>HYPERLINK("https://capt.gov.kw/ar/tenders/opening-tenders/#card-2", "عرض المصدر")</f>
        <v/>
      </c>
    </row>
    <row r="171">
      <c r="A171" s="11" t="inlineStr">
        <is>
          <t>62/2020/2021</t>
        </is>
      </c>
      <c r="B171" s="11" t="inlineStr">
        <is>
          <t>وزارة الكهرباء والماء والطاقة المتجددة</t>
        </is>
      </c>
      <c r="C171" s="11" t="inlineStr">
        <is>
          <t>Raed Obeid</t>
        </is>
      </c>
      <c r="D171" s="11" t="inlineStr">
        <is>
          <t>توريد وتركيب وصيانة خطوط هوائية ضغط متوسط 11 ك.ف وضغط منخفض والاعمال المدنية المتعلقة بهما في مزارع الوفرة</t>
        </is>
      </c>
      <c r="E171"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عام</t>
        </is>
      </c>
      <c r="H171" s="12" t="inlineStr">
        <is>
          <t>0.0%</t>
        </is>
      </c>
      <c r="I171" s="12" t="inlineStr">
        <is>
          <t>oil_and_gas</t>
        </is>
      </c>
      <c r="J171" s="12" t="inlineStr">
        <is>
          <t>2026-08-23</t>
        </is>
      </c>
      <c r="K171" s="12" t="inlineStr">
        <is>
          <t>2026-10-20</t>
        </is>
      </c>
      <c r="L171" s="12" t="inlineStr">
        <is>
          <t>100000.000 KWD</t>
        </is>
      </c>
      <c r="M171" s="12" t="inlineStr">
        <is>
          <t>3500.000 KWD</t>
        </is>
      </c>
      <c r="N171" s="21" t="inlineStr">
        <is>
          <t>NEW</t>
        </is>
      </c>
      <c r="O171" s="12" t="inlineStr">
        <is>
          <t>غير متوافقة مع اختصاصات KBM</t>
        </is>
      </c>
      <c r="P171" s="23">
        <f>HYPERLINK("https://capt.gov.kw/ar/tenders/opening-tenders/#card-1", "عرض المصدر")</f>
        <v/>
      </c>
    </row>
    <row r="172">
      <c r="A172" s="13" t="inlineStr">
        <is>
          <t>6/2025/2026</t>
        </is>
      </c>
      <c r="B172" s="13" t="inlineStr">
        <is>
          <t>الادارة العامة للطيران المدني</t>
        </is>
      </c>
      <c r="C172" s="13" t="inlineStr">
        <is>
          <t>Eiman Ashkanani</t>
        </is>
      </c>
      <c r="D172" s="13" t="inlineStr">
        <is>
          <t>اعمال صيانة و ترميم المباني و الاعمال الانشائية و اية اعمال اخرى في مواقع مختلفة للطيران المدني</t>
        </is>
      </c>
      <c r="E172" s="13" t="inlineStr">
        <is>
          <t>تنفيذ الأعمال المدنية والإنشائية والترميم والصيانة العامة للمباني والمنشآت والمرافق التابعة للجهة.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14" t="inlineStr">
        <is>
          <t>عام</t>
        </is>
      </c>
      <c r="H172" s="14" t="inlineStr">
        <is>
          <t>0.0%</t>
        </is>
      </c>
      <c r="I172" s="14" t="inlineStr">
        <is>
          <t>government</t>
        </is>
      </c>
      <c r="J172" s="14" t="inlineStr">
        <is>
          <t>2026-08-23</t>
        </is>
      </c>
      <c r="K172" s="14" t="inlineStr">
        <is>
          <t>2026-11-17</t>
        </is>
      </c>
      <c r="L172" s="14" t="inlineStr">
        <is>
          <t>170000.000 KWD</t>
        </is>
      </c>
      <c r="M172" s="14" t="inlineStr">
        <is>
          <t>3500.000 KWD</t>
        </is>
      </c>
      <c r="N172" s="21" t="inlineStr">
        <is>
          <t>NEW</t>
        </is>
      </c>
      <c r="O172" s="14" t="inlineStr">
        <is>
          <t>غير متوافقة مع اختصاصات KBM</t>
        </is>
      </c>
      <c r="P172" s="22">
        <f>HYPERLINK("https://capt.gov.kw/ar/tenders/opening-tenders/#card-0", "عرض المصدر")</f>
        <v/>
      </c>
    </row>
    <row r="173">
      <c r="A173" s="11" t="inlineStr">
        <is>
          <t>2147428</t>
        </is>
      </c>
      <c r="B173" s="11" t="inlineStr">
        <is>
          <t>شركة نفط الكويت</t>
        </is>
      </c>
      <c r="C173" s="11" t="inlineStr">
        <is>
          <t>Ahmed Habib</t>
        </is>
      </c>
      <c r="D173" s="11" t="inlineStr">
        <is>
          <t>تقديم خدمات الامن السيبراني المدارة</t>
        </is>
      </c>
      <c r="E173" s="11" t="inlineStr">
        <is>
          <t>أعمال وتوريدات تقديم خدمات الامن السيبراني المدارة لصالح شركة نفط الكويت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قطاع الأمن السيبراني والدفاع الرقمي</t>
        </is>
      </c>
      <c r="H173" s="12" t="inlineStr">
        <is>
          <t>47.0%</t>
        </is>
      </c>
      <c r="I173" s="12" t="inlineStr">
        <is>
          <t>oil_and_gas</t>
        </is>
      </c>
      <c r="J173" s="12" t="inlineStr">
        <is>
          <t>2026-08-23</t>
        </is>
      </c>
      <c r="K173" s="12" t="inlineStr">
        <is>
          <t>2026-11-17</t>
        </is>
      </c>
      <c r="L173" s="12" t="inlineStr">
        <is>
          <t>220000.000 KWD</t>
        </is>
      </c>
      <c r="M173" s="12" t="inlineStr">
        <is>
          <t>3500.000 KWD</t>
        </is>
      </c>
      <c r="N173" s="21" t="inlineStr">
        <is>
          <t>NEW</t>
        </is>
      </c>
      <c r="O173" s="12" t="inlineStr">
        <is>
          <t>فرصة تتطلب شراكة أو دراسة نطاق</t>
        </is>
      </c>
      <c r="P173" s="23">
        <f>HYPERLINK("https://capt.gov.kw/ar/tenders/opening-tenders/#card-9", "عرض المصدر")</f>
        <v/>
      </c>
    </row>
    <row r="174">
      <c r="A174" s="13" t="inlineStr">
        <is>
          <t>و ك م 16/2025/2026</t>
        </is>
      </c>
      <c r="B174" s="13" t="inlineStr">
        <is>
          <t>وزارة الكهرباء والماء والطاقة المتجددة</t>
        </is>
      </c>
      <c r="C174" s="13" t="inlineStr">
        <is>
          <t>Raed Obeid</t>
        </is>
      </c>
      <c r="D174" s="13" t="inlineStr">
        <is>
          <t>صيانة واستبدال التالف و الاعمال المدنيه المتعلقه بعدد من المحولات حتى سعة 75 م.ف.أ و المفاعل المتوازي حتى سعة 50 م.فأ.أ.ر(المرحلة الثانيه)</t>
        </is>
      </c>
      <c r="E17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14" t="inlineStr">
        <is>
          <t>عام</t>
        </is>
      </c>
      <c r="H174" s="14" t="inlineStr">
        <is>
          <t>0.0%</t>
        </is>
      </c>
      <c r="I174" s="14" t="inlineStr">
        <is>
          <t>oil_and_gas</t>
        </is>
      </c>
      <c r="J174" s="14" t="inlineStr">
        <is>
          <t>2026-08-30</t>
        </is>
      </c>
      <c r="K174" s="14" t="inlineStr">
        <is>
          <t>2026-11-01</t>
        </is>
      </c>
      <c r="L174" s="14" t="inlineStr">
        <is>
          <t>23000.000 KWD</t>
        </is>
      </c>
      <c r="M174" s="14" t="inlineStr">
        <is>
          <t>1000.000 KWD</t>
        </is>
      </c>
      <c r="N174" s="21" t="inlineStr">
        <is>
          <t>NEW</t>
        </is>
      </c>
      <c r="O174" s="14" t="inlineStr">
        <is>
          <t>غير متوافقة مع اختصاصات KBM</t>
        </is>
      </c>
      <c r="P174" s="22">
        <f>HYPERLINK("https://capt.gov.kw/ar/tenders/opening-tenders/#card-8", "عرض المصدر")</f>
        <v/>
      </c>
    </row>
    <row r="175">
      <c r="A175" s="11" t="inlineStr">
        <is>
          <t>ممارسة 1 /2026/2027</t>
        </is>
      </c>
      <c r="B175" s="11" t="inlineStr">
        <is>
          <t>هيئة تشجيع الاستثمار المباشر</t>
        </is>
      </c>
      <c r="C175" s="11" t="inlineStr">
        <is>
          <t>Eiman Ashkanani</t>
        </is>
      </c>
      <c r="D1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75" s="11" t="inlineStr">
        <is>
          <t>تنفيذ الأعمال المدنية والإنشائية والترميم والصيانة العامة للمباني والمنشآت والمرافق التابعة للجهة.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12" t="inlineStr">
        <is>
          <t>عام</t>
        </is>
      </c>
      <c r="H175" s="12" t="inlineStr">
        <is>
          <t>0.0%</t>
        </is>
      </c>
      <c r="I175" s="12" t="inlineStr">
        <is>
          <t>government</t>
        </is>
      </c>
      <c r="J175" s="12" t="inlineStr">
        <is>
          <t>2026-08-30</t>
        </is>
      </c>
      <c r="K175" s="12" t="inlineStr">
        <is>
          <t>2026-10-13</t>
        </is>
      </c>
      <c r="L175" s="12" t="inlineStr">
        <is>
          <t>62000.000 KWD</t>
        </is>
      </c>
      <c r="M175" s="12" t="inlineStr">
        <is>
          <t>3500.000 KWD</t>
        </is>
      </c>
      <c r="N175" s="21" t="inlineStr">
        <is>
          <t>NEW</t>
        </is>
      </c>
      <c r="O175" s="12" t="inlineStr">
        <is>
          <t>غير متوافقة مع اختصاصات KBM</t>
        </is>
      </c>
      <c r="P175" s="23">
        <f>HYPERLINK("https://capt.gov.kw/ar/tenders/opening-tenders/#card-7", "عرض المصدر")</f>
        <v/>
      </c>
    </row>
    <row r="176">
      <c r="A176" s="13" t="inlineStr">
        <is>
          <t>ص/ م خ ع / 9/2026/2027</t>
        </is>
      </c>
      <c r="B176" s="13" t="inlineStr">
        <is>
          <t>وزارة الصحة</t>
        </is>
      </c>
      <c r="C176" s="13" t="inlineStr">
        <is>
          <t>Jana Al-Obaid</t>
        </is>
      </c>
      <c r="D176" s="13" t="inlineStr">
        <is>
          <t>خدمات الإشراف على التنفيذ لإنشاء وتجهيز وتأثيث والصيانة لمشروع المطبخ المركزي لمستشفى الفروانية الجديد</t>
        </is>
      </c>
      <c r="E176" s="13" t="inlineStr">
        <is>
          <t>تنفيذ الأعمال المدنية والإنشائية والترميم والصيانة العامة للمباني والمنشآت والمرافق التابعة للجهة.</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0.0%</t>
        </is>
      </c>
      <c r="I176" s="14" t="inlineStr">
        <is>
          <t>healthcare</t>
        </is>
      </c>
      <c r="J176" s="14" t="inlineStr">
        <is>
          <t>2026-08-30</t>
        </is>
      </c>
      <c r="K176" s="14" t="inlineStr">
        <is>
          <t>2026-11-24</t>
        </is>
      </c>
      <c r="L176" s="14" t="inlineStr">
        <is>
          <t>7500.000 KWD</t>
        </is>
      </c>
      <c r="M176" s="14" t="inlineStr">
        <is>
          <t>1000.000 KWD</t>
        </is>
      </c>
      <c r="N176" s="21" t="inlineStr">
        <is>
          <t>NEW</t>
        </is>
      </c>
      <c r="O176" s="14" t="inlineStr">
        <is>
          <t>غير متوافقة مع اختصاصات KBM</t>
        </is>
      </c>
      <c r="P176" s="22">
        <f>HYPERLINK("https://capt.gov.kw/ar/tenders/opening-tenders/#card-6",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2" t="inlineStr">
        <is>
          <t>2026-10-20</t>
        </is>
      </c>
      <c r="L177" s="12" t="inlineStr">
        <is>
          <t>100000.000 KWD</t>
        </is>
      </c>
      <c r="M177" s="12" t="inlineStr">
        <is>
          <t>3500.000 KWD</t>
        </is>
      </c>
      <c r="N177" s="21" t="inlineStr">
        <is>
          <t>NEW</t>
        </is>
      </c>
      <c r="O177" s="12" t="inlineStr">
        <is>
          <t>غير متوافقة مع اختصاصات KBM</t>
        </is>
      </c>
      <c r="P177" s="23">
        <f>HYPERLINK("https://capt.gov.kw/ar/tenders/opening-tenders/#card-5", "عرض المصدر")</f>
        <v/>
      </c>
    </row>
    <row r="178">
      <c r="A178" s="13" t="inlineStr">
        <is>
          <t>241717263</t>
        </is>
      </c>
      <c r="B178" s="13" t="inlineStr">
        <is>
          <t>وزارة الدفاع</t>
        </is>
      </c>
      <c r="C178" s="13" t="inlineStr">
        <is>
          <t>Eiman Ashkanani</t>
        </is>
      </c>
      <c r="D178" s="13" t="inlineStr">
        <is>
          <t>توريد زيت نباتي (ذرة) - لزوم / وحدات الجيش</t>
        </is>
      </c>
      <c r="E178" s="13" t="inlineStr">
        <is>
          <t>أعمال وتوريدات توريد زيت نباتي (ذرة) - لزوم / وحدات الجيش لصالح وزارة الدفاع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defense_and_security</t>
        </is>
      </c>
      <c r="J178" s="14" t="inlineStr">
        <is>
          <t>2026-08-30</t>
        </is>
      </c>
      <c r="K178" s="14" t="inlineStr">
        <is>
          <t>2026-11-24</t>
        </is>
      </c>
      <c r="L178" s="14" t="inlineStr">
        <is>
          <t>15000.000 KWD</t>
        </is>
      </c>
      <c r="M178" s="14" t="inlineStr">
        <is>
          <t>1000.000 KWD</t>
        </is>
      </c>
      <c r="N178" s="21" t="inlineStr">
        <is>
          <t>NEW</t>
        </is>
      </c>
      <c r="O178" s="14" t="inlineStr">
        <is>
          <t>غير متوافقة مع اختصاصات KBM</t>
        </is>
      </c>
      <c r="P178" s="22">
        <f>HYPERLINK("https://capt.gov.kw/ar/tenders/opening-tenders/#card-4", "عرض المصدر")</f>
        <v/>
      </c>
    </row>
    <row r="179">
      <c r="A179" s="11" t="inlineStr">
        <is>
          <t>و ك م/38/2025/2026</t>
        </is>
      </c>
      <c r="B179" s="11" t="inlineStr">
        <is>
          <t>وزارة الكهرباء والماء والطاقة المتجددة</t>
        </is>
      </c>
      <c r="C179" s="11" t="inlineStr">
        <is>
          <t>Raed Obeid</t>
        </is>
      </c>
      <c r="D179" s="11" t="inlineStr">
        <is>
          <t>أعمال صيانة آلات تصويرمستندات ماركات مختلفة بجميع قطاعات الوزارة والإدارات التابعة لها بجميع مرافق الوزارة</t>
        </is>
      </c>
      <c r="E179"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0.0%</t>
        </is>
      </c>
      <c r="I179" s="12" t="inlineStr">
        <is>
          <t>oil_and_gas</t>
        </is>
      </c>
      <c r="J179" s="12" t="inlineStr">
        <is>
          <t>2026-09-06</t>
        </is>
      </c>
      <c r="K179" s="12" t="inlineStr">
        <is>
          <t>2026-10-25</t>
        </is>
      </c>
      <c r="L179" s="12" t="inlineStr">
        <is>
          <t>23000.000 KWD</t>
        </is>
      </c>
      <c r="M179" s="12" t="inlineStr">
        <is>
          <t>1000.000 KWD</t>
        </is>
      </c>
      <c r="N179" s="21" t="inlineStr">
        <is>
          <t>NEW</t>
        </is>
      </c>
      <c r="O179" s="12" t="inlineStr">
        <is>
          <t>غير متوافقة مع اختصاصات KBM</t>
        </is>
      </c>
      <c r="P179" s="23">
        <f>HYPERLINK("https://capt.gov.kw/ar/tenders/opening-tenders/#card-3", "عرض المصدر")</f>
        <v/>
      </c>
    </row>
    <row r="180">
      <c r="A180" s="13" t="inlineStr">
        <is>
          <t>و ك م/12/2025/2026</t>
        </is>
      </c>
      <c r="B180" s="13" t="inlineStr">
        <is>
          <t>وزارة الكهرباء والماء والطاقة المتجددة</t>
        </is>
      </c>
      <c r="C180" s="13" t="inlineStr">
        <is>
          <t>Raed Obeid</t>
        </is>
      </c>
      <c r="D180" s="13" t="inlineStr">
        <is>
          <t>احلال واستبدال التالف بعدد من المحولات حتى سعة 75م.ف.أ والمفاعل المتوازي حتى سعة 50 م.ف.أ.ر (المرحلة الأولى)</t>
        </is>
      </c>
      <c r="E180"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oil_and_gas</t>
        </is>
      </c>
      <c r="J180" s="14" t="inlineStr">
        <is>
          <t>2026-09-06</t>
        </is>
      </c>
      <c r="K180" s="14" t="inlineStr">
        <is>
          <t>2026-11-03</t>
        </is>
      </c>
      <c r="L180" s="14" t="inlineStr">
        <is>
          <t>0.000 KWD</t>
        </is>
      </c>
      <c r="M180" s="14" t="inlineStr">
        <is>
          <t>500.000 KWD</t>
        </is>
      </c>
      <c r="N180" s="21" t="inlineStr">
        <is>
          <t>NEW</t>
        </is>
      </c>
      <c r="O180" s="14" t="inlineStr">
        <is>
          <t>غير متوافقة مع اختصاصات KBM</t>
        </is>
      </c>
      <c r="P180" s="22">
        <f>HYPERLINK("https://capt.gov.kw/ar/tenders/opening-tenders/#card-2", "عرض المصدر")</f>
        <v/>
      </c>
    </row>
    <row r="181">
      <c r="A181" s="11" t="inlineStr">
        <is>
          <t>و ك م /95/2024/2025</t>
        </is>
      </c>
      <c r="B181" s="11" t="inlineStr">
        <is>
          <t>وزارة الكهرباء والماء والطاقة المتجددة</t>
        </is>
      </c>
      <c r="C181" s="11" t="inlineStr">
        <is>
          <t>Raed Obeid</t>
        </is>
      </c>
      <c r="D181" s="11" t="inlineStr">
        <is>
          <t>إنشاء وإنجاز وصيانة مبنى أخضر لمحافظة الفروانية</t>
        </is>
      </c>
      <c r="E181" s="11" t="inlineStr">
        <is>
          <t>تنفيذ الأعمال المدنية والإنشائية والترميم والصيانة العامة للمباني والمنشآت والمرافق التابعة للجهة.</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0.0%</t>
        </is>
      </c>
      <c r="I181" s="12" t="inlineStr">
        <is>
          <t>oil_and_gas</t>
        </is>
      </c>
      <c r="J181" s="12" t="inlineStr">
        <is>
          <t>2026-09-06</t>
        </is>
      </c>
      <c r="K181" s="12" t="inlineStr">
        <is>
          <t>2026-11-01</t>
        </is>
      </c>
      <c r="L181" s="12" t="inlineStr">
        <is>
          <t>62000.000 KWD</t>
        </is>
      </c>
      <c r="M181" s="12" t="inlineStr">
        <is>
          <t>1000.000 KWD</t>
        </is>
      </c>
      <c r="N181" s="21" t="inlineStr">
        <is>
          <t>NEW</t>
        </is>
      </c>
      <c r="O181" s="12" t="inlineStr">
        <is>
          <t>غير متوافقة مع اختصاصات KBM</t>
        </is>
      </c>
      <c r="P181" s="23">
        <f>HYPERLINK("https://capt.gov.kw/ar/tenders/opening-tenders/#card-1", "عرض المصدر")</f>
        <v/>
      </c>
    </row>
    <row r="182">
      <c r="A182" s="13" t="inlineStr">
        <is>
          <t>و ك م /48/2024/2025</t>
        </is>
      </c>
      <c r="B182" s="13" t="inlineStr">
        <is>
          <t>وزارة الكهرباء والماء والطاقة المتجددة</t>
        </is>
      </c>
      <c r="C182" s="13" t="inlineStr">
        <is>
          <t>Raed Obeid</t>
        </is>
      </c>
      <c r="D182" s="13" t="inlineStr">
        <is>
          <t>توريد كيبلات ألمنيوم ضغط متوسط 11ك.ف، كيبلات نحاس ضغط متوسط 11ك.ف كيبلات قيادية (PILOT) كيبلات ضغط منخفض 1ك.ف لمشاريع شبكات التوزيع الكهربائية 11ك.ف</t>
        </is>
      </c>
      <c r="E182"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24" t="inlineStr">
        <is>
          <t>عام</t>
        </is>
      </c>
      <c r="H182" s="14" t="inlineStr">
        <is>
          <t>24.0%</t>
        </is>
      </c>
      <c r="I182" s="14" t="inlineStr">
        <is>
          <t>oil_and_gas</t>
        </is>
      </c>
      <c r="J182" s="14" t="inlineStr">
        <is>
          <t>2026-09-06</t>
        </is>
      </c>
      <c r="K182" s="14" t="inlineStr">
        <is>
          <t>2026-11-01</t>
        </is>
      </c>
      <c r="L182" s="14" t="inlineStr">
        <is>
          <t>0.000 KWD</t>
        </is>
      </c>
      <c r="M182" s="14" t="inlineStr">
        <is>
          <t>500.000 KWD</t>
        </is>
      </c>
      <c r="N182" s="21" t="inlineStr">
        <is>
          <t>NEW</t>
        </is>
      </c>
      <c r="O182" s="14" t="inlineStr">
        <is>
          <t>غير متوافقة مع اختصاصات KBM</t>
        </is>
      </c>
      <c r="P182" s="22">
        <f>HYPERLINK("https://capt.gov.kw/ar/tenders/opening-tenders/#card-0", "عرض المصدر")</f>
        <v/>
      </c>
    </row>
    <row r="183">
      <c r="A183" s="11" t="inlineStr">
        <is>
          <t>و ك م /11/2025/2026</t>
        </is>
      </c>
      <c r="B183" s="11" t="inlineStr">
        <is>
          <t>وزارة الكهرباء والماء والطاقة المتجددة</t>
        </is>
      </c>
      <c r="C183" s="11" t="inlineStr">
        <is>
          <t>Raed Obeid</t>
        </is>
      </c>
      <c r="D183" s="11" t="inlineStr">
        <is>
          <t>توريد وتسليم ومناولة مواد كيماوية لوحدة التناضح العكسي لمحطة الشويخ القوى الكهربائية وتقطير المياه</t>
        </is>
      </c>
      <c r="E183"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12" t="inlineStr">
        <is>
          <t>عام</t>
        </is>
      </c>
      <c r="H183" s="12" t="inlineStr">
        <is>
          <t>0.0%</t>
        </is>
      </c>
      <c r="I183" s="12" t="inlineStr">
        <is>
          <t>oil_and_gas</t>
        </is>
      </c>
      <c r="J183" s="12" t="inlineStr">
        <is>
          <t>2026-09-06</t>
        </is>
      </c>
      <c r="K183" s="12" t="inlineStr">
        <is>
          <t>2026-10-25</t>
        </is>
      </c>
      <c r="L183" s="12" t="inlineStr">
        <is>
          <t>0.000 KWD</t>
        </is>
      </c>
      <c r="M183" s="12" t="inlineStr">
        <is>
          <t>250.000 KWD</t>
        </is>
      </c>
      <c r="N183" s="21" t="inlineStr">
        <is>
          <t>NEW</t>
        </is>
      </c>
      <c r="O183" s="12" t="inlineStr">
        <is>
          <t>غير متوافقة مع اختصاصات KBM</t>
        </is>
      </c>
      <c r="P183" s="23">
        <f>HYPERLINK("https://capt.gov.kw/ar/tenders/opening-tenders/#card-9", "عرض المصدر")</f>
        <v/>
      </c>
    </row>
    <row r="184">
      <c r="A184" s="13" t="inlineStr">
        <is>
          <t>هـ ع / ش أ م / 4/2026/2027</t>
        </is>
      </c>
      <c r="B184" s="13" t="inlineStr">
        <is>
          <t>الهيئة العامة للتعليم التطبيقي والتدريب</t>
        </is>
      </c>
      <c r="C184" s="13" t="inlineStr">
        <is>
          <t>Eiman Ashkanani</t>
        </is>
      </c>
      <c r="D184" s="13" t="inlineStr">
        <is>
          <t>توفير خدمة الانترنت و نقل المعلومات internet - wan للهيئة العامة للتعليم التطبيقي و التدريب</t>
        </is>
      </c>
      <c r="E184"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24.0%</t>
        </is>
      </c>
      <c r="I184" s="14" t="inlineStr">
        <is>
          <t>education_and_research</t>
        </is>
      </c>
      <c r="J184" s="14" t="inlineStr">
        <is>
          <t>2026-09-06</t>
        </is>
      </c>
      <c r="K184" s="14" t="inlineStr">
        <is>
          <t>2026-11-03</t>
        </is>
      </c>
      <c r="L184" s="14" t="inlineStr">
        <is>
          <t>6000.000 KWD</t>
        </is>
      </c>
      <c r="M184" s="14" t="inlineStr">
        <is>
          <t>300.000 KWD</t>
        </is>
      </c>
      <c r="N184" s="21" t="inlineStr">
        <is>
          <t>NEW</t>
        </is>
      </c>
      <c r="O184" s="14" t="inlineStr">
        <is>
          <t>غير متوافقة مع اختصاصات KBM</t>
        </is>
      </c>
      <c r="P184" s="22">
        <f>HYPERLINK("https://capt.gov.kw/ar/tenders/opening-tenders/#card-8", "عرض المصدر")</f>
        <v/>
      </c>
    </row>
    <row r="185">
      <c r="A185" s="11" t="inlineStr">
        <is>
          <t>ع ت ا م/ ق/ 2/2025</t>
        </is>
      </c>
      <c r="B185" s="11" t="inlineStr">
        <is>
          <t>المؤسسة العامة للتأمينات الاجتماعية</t>
        </is>
      </c>
      <c r="C185" s="11" t="inlineStr">
        <is>
          <t>Jana Al-Obaid</t>
        </is>
      </c>
      <c r="D185"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85"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24" t="inlineStr">
        <is>
          <t>قطاع العمليات المدارة والدعم الفني متعدد الموردين</t>
        </is>
      </c>
      <c r="H185" s="12" t="inlineStr">
        <is>
          <t>39.0%</t>
        </is>
      </c>
      <c r="I185" s="12" t="inlineStr">
        <is>
          <t>banking_and_finance</t>
        </is>
      </c>
      <c r="J185" s="12" t="inlineStr">
        <is>
          <t>2026-09-06</t>
        </is>
      </c>
      <c r="K185" s="12" t="inlineStr">
        <is>
          <t>2026-12-01</t>
        </is>
      </c>
      <c r="L185" s="12" t="inlineStr">
        <is>
          <t>3500.000 KWD</t>
        </is>
      </c>
      <c r="M185" s="12" t="inlineStr">
        <is>
          <t>150.000 KWD</t>
        </is>
      </c>
      <c r="N185" s="21" t="inlineStr">
        <is>
          <t>NEW</t>
        </is>
      </c>
      <c r="O185" s="12" t="inlineStr">
        <is>
          <t>فرصة تتطلب شراكة أو دراسة نطاق</t>
        </is>
      </c>
      <c r="P185" s="23">
        <f>HYPERLINK("https://capt.gov.kw/ar/tenders/opening-tenders/#card-7", "عرض المصدر")</f>
        <v/>
      </c>
    </row>
    <row r="186">
      <c r="A186" s="13" t="inlineStr">
        <is>
          <t>ص / م خ ع /18/2026/2027</t>
        </is>
      </c>
      <c r="B186" s="13" t="inlineStr">
        <is>
          <t>وزارة الصحة</t>
        </is>
      </c>
      <c r="C186" s="13" t="inlineStr">
        <is>
          <t>Jana Al-Obaid</t>
        </is>
      </c>
      <c r="D186" s="13" t="inlineStr">
        <is>
          <t>توريد محارم ورق التنشيف</t>
        </is>
      </c>
      <c r="E186" s="13" t="inlineStr">
        <is>
          <t>أعمال وتوريدات توريد محارم ورق التنشيف لصالح وزارة الصحة وفقاً للشروط والمواصفات المعتمدة في وثائق الطرح.</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14" t="inlineStr">
        <is>
          <t>عام</t>
        </is>
      </c>
      <c r="H186" s="14" t="inlineStr">
        <is>
          <t>0.0%</t>
        </is>
      </c>
      <c r="I186" s="14" t="inlineStr">
        <is>
          <t>healthcare</t>
        </is>
      </c>
      <c r="J186" s="14" t="inlineStr">
        <is>
          <t>2026-09-06</t>
        </is>
      </c>
      <c r="K186" s="14" t="inlineStr">
        <is>
          <t>2026-11-01</t>
        </is>
      </c>
      <c r="L186" s="14" t="inlineStr">
        <is>
          <t>6000.000 KWD</t>
        </is>
      </c>
      <c r="M186" s="14" t="inlineStr">
        <is>
          <t>300.000 KWD</t>
        </is>
      </c>
      <c r="N186" s="21" t="inlineStr">
        <is>
          <t>NEW</t>
        </is>
      </c>
      <c r="O186" s="14" t="inlineStr">
        <is>
          <t>غير متوافقة مع اختصاصات KBM</t>
        </is>
      </c>
      <c r="P186" s="22">
        <f>HYPERLINK("https://capt.gov.kw/ar/tenders/opening-tenders/#card-6", "عرض المصدر")</f>
        <v/>
      </c>
    </row>
    <row r="187">
      <c r="A187" s="11" t="inlineStr">
        <is>
          <t>5/2025-2026</t>
        </is>
      </c>
      <c r="B187" s="11" t="inlineStr">
        <is>
          <t>ديوان المحاسبة</t>
        </is>
      </c>
      <c r="C187" s="11" t="inlineStr">
        <is>
          <t>Eiman Ashkanani</t>
        </is>
      </c>
      <c r="D18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8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24" t="inlineStr">
        <is>
          <t>عام</t>
        </is>
      </c>
      <c r="H187" s="12" t="inlineStr">
        <is>
          <t>24.0%</t>
        </is>
      </c>
      <c r="I187" s="12" t="inlineStr">
        <is>
          <t>government</t>
        </is>
      </c>
      <c r="J187" s="12" t="inlineStr">
        <is>
          <t>2026-09-06</t>
        </is>
      </c>
      <c r="K187" s="12" t="inlineStr">
        <is>
          <t>2026-10-27</t>
        </is>
      </c>
      <c r="L187" s="12" t="inlineStr">
        <is>
          <t>3500.000 KWD</t>
        </is>
      </c>
      <c r="M187" s="12" t="inlineStr">
        <is>
          <t>150.000 KWD</t>
        </is>
      </c>
      <c r="N187" s="21" t="inlineStr">
        <is>
          <t>NEW</t>
        </is>
      </c>
      <c r="O187" s="12" t="inlineStr">
        <is>
          <t>غير متوافقة مع اختصاصات KBM</t>
        </is>
      </c>
      <c r="P187" s="23">
        <f>HYPERLINK("https://capt.gov.kw/ar/tenders/opening-tenders/#card-5", "عرض المصدر")</f>
        <v/>
      </c>
    </row>
    <row r="188">
      <c r="A188" s="13" t="inlineStr">
        <is>
          <t>14/2024</t>
        </is>
      </c>
      <c r="B188" s="13" t="inlineStr">
        <is>
          <t>الهيئة العامة للصناعة</t>
        </is>
      </c>
      <c r="C188" s="13" t="inlineStr">
        <is>
          <t>Eiman Ashkanani</t>
        </is>
      </c>
      <c r="D188" s="13" t="inlineStr">
        <is>
          <t>المناقصة رقم (هـ ع ص/2024/14) بشأن صيانة وتطوير وتشغيل وضمان أنظمة (المشاريع - العقود - المواصفات) بالهيئة العامة للصناعة</t>
        </is>
      </c>
      <c r="E188" s="13"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24" t="inlineStr">
        <is>
          <t>عام</t>
        </is>
      </c>
      <c r="H188" s="14" t="inlineStr">
        <is>
          <t>0.0%</t>
        </is>
      </c>
      <c r="I188" s="14" t="inlineStr">
        <is>
          <t>government</t>
        </is>
      </c>
      <c r="J188" s="14" t="inlineStr">
        <is>
          <t>2026-09-06</t>
        </is>
      </c>
      <c r="K188" s="14" t="inlineStr">
        <is>
          <t>2026-11-03</t>
        </is>
      </c>
      <c r="L188" s="14" t="inlineStr">
        <is>
          <t>23000.000 KWD</t>
        </is>
      </c>
      <c r="M188" s="14" t="inlineStr">
        <is>
          <t>1000.000 KWD</t>
        </is>
      </c>
      <c r="N188" s="21" t="inlineStr">
        <is>
          <t>NEW</t>
        </is>
      </c>
      <c r="O188" s="14" t="inlineStr">
        <is>
          <t>غير متوافقة مع اختصاصات KBM</t>
        </is>
      </c>
      <c r="P188" s="22">
        <f>HYPERLINK("https://capt.gov.kw/ar/tenders/opening-tenders/#card-4", "عرض المصدر")</f>
        <v/>
      </c>
    </row>
    <row r="189">
      <c r="A189" s="11" t="inlineStr">
        <is>
          <t>و ك م/57/2025/2026</t>
        </is>
      </c>
      <c r="B189" s="11" t="inlineStr">
        <is>
          <t>وزارة الكهرباء والماء والطاقة المتجددة</t>
        </is>
      </c>
      <c r="C189" s="11" t="inlineStr">
        <is>
          <t>Raed Obeid</t>
        </is>
      </c>
      <c r="D189" s="11" t="inlineStr">
        <is>
          <t>توريد وتركيب محركات كهربائية في محطة الدوحة الغربية لتوليد القوى الكهربائية وتقطير المياه</t>
        </is>
      </c>
      <c r="E189" s="11"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oil_and_gas</t>
        </is>
      </c>
      <c r="J189" s="12" t="inlineStr">
        <is>
          <t>2026-09-13</t>
        </is>
      </c>
      <c r="K189" s="12" t="inlineStr">
        <is>
          <t>2026-10-13</t>
        </is>
      </c>
      <c r="L189" s="12" t="inlineStr">
        <is>
          <t>62000.000 KWD</t>
        </is>
      </c>
      <c r="M189" s="12" t="inlineStr">
        <is>
          <t>1000.000 KWD</t>
        </is>
      </c>
      <c r="N189" s="21" t="inlineStr">
        <is>
          <t>NEW</t>
        </is>
      </c>
      <c r="O189" s="12" t="inlineStr">
        <is>
          <t>غير متوافقة مع اختصاصات KBM</t>
        </is>
      </c>
      <c r="P189" s="23">
        <f>HYPERLINK("https://capt.gov.kw/ar/tenders/opening-tenders/#card-3", "عرض المصدر")</f>
        <v/>
      </c>
    </row>
    <row r="190">
      <c r="A190" s="13" t="inlineStr">
        <is>
          <t>و ش ج 3/2025/2026</t>
        </is>
      </c>
      <c r="B190" s="13" t="inlineStr">
        <is>
          <t>وزارة الشئون الاجتماعية</t>
        </is>
      </c>
      <c r="C190" s="13" t="inlineStr">
        <is>
          <t>Eiman Ashkanani</t>
        </is>
      </c>
      <c r="D190" s="13" t="inlineStr">
        <is>
          <t>اعمال خدمة النزيل في قطاع الرعاية الأجتماعية</t>
        </is>
      </c>
      <c r="E19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0.0%</t>
        </is>
      </c>
      <c r="I190" s="14" t="inlineStr">
        <is>
          <t>government</t>
        </is>
      </c>
      <c r="J190" s="14" t="inlineStr">
        <is>
          <t>2026-09-13</t>
        </is>
      </c>
      <c r="K190" s="14" t="inlineStr">
        <is>
          <t>2026-12-08</t>
        </is>
      </c>
      <c r="L190" s="14" t="inlineStr">
        <is>
          <t>45000.000 KWD</t>
        </is>
      </c>
      <c r="M190" s="14" t="inlineStr">
        <is>
          <t>1000.000 KWD</t>
        </is>
      </c>
      <c r="N190" s="21" t="inlineStr">
        <is>
          <t>NEW</t>
        </is>
      </c>
      <c r="O190" s="14" t="inlineStr">
        <is>
          <t>غير متوافقة مع اختصاصات KBM</t>
        </is>
      </c>
      <c r="P190" s="22">
        <f>HYPERLINK("https://capt.gov.kw/ar/tenders/opening-tenders/#card-2", "عرض المصدر")</f>
        <v/>
      </c>
    </row>
    <row r="191">
      <c r="A191" s="11" t="inlineStr">
        <is>
          <t>و ش ج /4/2025/2026</t>
        </is>
      </c>
      <c r="B191" s="11" t="inlineStr">
        <is>
          <t>وزارة الشئون الاجتماعية</t>
        </is>
      </c>
      <c r="C191" s="11" t="inlineStr">
        <is>
          <t>Eiman Ashkanani</t>
        </is>
      </c>
      <c r="D191" s="11" t="inlineStr">
        <is>
          <t>اعداد الدراسات الاستشارية لأعمال منتجع صباح الأحمد لرعاية المسنين التابع لوزارة الشئون الاجتماعية</t>
        </is>
      </c>
      <c r="E19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2026-09-13</t>
        </is>
      </c>
      <c r="K191" s="12" t="inlineStr">
        <is>
          <t>2026-12-08</t>
        </is>
      </c>
      <c r="L191" s="12" t="inlineStr">
        <is>
          <t>6000.000 KWD</t>
        </is>
      </c>
      <c r="M191" s="12" t="inlineStr">
        <is>
          <t>300.000 KWD</t>
        </is>
      </c>
      <c r="N191" s="21" t="inlineStr">
        <is>
          <t>NEW</t>
        </is>
      </c>
      <c r="O191" s="12" t="inlineStr">
        <is>
          <t>غير متوافقة مع اختصاصات KBM</t>
        </is>
      </c>
      <c r="P191" s="23">
        <f>HYPERLINK("https://capt.gov.kw/ar/tenders/opening-tenders/#card-1", "عرض المصدر")</f>
        <v/>
      </c>
    </row>
    <row r="192">
      <c r="A192" s="13" t="inlineStr">
        <is>
          <t>ممارسة 3/2026/2027</t>
        </is>
      </c>
      <c r="B192" s="13" t="inlineStr">
        <is>
          <t>الجهاز المركزي للمناقصات العامة</t>
        </is>
      </c>
      <c r="C192" s="13" t="inlineStr">
        <is>
          <t>Eiman Ashkanani</t>
        </is>
      </c>
      <c r="D192" s="13" t="inlineStr">
        <is>
          <t>تصميم وتطوير خدمات الموقع الإلكتروني والبرامج الذكية للجهاز المركزي للمناقصات العامة</t>
        </is>
      </c>
      <c r="E192"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28.0%</t>
        </is>
      </c>
      <c r="I192" s="14" t="inlineStr">
        <is>
          <t>government</t>
        </is>
      </c>
      <c r="J192" s="14" t="inlineStr">
        <is>
          <t>2026-09-13</t>
        </is>
      </c>
      <c r="K192" s="18" t="inlineStr">
        <is>
          <t>2026-10-06</t>
        </is>
      </c>
      <c r="L192" s="14" t="inlineStr">
        <is>
          <t>1000.000 KWD</t>
        </is>
      </c>
      <c r="M192" s="14" t="inlineStr">
        <is>
          <t>50.000 KWD</t>
        </is>
      </c>
      <c r="N192" s="21" t="inlineStr">
        <is>
          <t>NEW</t>
        </is>
      </c>
      <c r="O192" s="14" t="inlineStr">
        <is>
          <t>غير متوافقة مع اختصاصات KBM</t>
        </is>
      </c>
      <c r="P192" s="22">
        <f>HYPERLINK("https://capt.gov.kw/ar/tenders/opening-tenders/#card-0", "عرض المصدر")</f>
        <v/>
      </c>
    </row>
    <row r="193">
      <c r="A193" s="11" t="inlineStr">
        <is>
          <t>الاستشارية 8/2023/2024</t>
        </is>
      </c>
      <c r="B193" s="11" t="inlineStr">
        <is>
          <t>الادارة العامة للطيران المدني</t>
        </is>
      </c>
      <c r="C193" s="11" t="inlineStr">
        <is>
          <t>Eiman Ashkanani</t>
        </is>
      </c>
      <c r="D193" s="11" t="inlineStr">
        <is>
          <t>خدمات إدارة المشاريع لتنفيذ مشاريع المخطط الهيلكي 2020 وإعداد العقود والدراسات ومتابعة المشغلين والمستثمرين في مطار الكويت الدولي</t>
        </is>
      </c>
      <c r="E193" s="11"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government</t>
        </is>
      </c>
      <c r="J193" s="12" t="inlineStr">
        <is>
          <t>2026-09-13</t>
        </is>
      </c>
      <c r="K193" s="12" t="inlineStr">
        <is>
          <t>2026-12-08</t>
        </is>
      </c>
      <c r="L193" s="12" t="inlineStr">
        <is>
          <t>100000.000 KWD</t>
        </is>
      </c>
      <c r="M193" s="12" t="inlineStr">
        <is>
          <t>3500.000 KWD</t>
        </is>
      </c>
      <c r="N193" s="21" t="inlineStr">
        <is>
          <t>NEW</t>
        </is>
      </c>
      <c r="O193" s="12" t="inlineStr">
        <is>
          <t>غير متوافقة مع اختصاصات KBM</t>
        </is>
      </c>
      <c r="P193" s="23">
        <f>HYPERLINK("https://capt.gov.kw/ar/tenders/opening-tenders/#card-9", "عرض المصدر")</f>
        <v/>
      </c>
    </row>
    <row r="194">
      <c r="A194" s="13" t="inlineStr">
        <is>
          <t>7 / 2025-2026</t>
        </is>
      </c>
      <c r="B194" s="13" t="inlineStr">
        <is>
          <t>وزارة المالية</t>
        </is>
      </c>
      <c r="C194" s="13" t="inlineStr">
        <is>
          <t>Eiman Ashkanani</t>
        </is>
      </c>
      <c r="D194" s="13" t="inlineStr">
        <is>
          <t>توفير خدمات مراسلين وسفرجية لوزارة المالية</t>
        </is>
      </c>
      <c r="E194" s="13" t="inlineStr">
        <is>
          <t>أعمال وتوريدات توفير خدمات مراسلين وسفرجية لوزارة المالية لصالح وزارة المالية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government</t>
        </is>
      </c>
      <c r="J194" s="14" t="inlineStr">
        <is>
          <t>2026-09-13</t>
        </is>
      </c>
      <c r="K194" s="14" t="inlineStr">
        <is>
          <t>2026-12-08</t>
        </is>
      </c>
      <c r="L194" s="14" t="inlineStr">
        <is>
          <t>15000.000 KWD</t>
        </is>
      </c>
      <c r="M194" s="14" t="inlineStr">
        <is>
          <t>1000.000 KWD</t>
        </is>
      </c>
      <c r="N194" s="21" t="inlineStr">
        <is>
          <t>NEW</t>
        </is>
      </c>
      <c r="O194" s="14" t="inlineStr">
        <is>
          <t>غير متوافقة مع اختصاصات KBM</t>
        </is>
      </c>
      <c r="P194" s="22">
        <f>HYPERLINK("https://capt.gov.kw/ar/tenders/opening-tenders/#card-8", "عرض المصدر")</f>
        <v/>
      </c>
    </row>
    <row r="195">
      <c r="A195" s="11" t="inlineStr">
        <is>
          <t>2/2025/2026</t>
        </is>
      </c>
      <c r="B195" s="11" t="inlineStr">
        <is>
          <t>وزارة الشئون الاجتماعية</t>
        </is>
      </c>
      <c r="C195" s="11" t="inlineStr">
        <is>
          <t>Eiman Ashkanani</t>
        </is>
      </c>
      <c r="D195" s="11" t="inlineStr">
        <is>
          <t>أعمال توريد الحفاظات لكبار السن المقيدين في وزارة الشئون الإجتماعية</t>
        </is>
      </c>
      <c r="E1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government</t>
        </is>
      </c>
      <c r="J195" s="12" t="inlineStr">
        <is>
          <t>2026-09-20</t>
        </is>
      </c>
      <c r="K195" s="12" t="inlineStr">
        <is>
          <t>2026-12-15</t>
        </is>
      </c>
      <c r="L195" s="12" t="inlineStr">
        <is>
          <t>23000.000 KWD</t>
        </is>
      </c>
      <c r="M195" s="12" t="inlineStr">
        <is>
          <t>1000.000 KWD</t>
        </is>
      </c>
      <c r="N195" s="21" t="inlineStr">
        <is>
          <t>NEW</t>
        </is>
      </c>
      <c r="O195" s="12" t="inlineStr">
        <is>
          <t>غير متوافقة مع اختصاصات KBM</t>
        </is>
      </c>
      <c r="P195" s="23">
        <f>HYPERLINK("https://capt.gov.kw/ar/tenders/opening-tenders/#card-7", "عرض المصدر")</f>
        <v/>
      </c>
    </row>
    <row r="196">
      <c r="A196" s="13" t="inlineStr">
        <is>
          <t>وك م-65/2025/2026</t>
        </is>
      </c>
      <c r="B196" s="13" t="inlineStr">
        <is>
          <t>وزارة الكهرباء والماء والطاقة المتجددة</t>
        </is>
      </c>
      <c r="C196" s="13" t="inlineStr">
        <is>
          <t>Raed Obeid</t>
        </is>
      </c>
      <c r="D196" s="13" t="inlineStr">
        <is>
          <t>توريد وتركيب وتشغيل وصيانة وضمان أعمال التمديدات الكهربائية للأعمال الصغيرة بمحافظات(الفروانية-الجهراء-العاصمة)</t>
        </is>
      </c>
      <c r="E196" s="13"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24.0%</t>
        </is>
      </c>
      <c r="I196" s="14" t="inlineStr">
        <is>
          <t>oil_and_gas</t>
        </is>
      </c>
      <c r="J196" s="14" t="inlineStr">
        <is>
          <t>2026-09-20</t>
        </is>
      </c>
      <c r="K196" s="14" t="inlineStr">
        <is>
          <t>2026-12-15</t>
        </is>
      </c>
      <c r="L196" s="14" t="inlineStr">
        <is>
          <t>23000.000 KWD</t>
        </is>
      </c>
      <c r="M196" s="14" t="inlineStr">
        <is>
          <t>1000.000 KWD</t>
        </is>
      </c>
      <c r="N196" s="21" t="inlineStr">
        <is>
          <t>NEW</t>
        </is>
      </c>
      <c r="O196" s="14" t="inlineStr">
        <is>
          <t>غير متوافقة مع اختصاصات KBM</t>
        </is>
      </c>
      <c r="P196" s="22">
        <f>HYPERLINK("https://capt.gov.kw/ar/tenders/opening-tenders/#card-6", "عرض المصدر")</f>
        <v/>
      </c>
    </row>
    <row r="197">
      <c r="A197" s="11" t="inlineStr">
        <is>
          <t>و ك م /27/2024/2025</t>
        </is>
      </c>
      <c r="B197" s="11" t="inlineStr">
        <is>
          <t>وزارة الكهرباء والماء والطاقة المتجددة</t>
        </is>
      </c>
      <c r="C197" s="11" t="inlineStr">
        <is>
          <t>Raed Obeid</t>
        </is>
      </c>
      <c r="D197"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7"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2026-09-20</t>
        </is>
      </c>
      <c r="K197" s="12" t="inlineStr">
        <is>
          <t>2026-10-20</t>
        </is>
      </c>
      <c r="L197" s="12" t="inlineStr">
        <is>
          <t>23000.000 KWD</t>
        </is>
      </c>
      <c r="M197" s="12" t="inlineStr">
        <is>
          <t>1000.000 KWD</t>
        </is>
      </c>
      <c r="N197" s="21" t="inlineStr">
        <is>
          <t>NEW</t>
        </is>
      </c>
      <c r="O197" s="12" t="inlineStr">
        <is>
          <t>غير متوافقة مع اختصاصات KBM</t>
        </is>
      </c>
      <c r="P197" s="23">
        <f>HYPERLINK("https://capt.gov.kw/ar/tenders/opening-tenders/#card-5", "عرض المصدر")</f>
        <v/>
      </c>
    </row>
    <row r="198">
      <c r="A198" s="13" t="inlineStr">
        <is>
          <t>RFQ/1062690</t>
        </is>
      </c>
      <c r="B198" s="13" t="inlineStr">
        <is>
          <t>شركة البترول الوطنية الكويتية</t>
        </is>
      </c>
      <c r="C198" s="13" t="inlineStr">
        <is>
          <t>Abrar Al-Qallaf</t>
        </is>
      </c>
      <c r="D198" s="13" t="inlineStr">
        <is>
          <t>ممارسة رقم RFQ/1062690: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RFQ/1062690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2026-10-22</t>
        </is>
      </c>
      <c r="L198" s="14" t="inlineStr">
        <is>
          <t>1000.0</t>
        </is>
      </c>
      <c r="M198" s="14" t="inlineStr">
        <is>
          <t>-</t>
        </is>
      </c>
      <c r="N198" s="21" t="inlineStr">
        <is>
          <t>NEW</t>
        </is>
      </c>
      <c r="O198" s="14" t="inlineStr">
        <is>
          <t>غير متوافقة</t>
        </is>
      </c>
      <c r="P198" s="22">
        <f>HYPERLINK("https://kuwaitalyawm.media.gov.kw/flip/index?id=5599&amp;no=223", "عرض المصدر")</f>
        <v/>
      </c>
    </row>
    <row r="199">
      <c r="A199" s="11" t="inlineStr">
        <is>
          <t>RFQ/1063968</t>
        </is>
      </c>
      <c r="B199" s="11" t="inlineStr">
        <is>
          <t>شركة البترول الوطنية الكويتية</t>
        </is>
      </c>
      <c r="C199" s="11" t="inlineStr">
        <is>
          <t>Abrar Al-Qallaf</t>
        </is>
      </c>
      <c r="D199" s="11" t="inlineStr">
        <is>
          <t>ممارسة رقم RFQ/1063968: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RFQ/1063968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2026-10-15</t>
        </is>
      </c>
      <c r="L199" s="12" t="inlineStr">
        <is>
          <t>1000.0</t>
        </is>
      </c>
      <c r="M199" s="12" t="inlineStr">
        <is>
          <t>-</t>
        </is>
      </c>
      <c r="N199" s="21" t="inlineStr">
        <is>
          <t>NEW</t>
        </is>
      </c>
      <c r="O199" s="12" t="inlineStr">
        <is>
          <t>غير متوافقة</t>
        </is>
      </c>
      <c r="P199" s="23">
        <f>HYPERLINK("https://kuwaitalyawm.media.gov.kw/flip/index?id=5599&amp;no=224", "عرض المصدر")</f>
        <v/>
      </c>
    </row>
    <row r="200">
      <c r="A200" s="13" t="inlineStr">
        <is>
          <t>RFQ/1063246</t>
        </is>
      </c>
      <c r="B200" s="13" t="inlineStr">
        <is>
          <t>شركة البترول الوطنية الكويتية</t>
        </is>
      </c>
      <c r="C200" s="13" t="inlineStr">
        <is>
          <t>Abrar Al-Qallaf</t>
        </is>
      </c>
      <c r="D200" s="13" t="inlineStr">
        <is>
          <t>ممارسة رقم RFQ/1063246: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RFQ/1063246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2026-10-22</t>
        </is>
      </c>
      <c r="L200" s="14" t="inlineStr">
        <is>
          <t>1000.0</t>
        </is>
      </c>
      <c r="M200" s="14" t="inlineStr">
        <is>
          <t>-</t>
        </is>
      </c>
      <c r="N200" s="21" t="inlineStr">
        <is>
          <t>NEW</t>
        </is>
      </c>
      <c r="O200" s="14" t="inlineStr">
        <is>
          <t>غير متوافقة</t>
        </is>
      </c>
      <c r="P200" s="22">
        <f>HYPERLINK("https://kuwaitalyawm.media.gov.kw/flip/index?id=5599&amp;no=224", "عرض المصدر")</f>
        <v/>
      </c>
    </row>
    <row r="201">
      <c r="A201" s="11" t="inlineStr">
        <is>
          <t>RFQ/1063799</t>
        </is>
      </c>
      <c r="B201" s="11" t="inlineStr">
        <is>
          <t>شركة البترول الوطنية الكويتية</t>
        </is>
      </c>
      <c r="C201" s="11" t="inlineStr">
        <is>
          <t>Abrar Al-Qallaf</t>
        </is>
      </c>
      <c r="D201" s="11" t="inlineStr">
        <is>
          <t>ممارسة رقم RFQ/1063799: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RFQ/1063799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2026-10-22</t>
        </is>
      </c>
      <c r="L201" s="12" t="inlineStr">
        <is>
          <t>1000.0</t>
        </is>
      </c>
      <c r="M201" s="12" t="inlineStr">
        <is>
          <t>-</t>
        </is>
      </c>
      <c r="N201" s="21" t="inlineStr">
        <is>
          <t>NEW</t>
        </is>
      </c>
      <c r="O201" s="12" t="inlineStr">
        <is>
          <t>غير متوافقة</t>
        </is>
      </c>
      <c r="P201" s="23">
        <f>HYPERLINK("https://kuwaitalyawm.media.gov.kw/flip/index?id=5599&amp;no=225", "عرض المصدر")</f>
        <v/>
      </c>
    </row>
    <row r="202">
      <c r="A202" s="13" t="inlineStr">
        <is>
          <t>RFQ/1061616</t>
        </is>
      </c>
      <c r="B202" s="13" t="inlineStr">
        <is>
          <t>شركة البترول الوطنية الكويتية</t>
        </is>
      </c>
      <c r="C202" s="13" t="inlineStr">
        <is>
          <t>Abrar Al-Qallaf</t>
        </is>
      </c>
      <c r="D202" s="13" t="inlineStr">
        <is>
          <t>ممارسة رقم RFQ/1061616: إعادة طرح توريد المواد المضافة للوقود (Stability Additive for 0.5% Sulfur IMO Bunker Fuel Oil - MAA) - شركة البترول الوطنية الكويتية</t>
        </is>
      </c>
      <c r="E202" s="13" t="inlineStr">
        <is>
          <t>توريد مواد مضافة كيميائية لتحسين ثبات منتج وقود السفن منخفض الكبريت 0.5% بمصفاة ميناء الأحمدي.</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2026-10-15</t>
        </is>
      </c>
      <c r="L202" s="14" t="inlineStr">
        <is>
          <t>1000.0</t>
        </is>
      </c>
      <c r="M202" s="14" t="inlineStr">
        <is>
          <t>-</t>
        </is>
      </c>
      <c r="N202" s="21" t="inlineStr">
        <is>
          <t>NEW</t>
        </is>
      </c>
      <c r="O202" s="14" t="inlineStr">
        <is>
          <t>غير متوافقة</t>
        </is>
      </c>
      <c r="P202" s="22">
        <f>HYPERLINK("https://kuwaitalyawm.media.gov.kw/flip/index?id=5599&amp;no=225", "عرض المصدر")</f>
        <v/>
      </c>
    </row>
    <row r="203">
      <c r="A203" s="11" t="inlineStr">
        <is>
          <t>RFQ/1063414</t>
        </is>
      </c>
      <c r="B203" s="11" t="inlineStr">
        <is>
          <t>شركة البترول الوطنية الكويتية</t>
        </is>
      </c>
      <c r="C203" s="11" t="inlineStr">
        <is>
          <t>Abrar Al-Qallaf</t>
        </is>
      </c>
      <c r="D203" s="11" t="inlineStr">
        <is>
          <t>ممارسة رقم RFQ/1063414: توريد مستلزمات وتجهيزات ميكانيكية وتشغيلية - شركة البترول الوطنية الكويتية</t>
        </is>
      </c>
      <c r="E203" s="11" t="inlineStr">
        <is>
          <t>توريد معدات ومستلزمات تشغيلية وميكانيكية لعمليات المصافي بشركة البترول الوطنية الكويتية.</t>
        </is>
      </c>
      <c r="F203" s="11" t="inlineStr">
        <is>
          <t>وفقاً لشروط وإجراءات المناقصات والتوريد لدى شركة البترول الوطنية الكويتية (KNPC)</t>
        </is>
      </c>
      <c r="G203" s="12" t="inlineStr">
        <is>
          <t>عام</t>
        </is>
      </c>
      <c r="H203" s="12" t="inlineStr">
        <is>
          <t>15.0%</t>
        </is>
      </c>
      <c r="I203" s="12" t="inlineStr">
        <is>
          <t>oil_and_gas</t>
        </is>
      </c>
      <c r="J203" s="12" t="inlineStr">
        <is>
          <t>2026-09-27</t>
        </is>
      </c>
      <c r="K203" s="18" t="inlineStr">
        <is>
          <t>2026-10-08</t>
        </is>
      </c>
      <c r="L203" s="12" t="inlineStr">
        <is>
          <t>2500.0</t>
        </is>
      </c>
      <c r="M203" s="12" t="inlineStr">
        <is>
          <t>100.0</t>
        </is>
      </c>
      <c r="N203" s="21" t="inlineStr">
        <is>
          <t>NEW</t>
        </is>
      </c>
      <c r="O203" s="12" t="inlineStr">
        <is>
          <t>غير متوافقة</t>
        </is>
      </c>
      <c r="P203" s="23">
        <f>HYPERLINK("https://kuwaitalyawm.media.gov.kw/flip/index?id=5599&amp;no=226", "عرض المصدر")</f>
        <v/>
      </c>
    </row>
    <row r="204">
      <c r="A204" s="13" t="inlineStr">
        <is>
          <t>P&amp;MAB-04/2025</t>
        </is>
      </c>
      <c r="B204" s="13" t="inlineStr">
        <is>
          <t>شركة ناقلات النفط الكويتية</t>
        </is>
      </c>
      <c r="C204" s="13" t="inlineStr">
        <is>
          <t>Ahmed Habib</t>
        </is>
      </c>
      <c r="D204" s="13" t="inlineStr">
        <is>
          <t>ممارسة رقم P&amp;MAB-04/2025: ممارسة التصميم والإشراف على مشروع أرض مساحتها</t>
        </is>
      </c>
      <c r="E204"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204" s="13" t="inlineStr">
        <is>
          <t>وفقاً لشروط وإجراءات المناقصات والتوريد لدى شركة البترول الوطنية الكويتية (KNPC)</t>
        </is>
      </c>
      <c r="G204" s="14" t="inlineStr">
        <is>
          <t>عام</t>
        </is>
      </c>
      <c r="H204" s="14" t="inlineStr">
        <is>
          <t>0.0%</t>
        </is>
      </c>
      <c r="I204" s="14" t="inlineStr">
        <is>
          <t>oil_and_gas</t>
        </is>
      </c>
      <c r="J204" s="14" t="inlineStr">
        <is>
          <t>2026-09-27</t>
        </is>
      </c>
      <c r="K204" s="14" t="inlineStr">
        <is>
          <t>2026-11-03</t>
        </is>
      </c>
      <c r="L204" s="14" t="inlineStr">
        <is>
          <t>2500.0</t>
        </is>
      </c>
      <c r="M204" s="14" t="inlineStr">
        <is>
          <t>-</t>
        </is>
      </c>
      <c r="N204" s="26" t="inlineStr">
        <is>
          <t>UNCHANGED</t>
        </is>
      </c>
      <c r="O204" s="14" t="inlineStr">
        <is>
          <t>غير متوافقة مع اختصاصات KBM</t>
        </is>
      </c>
      <c r="P204" s="22">
        <f>HYPERLINK("https://kuwaitalyawm.media.gov.kw/flip/index?id=5599&amp;no=227", "عرض المصدر")</f>
        <v/>
      </c>
    </row>
    <row r="205">
      <c r="A205" s="11" t="inlineStr">
        <is>
          <t>RFQ/2165292</t>
        </is>
      </c>
      <c r="B205" s="11" t="inlineStr">
        <is>
          <t>شركة البترول الوطنية الكويتية</t>
        </is>
      </c>
      <c r="C205" s="11" t="inlineStr">
        <is>
          <t>Abrar Al-Qallaf</t>
        </is>
      </c>
      <c r="D205" s="11" t="inlineStr">
        <is>
          <t>ممارسة رقم RFQ/2165292: توريد مواد ومهمات تشغيلية لزوم شركة البترول الوطنية الكويتية - شركة البترول الوطنية الكويتية</t>
        </is>
      </c>
      <c r="E205" s="11" t="inlineStr">
        <is>
          <t>أعمال وتوريدات تخصصية لزوم شركة البترول الوطنية الكويتية حسب وثائق الممارسة رقم RFQ/2165292 عبر منصة K-Tendering.</t>
        </is>
      </c>
      <c r="F205" s="11" t="inlineStr">
        <is>
          <t>وفقاً لشروط وإجراءات المناقصات والتوريد لدى شركة البترول الوطنية الكويتية (KNPC)</t>
        </is>
      </c>
      <c r="G205" s="12" t="inlineStr">
        <is>
          <t>عام</t>
        </is>
      </c>
      <c r="H205" s="12" t="inlineStr">
        <is>
          <t>15.0%</t>
        </is>
      </c>
      <c r="I205" s="12" t="inlineStr">
        <is>
          <t>oil_and_gas</t>
        </is>
      </c>
      <c r="J205" s="12" t="inlineStr">
        <is>
          <t>2026-09-27</t>
        </is>
      </c>
      <c r="K205" s="12" t="inlineStr">
        <is>
          <t>-</t>
        </is>
      </c>
      <c r="L205" s="12" t="inlineStr">
        <is>
          <t>-</t>
        </is>
      </c>
      <c r="M205" s="12" t="inlineStr">
        <is>
          <t>-</t>
        </is>
      </c>
      <c r="N205" s="26" t="inlineStr">
        <is>
          <t>UNCHANGED</t>
        </is>
      </c>
      <c r="O205" s="12" t="inlineStr">
        <is>
          <t>غير متوافقة</t>
        </is>
      </c>
      <c r="P205" s="23">
        <f>HYPERLINK("https://kuwaitalyawm.media.gov.kw/flip/index?id=5599&amp;no=227", "عرض المصدر")</f>
        <v/>
      </c>
    </row>
    <row r="206">
      <c r="A206" s="13" t="inlineStr">
        <is>
          <t>RFQ/2167957</t>
        </is>
      </c>
      <c r="B206" s="13" t="inlineStr">
        <is>
          <t>شركة البترول الوطنية الكويتية</t>
        </is>
      </c>
      <c r="C206" s="13" t="inlineStr">
        <is>
          <t>Abrar Al-Qallaf</t>
        </is>
      </c>
      <c r="D206" s="13" t="inlineStr">
        <is>
          <t>ممارسة رقم RFQ/2167957: توريد مواد ومهمات تشغيلية لزوم شركة البترول الوطنية الكويتية - شركة البترول الوطنية الكويتية</t>
        </is>
      </c>
      <c r="E206" s="13" t="inlineStr">
        <is>
          <t>أعمال وتوريدات تخصصية لزوم شركة البترول الوطنية الكويتية حسب وثائق الممارسة رقم RFQ/2167957 عبر منصة K-Tendering.</t>
        </is>
      </c>
      <c r="F206" s="13" t="inlineStr">
        <is>
          <t>وفقاً لشروط وإجراءات المناقصات والتوريد لدى شركة البترول الوطنية الكويتية (KNPC)</t>
        </is>
      </c>
      <c r="G206" s="14" t="inlineStr">
        <is>
          <t>عام</t>
        </is>
      </c>
      <c r="H206" s="14" t="inlineStr">
        <is>
          <t>15.0%</t>
        </is>
      </c>
      <c r="I206" s="14" t="inlineStr">
        <is>
          <t>oil_and_gas</t>
        </is>
      </c>
      <c r="J206" s="14" t="inlineStr">
        <is>
          <t>2026-09-27</t>
        </is>
      </c>
      <c r="K206" s="14" t="inlineStr">
        <is>
          <t>2026-11-02</t>
        </is>
      </c>
      <c r="L206" s="14" t="inlineStr">
        <is>
          <t>15000.0</t>
        </is>
      </c>
      <c r="M206" s="14" t="inlineStr">
        <is>
          <t>-</t>
        </is>
      </c>
      <c r="N206" s="26" t="inlineStr">
        <is>
          <t>UNCHANGED</t>
        </is>
      </c>
      <c r="O206" s="14" t="inlineStr">
        <is>
          <t>غير متوافقة</t>
        </is>
      </c>
      <c r="P206" s="22">
        <f>HYPERLINK("https://kuwaitalyawm.media.gov.kw/flip/index?id=5599&amp;no=227", "عرض المصدر")</f>
        <v/>
      </c>
    </row>
    <row r="207">
      <c r="A207" s="11" t="inlineStr">
        <is>
          <t>2026/2025/6</t>
        </is>
      </c>
      <c r="B207" s="11" t="inlineStr">
        <is>
          <t>الهيئة العامة للاتصالات وتقنية المعلومات</t>
        </is>
      </c>
      <c r="C207" s="11" t="inlineStr">
        <is>
          <t>Eiman Ashkanani</t>
        </is>
      </c>
      <c r="D207" s="11" t="inlineStr">
        <is>
          <t>مناقصة رقم 2026/2025/6: بشأن مشروع تقديم خدمات النظافة والحراسة والمراسلين</t>
        </is>
      </c>
      <c r="E207" s="11" t="inlineStr">
        <is>
          <t>توفير خدمات وأعمال النظافة العامة والشاملة للمباني والمرافق وتوفير العمالة والمعدات والمستهلكات اللازمة.</t>
        </is>
      </c>
      <c r="F207"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 غير قابلة للتجزئة ) ولا يحق لمقدم العطاء تقديم عروض بديلة.
• المقابل المادي للحصول على نسخة من وثائق الممارسة يتمثل في ( 75 ) خمسة
• و سبعون دينار كويتي لاغير.</t>
        </is>
      </c>
      <c r="G207" s="12" t="inlineStr">
        <is>
          <t>عام</t>
        </is>
      </c>
      <c r="H207" s="12" t="inlineStr">
        <is>
          <t>0.0%</t>
        </is>
      </c>
      <c r="I207" s="12" t="inlineStr">
        <is>
          <t>other</t>
        </is>
      </c>
      <c r="J207" s="12" t="inlineStr">
        <is>
          <t>2026-08-23</t>
        </is>
      </c>
      <c r="K207" s="12" t="inlineStr">
        <is>
          <t>2026-09-16</t>
        </is>
      </c>
      <c r="L207" s="12" t="inlineStr">
        <is>
          <t>504.5</t>
        </is>
      </c>
      <c r="M207" s="12" t="inlineStr">
        <is>
          <t>504.5</t>
        </is>
      </c>
      <c r="N207" s="21" t="inlineStr">
        <is>
          <t>NEW</t>
        </is>
      </c>
      <c r="O207" s="12" t="inlineStr">
        <is>
          <t>غير متوافقة مع اختصاصات KBM</t>
        </is>
      </c>
      <c r="P207" s="23">
        <f>HYPERLINK("https://kuwaitalyawm.media.gov.kw/flip/index?id=5589&amp;no=178", "عرض المصدر")</f>
        <v/>
      </c>
    </row>
    <row r="208">
      <c r="A208" s="13" t="inlineStr">
        <is>
          <t>RFP/2159728</t>
        </is>
      </c>
      <c r="B208" s="13" t="inlineStr">
        <is>
          <t>شركة البترول الوطنية الكويتية</t>
        </is>
      </c>
      <c r="C208" s="13" t="inlineStr">
        <is>
          <t>Abrar Al-Qallaf</t>
        </is>
      </c>
      <c r="D208" s="13" t="inlineStr">
        <is>
          <t>ممارسة رقم RFP/2159728: توريد مواد ومهمات تشغيلية لزوم شركة البترول الوطنية الكويتية - شركة البترول الوطنية الكويتية</t>
        </is>
      </c>
      <c r="E208" s="13" t="inlineStr">
        <is>
          <t>أعمال وتوريدات تخصصية لزوم شركة البترول الوطنية الكويتية حسب وثائق الممارسة رقم RFP/2159728 عبر منصة K-Tendering.</t>
        </is>
      </c>
      <c r="F208" s="13" t="inlineStr">
        <is>
          <t>وفقاً لشروط وإجراءات المناقصات والتوريد لدى شركة البترول الوطنية الكويتية (KNPC)</t>
        </is>
      </c>
      <c r="G208" s="14" t="inlineStr">
        <is>
          <t>عام</t>
        </is>
      </c>
      <c r="H208" s="14" t="inlineStr">
        <is>
          <t>15.0%</t>
        </is>
      </c>
      <c r="I208" s="14" t="inlineStr">
        <is>
          <t>oil_and_gas</t>
        </is>
      </c>
      <c r="J208" s="14" t="inlineStr">
        <is>
          <t>2026-09-27</t>
        </is>
      </c>
      <c r="K208" s="14" t="inlineStr">
        <is>
          <t>2026-10-26</t>
        </is>
      </c>
      <c r="L208" s="14" t="inlineStr">
        <is>
          <t>1000.0</t>
        </is>
      </c>
      <c r="M208" s="14" t="inlineStr">
        <is>
          <t>75.0</t>
        </is>
      </c>
      <c r="N208" s="26" t="inlineStr">
        <is>
          <t>UNCHANGED</t>
        </is>
      </c>
      <c r="O208" s="14" t="inlineStr">
        <is>
          <t>غير متوافقة</t>
        </is>
      </c>
      <c r="P208" s="22">
        <f>HYPERLINK("https://kuwaitalyawm.media.gov.kw/flip/index?id=5599&amp;no=238", "عرض المصدر")</f>
        <v/>
      </c>
    </row>
    <row r="209">
      <c r="A209" s="11" t="inlineStr">
        <is>
          <t>RFQ/2162141</t>
        </is>
      </c>
      <c r="B209" s="11" t="inlineStr">
        <is>
          <t>شركة البترول الوطنية الكويتية</t>
        </is>
      </c>
      <c r="C209" s="11" t="inlineStr">
        <is>
          <t>Abrar Al-Qallaf</t>
        </is>
      </c>
      <c r="D209" s="11" t="inlineStr">
        <is>
          <t>ممارسة رقم RFQ/2162141: توريد مواد ومهمات تشغيلية لزوم شركة البترول الوطنية الكويتية - شركة البترول الوطنية الكويتية</t>
        </is>
      </c>
      <c r="E209" s="11" t="inlineStr">
        <is>
          <t>أعمال وتوريدات تخصصية لزوم شركة البترول الوطنية الكويتية حسب وثائق الممارسة رقم RFQ/2162141 عبر منصة K-Tendering.</t>
        </is>
      </c>
      <c r="F209" s="11" t="inlineStr">
        <is>
          <t>وفقاً لشروط وإجراءات المناقصات والتوريد لدى شركة البترول الوطنية الكويتية (KNPC)</t>
        </is>
      </c>
      <c r="G209" s="12" t="inlineStr">
        <is>
          <t>عام</t>
        </is>
      </c>
      <c r="H209" s="12" t="inlineStr">
        <is>
          <t>15.0%</t>
        </is>
      </c>
      <c r="I209" s="12" t="inlineStr">
        <is>
          <t>oil_and_gas</t>
        </is>
      </c>
      <c r="J209" s="12" t="inlineStr">
        <is>
          <t>2026-09-27</t>
        </is>
      </c>
      <c r="K209" s="12" t="inlineStr">
        <is>
          <t>-</t>
        </is>
      </c>
      <c r="L209" s="12" t="inlineStr">
        <is>
          <t>-</t>
        </is>
      </c>
      <c r="M209" s="12" t="inlineStr">
        <is>
          <t>-</t>
        </is>
      </c>
      <c r="N209" s="21" t="inlineStr">
        <is>
          <t>NEW</t>
        </is>
      </c>
      <c r="O209" s="12" t="inlineStr">
        <is>
          <t>غير متوافقة</t>
        </is>
      </c>
      <c r="P209" s="23">
        <f>HYPERLINK("https://kuwaitalyawm.media.gov.kw/flip/index?id=5599&amp;no=232", "عرض المصدر")</f>
        <v/>
      </c>
    </row>
    <row r="210">
      <c r="A210" s="13" t="inlineStr">
        <is>
          <t>RFQ/2162882</t>
        </is>
      </c>
      <c r="B210" s="13" t="inlineStr">
        <is>
          <t>شركة البترول الوطنية الكويتية</t>
        </is>
      </c>
      <c r="C210" s="13" t="inlineStr">
        <is>
          <t>Abrar Al-Qallaf</t>
        </is>
      </c>
      <c r="D210" s="13" t="inlineStr">
        <is>
          <t>ممارسة رقم RFQ/2162882: توريد مواد ومهمات تشغيلية لزوم شركة البترول الوطنية الكويتية - شركة البترول الوطنية الكويتية</t>
        </is>
      </c>
      <c r="E210" s="13" t="inlineStr">
        <is>
          <t>أعمال وتوريدات تخصصية لزوم شركة البترول الوطنية الكويتية حسب وثائق الممارسة رقم RFQ/2162882 عبر منصة K-Tendering.</t>
        </is>
      </c>
      <c r="F210" s="13" t="inlineStr">
        <is>
          <t>وفقاً لشروط وإجراءات المناقصات والتوريد لدى شركة البترول الوطنية الكويتية (KNPC)</t>
        </is>
      </c>
      <c r="G210" s="14" t="inlineStr">
        <is>
          <t>عام</t>
        </is>
      </c>
      <c r="H210" s="14" t="inlineStr">
        <is>
          <t>15.0%</t>
        </is>
      </c>
      <c r="I210" s="14" t="inlineStr">
        <is>
          <t>oil_and_gas</t>
        </is>
      </c>
      <c r="J210" s="14" t="inlineStr">
        <is>
          <t>2026-08-30</t>
        </is>
      </c>
      <c r="K210" s="14" t="inlineStr">
        <is>
          <t>-</t>
        </is>
      </c>
      <c r="L210" s="14" t="inlineStr">
        <is>
          <t>-</t>
        </is>
      </c>
      <c r="M210" s="14" t="inlineStr">
        <is>
          <t>-</t>
        </is>
      </c>
      <c r="N210" s="21" t="inlineStr">
        <is>
          <t>NEW</t>
        </is>
      </c>
      <c r="O210" s="14" t="inlineStr">
        <is>
          <t>غير متوافقة</t>
        </is>
      </c>
      <c r="P210" s="22">
        <f>HYPERLINK("https://kuwaitalyawm.media.gov.kw/flip/index?id=5599&amp;no=232", "عرض المصدر")</f>
        <v/>
      </c>
    </row>
    <row r="211">
      <c r="A211" s="11" t="inlineStr">
        <is>
          <t>RFQ/2164961</t>
        </is>
      </c>
      <c r="B211" s="11" t="inlineStr">
        <is>
          <t>شركة البترول الوطنية الكويتية</t>
        </is>
      </c>
      <c r="C211" s="11" t="inlineStr">
        <is>
          <t>Abrar Al-Qallaf</t>
        </is>
      </c>
      <c r="D211" s="11" t="inlineStr">
        <is>
          <t>ممارسة رقم RFQ/2164961: توريد مواد ومهمات تشغيلية لزوم شركة البترول الوطنية الكويتية - شركة البترول الوطنية الكويتية</t>
        </is>
      </c>
      <c r="E211" s="11" t="inlineStr">
        <is>
          <t>أعمال وتوريدات تخصصية لزوم شركة البترول الوطنية الكويتية حسب وثائق الممارسة رقم RFQ/2164961 عبر منصة K-Tendering.</t>
        </is>
      </c>
      <c r="F211" s="11" t="inlineStr">
        <is>
          <t>وفقاً لشروط وإجراءات المناقصات والتوريد لدى شركة البترول الوطنية الكويتية (KNPC)</t>
        </is>
      </c>
      <c r="G211" s="12" t="inlineStr">
        <is>
          <t>عام</t>
        </is>
      </c>
      <c r="H211" s="12" t="inlineStr">
        <is>
          <t>15.0%</t>
        </is>
      </c>
      <c r="I211" s="12" t="inlineStr">
        <is>
          <t>oil_and_gas</t>
        </is>
      </c>
      <c r="J211" s="12" t="inlineStr">
        <is>
          <t>2026-09-27</t>
        </is>
      </c>
      <c r="K211" s="12" t="inlineStr">
        <is>
          <t>2026-09-27</t>
        </is>
      </c>
      <c r="L211" s="12" t="inlineStr">
        <is>
          <t>15000.0</t>
        </is>
      </c>
      <c r="M211" s="12" t="inlineStr">
        <is>
          <t>-</t>
        </is>
      </c>
      <c r="N211" s="21" t="inlineStr">
        <is>
          <t>NEW</t>
        </is>
      </c>
      <c r="O211" s="12" t="inlineStr">
        <is>
          <t>غير متوافقة</t>
        </is>
      </c>
      <c r="P211" s="23">
        <f>HYPERLINK("https://kuwaitalyawm.media.gov.kw/flip/index?id=5599&amp;no=232", "عرض المصدر")</f>
        <v/>
      </c>
    </row>
    <row r="212">
      <c r="A212" s="13" t="inlineStr">
        <is>
          <t>RFQ/2167837</t>
        </is>
      </c>
      <c r="B212" s="13" t="inlineStr">
        <is>
          <t>شركة البترول الوطنية الكويتية</t>
        </is>
      </c>
      <c r="C212" s="13" t="inlineStr">
        <is>
          <t>Abrar Al-Qallaf</t>
        </is>
      </c>
      <c r="D212" s="13" t="inlineStr">
        <is>
          <t>ممارسة رقم RFQ/2167837: توريد مواد ومهمات تشغيلية لزوم شركة البترول الوطنية الكويتية - شركة البترول الوطنية الكويتية</t>
        </is>
      </c>
      <c r="E212" s="13" t="inlineStr">
        <is>
          <t>أعمال وتوريدات تخصصية لزوم شركة البترول الوطنية الكويتية حسب وثائق الممارسة رقم RFQ/2167837 عبر منصة K-Tendering.</t>
        </is>
      </c>
      <c r="F212" s="13" t="inlineStr">
        <is>
          <t>وفقاً لشروط وإجراءات المناقصات والتوريد لدى شركة البترول الوطنية الكويتية (KNPC)</t>
        </is>
      </c>
      <c r="G212" s="14" t="inlineStr">
        <is>
          <t>عام</t>
        </is>
      </c>
      <c r="H212" s="14" t="inlineStr">
        <is>
          <t>15.0%</t>
        </is>
      </c>
      <c r="I212" s="14" t="inlineStr">
        <is>
          <t>oil_and_gas</t>
        </is>
      </c>
      <c r="J212" s="14" t="inlineStr">
        <is>
          <t>2026-09-27</t>
        </is>
      </c>
      <c r="K212" s="14" t="inlineStr">
        <is>
          <t>2026-09-27</t>
        </is>
      </c>
      <c r="L212" s="14" t="inlineStr">
        <is>
          <t>15000.0</t>
        </is>
      </c>
      <c r="M212" s="14" t="inlineStr">
        <is>
          <t>-</t>
        </is>
      </c>
      <c r="N212" s="21" t="inlineStr">
        <is>
          <t>NEW</t>
        </is>
      </c>
      <c r="O212" s="14" t="inlineStr">
        <is>
          <t>غير متوافقة</t>
        </is>
      </c>
      <c r="P212" s="22">
        <f>HYPERLINK("https://kuwaitalyawm.media.gov.kw/flip/index?id=5599&amp;no=233", "عرض المصدر")</f>
        <v/>
      </c>
    </row>
    <row r="213">
      <c r="A213" s="11" t="inlineStr">
        <is>
          <t>RFP/2158821</t>
        </is>
      </c>
      <c r="B213" s="11" t="inlineStr">
        <is>
          <t>شركة البترول الوطنية الكويتية</t>
        </is>
      </c>
      <c r="C213" s="11" t="inlineStr">
        <is>
          <t>Abrar Al-Qallaf</t>
        </is>
      </c>
      <c r="D213" s="11" t="inlineStr">
        <is>
          <t>ممارسة رقم RFP/2158821: توريد مواد ومهمات تشغيلية لزوم شركة البترول الوطنية الكويتية - شركة البترول الوطنية الكويتية</t>
        </is>
      </c>
      <c r="E213" s="11" t="inlineStr">
        <is>
          <t>أعمال وتوريدات تخصصية لزوم شركة البترول الوطنية الكويتية حسب وثائق الممارسة رقم RFP/2158821 عبر منصة K-Tendering.</t>
        </is>
      </c>
      <c r="F213" s="11" t="inlineStr">
        <is>
          <t>وفقاً لشروط وإجراءات المناقصات والتوريد لدى شركة البترول الوطنية الكويتية (KNPC)</t>
        </is>
      </c>
      <c r="G213" s="12" t="inlineStr">
        <is>
          <t>عام</t>
        </is>
      </c>
      <c r="H213" s="12" t="inlineStr">
        <is>
          <t>15.0%</t>
        </is>
      </c>
      <c r="I213" s="12" t="inlineStr">
        <is>
          <t>oil_and_gas</t>
        </is>
      </c>
      <c r="J213" s="12" t="inlineStr">
        <is>
          <t>2026-09-27</t>
        </is>
      </c>
      <c r="K213" s="12" t="inlineStr">
        <is>
          <t>-</t>
        </is>
      </c>
      <c r="L213" s="12" t="inlineStr">
        <is>
          <t>-</t>
        </is>
      </c>
      <c r="M213" s="12" t="inlineStr">
        <is>
          <t>-</t>
        </is>
      </c>
      <c r="N213" s="21" t="inlineStr">
        <is>
          <t>NEW</t>
        </is>
      </c>
      <c r="O213" s="12" t="inlineStr">
        <is>
          <t>غير متوافقة</t>
        </is>
      </c>
      <c r="P213" s="23">
        <f>HYPERLINK("https://kuwaitalyawm.media.gov.kw/flip/index?id=5599&amp;no=234", "عرض المصدر")</f>
        <v/>
      </c>
    </row>
    <row r="214">
      <c r="A214" s="13" t="inlineStr">
        <is>
          <t>RFP/2162144</t>
        </is>
      </c>
      <c r="B214" s="13" t="inlineStr">
        <is>
          <t>شركة البترول الوطنية الكويتية</t>
        </is>
      </c>
      <c r="C214" s="13" t="inlineStr">
        <is>
          <t>Abrar Al-Qallaf</t>
        </is>
      </c>
      <c r="D214" s="13" t="inlineStr">
        <is>
          <t>ممارسة رقم RFP/2162144: توريد مواد ومهمات تشغيلية لزوم شركة البترول الوطنية الكويتية - شركة البترول الوطنية الكويتية</t>
        </is>
      </c>
      <c r="E214" s="13" t="inlineStr">
        <is>
          <t>أعمال وتوريدات تخصصية لزوم شركة البترول الوطنية الكويتية حسب وثائق الممارسة رقم RFP/2162144 عبر منصة K-Tendering.</t>
        </is>
      </c>
      <c r="F214" s="13" t="inlineStr">
        <is>
          <t>وفقاً لشروط وإجراءات المناقصات والتوريد لدى شركة البترول الوطنية الكويتية (KNPC)</t>
        </is>
      </c>
      <c r="G214" s="14" t="inlineStr">
        <is>
          <t>عام</t>
        </is>
      </c>
      <c r="H214" s="14" t="inlineStr">
        <is>
          <t>15.0%</t>
        </is>
      </c>
      <c r="I214" s="14" t="inlineStr">
        <is>
          <t>oil_and_gas</t>
        </is>
      </c>
      <c r="J214" s="14" t="inlineStr">
        <is>
          <t>2026-09-27</t>
        </is>
      </c>
      <c r="K214" s="18" t="inlineStr">
        <is>
          <t>2026-10-12</t>
        </is>
      </c>
      <c r="L214" s="14" t="inlineStr">
        <is>
          <t>-</t>
        </is>
      </c>
      <c r="M214" s="14" t="inlineStr">
        <is>
          <t>-</t>
        </is>
      </c>
      <c r="N214" s="26" t="inlineStr">
        <is>
          <t>UNCHANGED</t>
        </is>
      </c>
      <c r="O214" s="14" t="inlineStr">
        <is>
          <t>غير متوافقة</t>
        </is>
      </c>
      <c r="P214" s="22">
        <f>HYPERLINK("https://kuwaitalyawm.media.gov.kw/flip/index?id=5599&amp;no=234", "عرض المصدر")</f>
        <v/>
      </c>
    </row>
    <row r="215">
      <c r="A215" s="11" t="inlineStr">
        <is>
          <t>RFP/2163368</t>
        </is>
      </c>
      <c r="B215" s="11" t="inlineStr">
        <is>
          <t>شركة البترول الوطنية الكويتية</t>
        </is>
      </c>
      <c r="C215" s="11" t="inlineStr">
        <is>
          <t>Abrar Al-Qallaf</t>
        </is>
      </c>
      <c r="D215" s="11" t="inlineStr">
        <is>
          <t>ممارسة رقم RFP/2163368: توريد مواد ومهمات تشغيلية لزوم شركة البترول الوطنية الكويتية - شركة البترول الوطنية الكويتية</t>
        </is>
      </c>
      <c r="E215" s="11" t="inlineStr">
        <is>
          <t>أعمال وتوريدات تخصصية لزوم شركة البترول الوطنية الكويتية حسب وثائق الممارسة رقم RFP/2163368 عبر منصة K-Tendering.</t>
        </is>
      </c>
      <c r="F215" s="11" t="inlineStr">
        <is>
          <t>وفقاً لشروط وإجراءات المناقصات والتوريد لدى شركة البترول الوطنية الكويتية (KNPC)</t>
        </is>
      </c>
      <c r="G215" s="12" t="inlineStr">
        <is>
          <t>عام</t>
        </is>
      </c>
      <c r="H215" s="12" t="inlineStr">
        <is>
          <t>15.0%</t>
        </is>
      </c>
      <c r="I215" s="12" t="inlineStr">
        <is>
          <t>oil_and_gas</t>
        </is>
      </c>
      <c r="J215" s="12" t="inlineStr">
        <is>
          <t>2026-09-27</t>
        </is>
      </c>
      <c r="K215" s="12" t="inlineStr">
        <is>
          <t>-</t>
        </is>
      </c>
      <c r="L215" s="12" t="inlineStr">
        <is>
          <t>30000.0</t>
        </is>
      </c>
      <c r="M215" s="12" t="inlineStr">
        <is>
          <t>-</t>
        </is>
      </c>
      <c r="N215" s="26" t="inlineStr">
        <is>
          <t>UNCHANGED</t>
        </is>
      </c>
      <c r="O215" s="12" t="inlineStr">
        <is>
          <t>غير متوافقة</t>
        </is>
      </c>
      <c r="P215" s="23">
        <f>HYPERLINK("https://kuwaitalyawm.media.gov.kw/flip/index?id=5589&amp;no=190", "عرض المصدر")</f>
        <v/>
      </c>
    </row>
    <row r="216">
      <c r="A216" s="13" t="inlineStr">
        <is>
          <t>RFP/2163398</t>
        </is>
      </c>
      <c r="B216" s="13" t="inlineStr">
        <is>
          <t>شركة البترول الوطنية الكويتية</t>
        </is>
      </c>
      <c r="C216" s="13" t="inlineStr">
        <is>
          <t>Abrar Al-Qallaf</t>
        </is>
      </c>
      <c r="D216" s="13" t="inlineStr">
        <is>
          <t>ممارسة رقم RFP/2163398: توريد مواد ومهمات تشغيلية لزوم شركة البترول الوطنية الكويتية - شركة البترول الوطنية الكويتية</t>
        </is>
      </c>
      <c r="E216" s="13" t="inlineStr">
        <is>
          <t>أعمال وتوريدات تخصصية لزوم شركة البترول الوطنية الكويتية حسب وثائق الممارسة رقم RFP/2163398 عبر منصة K-Tendering.</t>
        </is>
      </c>
      <c r="F216" s="13" t="inlineStr">
        <is>
          <t>وفقاً لشروط وإجراءات المناقصات والتوريد لدى شركة البترول الوطنية الكويتية (KNPC)</t>
        </is>
      </c>
      <c r="G216" s="14" t="inlineStr">
        <is>
          <t>عام</t>
        </is>
      </c>
      <c r="H216" s="14" t="inlineStr">
        <is>
          <t>15.0%</t>
        </is>
      </c>
      <c r="I216" s="14" t="inlineStr">
        <is>
          <t>oil_and_gas</t>
        </is>
      </c>
      <c r="J216" s="14" t="inlineStr">
        <is>
          <t>2026-09-27</t>
        </is>
      </c>
      <c r="K216" s="14" t="inlineStr">
        <is>
          <t>-</t>
        </is>
      </c>
      <c r="L216" s="14" t="inlineStr">
        <is>
          <t>50000.0</t>
        </is>
      </c>
      <c r="M216" s="14" t="inlineStr">
        <is>
          <t>-</t>
        </is>
      </c>
      <c r="N216" s="26" t="inlineStr">
        <is>
          <t>UNCHANGED</t>
        </is>
      </c>
      <c r="O216" s="14" t="inlineStr">
        <is>
          <t>غير متوافقة</t>
        </is>
      </c>
      <c r="P216" s="22">
        <f>HYPERLINK("https://kuwaitalyawm.media.gov.kw/flip/index?id=5599&amp;no=236", "عرض المصدر")</f>
        <v/>
      </c>
    </row>
    <row r="217">
      <c r="A217" s="11" t="inlineStr">
        <is>
          <t>RFP/2165997</t>
        </is>
      </c>
      <c r="B217" s="11" t="inlineStr">
        <is>
          <t>شركة البترول الوطنية الكويتية</t>
        </is>
      </c>
      <c r="C217" s="11" t="inlineStr">
        <is>
          <t>Abrar Al-Qallaf</t>
        </is>
      </c>
      <c r="D217" s="11" t="inlineStr">
        <is>
          <t>ممارسة رقم RFP/2165997: توريد مواد ومهمات تشغيلية لزوم شركة البترول الوطنية الكويتية - شركة البترول الوطنية الكويتية</t>
        </is>
      </c>
      <c r="E217" s="11" t="inlineStr">
        <is>
          <t>أعمال وتوريدات تخصصية لزوم شركة البترول الوطنية الكويتية حسب وثائق الممارسة رقم RFP/2165997 عبر منصة K-Tendering.</t>
        </is>
      </c>
      <c r="F217" s="11" t="inlineStr">
        <is>
          <t>وفقاً لشروط وإجراءات المناقصات والتوريد لدى شركة البترول الوطنية الكويتية (KNPC)</t>
        </is>
      </c>
      <c r="G217" s="12" t="inlineStr">
        <is>
          <t>عام</t>
        </is>
      </c>
      <c r="H217" s="12" t="inlineStr">
        <is>
          <t>15.0%</t>
        </is>
      </c>
      <c r="I217" s="12" t="inlineStr">
        <is>
          <t>oil_and_gas</t>
        </is>
      </c>
      <c r="J217" s="12" t="inlineStr">
        <is>
          <t>2026-09-27</t>
        </is>
      </c>
      <c r="K217" s="12" t="inlineStr">
        <is>
          <t>-</t>
        </is>
      </c>
      <c r="L217" s="12" t="inlineStr">
        <is>
          <t>-</t>
        </is>
      </c>
      <c r="M217" s="12" t="inlineStr">
        <is>
          <t>250.0</t>
        </is>
      </c>
      <c r="N217" s="26" t="inlineStr">
        <is>
          <t>UNCHANGED</t>
        </is>
      </c>
      <c r="O217" s="12" t="inlineStr">
        <is>
          <t>غير متوافقة</t>
        </is>
      </c>
      <c r="P217" s="23">
        <f>HYPERLINK("https://kuwaitalyawm.media.gov.kw/flip/index?id=5599&amp;no=238", "عرض المصدر")</f>
        <v/>
      </c>
    </row>
    <row r="218">
      <c r="A218" s="13" t="inlineStr">
        <is>
          <t>و ش ج / 2/2025/2026</t>
        </is>
      </c>
      <c r="B218" s="13" t="inlineStr">
        <is>
          <t>وزارة الشئون الاجتماعية</t>
        </is>
      </c>
      <c r="C218" s="13" t="inlineStr">
        <is>
          <t>Eiman Ashkanani</t>
        </is>
      </c>
      <c r="D218" s="13" t="inlineStr">
        <is>
          <t>أعمال توريد الحفاظات لكبار السن المقيدين في وزارة الشئون الإجتماعية</t>
        </is>
      </c>
      <c r="E218"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2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8" s="14" t="inlineStr">
        <is>
          <t>عام</t>
        </is>
      </c>
      <c r="H218" s="14" t="inlineStr">
        <is>
          <t>0.0%</t>
        </is>
      </c>
      <c r="I218" s="14" t="inlineStr">
        <is>
          <t>government</t>
        </is>
      </c>
      <c r="J218" s="14" t="inlineStr">
        <is>
          <t>2026-09-20</t>
        </is>
      </c>
      <c r="K218" s="14" t="inlineStr">
        <is>
          <t>2026-12-15</t>
        </is>
      </c>
      <c r="L218" s="14" t="inlineStr">
        <is>
          <t>23000.000 KWD</t>
        </is>
      </c>
      <c r="M218" s="14" t="inlineStr">
        <is>
          <t>1000.000 KWD</t>
        </is>
      </c>
      <c r="N218" s="26" t="inlineStr">
        <is>
          <t>UNCHANGED</t>
        </is>
      </c>
      <c r="O218" s="14" t="inlineStr">
        <is>
          <t>غير متوافقة مع اختصاصات KBM</t>
        </is>
      </c>
      <c r="P218" s="22">
        <f>HYPERLINK("https://capt.gov.kw/ar/tenders/opening-tenders/#card-4", "عرض المصدر")</f>
        <v/>
      </c>
    </row>
    <row r="219">
      <c r="A219" s="11" t="inlineStr">
        <is>
          <t>و أ / 406/2026/2027</t>
        </is>
      </c>
      <c r="B219" s="11" t="inlineStr">
        <is>
          <t>وزارة الاعلام</t>
        </is>
      </c>
      <c r="C219" s="11" t="inlineStr">
        <is>
          <t>Eiman Ashkanani</t>
        </is>
      </c>
      <c r="D219" s="11" t="inlineStr">
        <is>
          <t>تجهيز خدمات التنظيف و النقل الداخلي و التخلص من النفايات بمبنى مجمع الاعلام و المحطات الخارجية التابعة له</t>
        </is>
      </c>
      <c r="E219" s="11" t="inlineStr">
        <is>
          <t>توفير خدمات وأعمال النظافة العامة والشاملة للمباني والمرافق وتوفير العمالة والمعدات والمستهلكات اللازمة.</t>
        </is>
      </c>
      <c r="F2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9" s="12" t="inlineStr">
        <is>
          <t>عام</t>
        </is>
      </c>
      <c r="H219" s="12" t="inlineStr">
        <is>
          <t>0.0%</t>
        </is>
      </c>
      <c r="I219" s="12" t="inlineStr">
        <is>
          <t>telecom_and_media</t>
        </is>
      </c>
      <c r="J219" s="12" t="inlineStr">
        <is>
          <t>2026-09-20</t>
        </is>
      </c>
      <c r="K219" s="12" t="inlineStr">
        <is>
          <t>2026-12-15</t>
        </is>
      </c>
      <c r="L219" s="12" t="inlineStr">
        <is>
          <t>23000.000 KWD</t>
        </is>
      </c>
      <c r="M219" s="12" t="inlineStr">
        <is>
          <t>1000.000 KWD</t>
        </is>
      </c>
      <c r="N219" s="26" t="inlineStr">
        <is>
          <t>UNCHANGED</t>
        </is>
      </c>
      <c r="O219" s="12" t="inlineStr">
        <is>
          <t>غير متوافقة مع اختصاصات KBM</t>
        </is>
      </c>
      <c r="P219" s="23">
        <f>HYPERLINK("https://capt.gov.kw/ar/tenders/opening-tenders/#card-3", "عرض المصدر")</f>
        <v/>
      </c>
    </row>
    <row r="220">
      <c r="A220" s="13" t="inlineStr">
        <is>
          <t>ه ز / م م/5/2026/2027</t>
        </is>
      </c>
      <c r="B220" s="13" t="inlineStr">
        <is>
          <t>الهيئة العامة لشؤون الزراعة والثروة السمكية</t>
        </is>
      </c>
      <c r="C220" s="13" t="inlineStr">
        <is>
          <t>Eiman Ashkanani</t>
        </is>
      </c>
      <c r="D220" s="13" t="inlineStr">
        <is>
          <t>تنفيذ و تطوير و صيانة الزراعات التجميلية و الري في الطرق السريعة و الخارجية (القطاع الشمالي)</t>
        </is>
      </c>
      <c r="E22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2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0" s="14" t="inlineStr">
        <is>
          <t>عام</t>
        </is>
      </c>
      <c r="H220" s="14" t="inlineStr">
        <is>
          <t>0.0%</t>
        </is>
      </c>
      <c r="I220" s="14" t="inlineStr">
        <is>
          <t>government</t>
        </is>
      </c>
      <c r="J220" s="14" t="inlineStr">
        <is>
          <t>2026-09-20</t>
        </is>
      </c>
      <c r="K220" s="14" t="inlineStr">
        <is>
          <t>2026-12-15</t>
        </is>
      </c>
      <c r="L220" s="14" t="inlineStr">
        <is>
          <t>23000.000 KWD</t>
        </is>
      </c>
      <c r="M220" s="14" t="inlineStr">
        <is>
          <t>1000.000 KWD</t>
        </is>
      </c>
      <c r="N220" s="26" t="inlineStr">
        <is>
          <t>UNCHANGED</t>
        </is>
      </c>
      <c r="O220" s="14" t="inlineStr">
        <is>
          <t>غير متوافقة مع اختصاصات KBM</t>
        </is>
      </c>
      <c r="P220" s="22">
        <f>HYPERLINK("https://capt.gov.kw/ar/tenders/opening-tenders/#card-2", "عرض المصدر")</f>
        <v/>
      </c>
    </row>
    <row r="221">
      <c r="A221" s="11" t="inlineStr">
        <is>
          <t>ص/م خ ع/13/2026/2027</t>
        </is>
      </c>
      <c r="B221" s="11" t="inlineStr">
        <is>
          <t>وزارة الصحة</t>
        </is>
      </c>
      <c r="C221" s="11" t="inlineStr">
        <is>
          <t>Jana Al-Obaid</t>
        </is>
      </c>
      <c r="D221" s="11" t="inlineStr">
        <is>
          <t>اعداد الدراسة و التصميم و الاشراف على تنفيذ مشروع مباني المحور الخدمي لمدينة صباح الاحمد الصحية</t>
        </is>
      </c>
      <c r="E221"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2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1" s="12" t="inlineStr">
        <is>
          <t>عام</t>
        </is>
      </c>
      <c r="H221" s="12" t="inlineStr">
        <is>
          <t>0.0%</t>
        </is>
      </c>
      <c r="I221" s="12" t="inlineStr">
        <is>
          <t>healthcare</t>
        </is>
      </c>
      <c r="J221" s="12" t="inlineStr">
        <is>
          <t>2026-09-20</t>
        </is>
      </c>
      <c r="K221" s="12" t="inlineStr">
        <is>
          <t>2026-10-20</t>
        </is>
      </c>
      <c r="L221" s="12" t="inlineStr">
        <is>
          <t>45000.000 KWD</t>
        </is>
      </c>
      <c r="M221" s="12" t="inlineStr">
        <is>
          <t>1000.000 KWD</t>
        </is>
      </c>
      <c r="N221" s="26" t="inlineStr">
        <is>
          <t>UNCHANGED</t>
        </is>
      </c>
      <c r="O221" s="12" t="inlineStr">
        <is>
          <t>غير متوافقة مع اختصاصات KBM</t>
        </is>
      </c>
      <c r="P221" s="23">
        <f>HYPERLINK("https://capt.gov.kw/ar/tenders/opening-tenders/#card-1", "عرض المصدر")</f>
        <v/>
      </c>
    </row>
    <row r="222">
      <c r="A222" s="13" t="inlineStr">
        <is>
          <t>17/2026/2027</t>
        </is>
      </c>
      <c r="B222" s="13" t="inlineStr">
        <is>
          <t>الإدارة العامة للإطفاء</t>
        </is>
      </c>
      <c r="C222" s="13" t="inlineStr">
        <is>
          <t>Eiman Ashkanani</t>
        </is>
      </c>
      <c r="D222" s="13" t="inlineStr">
        <is>
          <t>صيانة أنظمة و أجهزة الاتصالات بقوة الإطفاء العام</t>
        </is>
      </c>
      <c r="E222"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2" s="24" t="inlineStr">
        <is>
          <t>قطاع العمليات المدارة والدعم الفني متعدد الموردين</t>
        </is>
      </c>
      <c r="H222" s="14" t="inlineStr">
        <is>
          <t>60.0%</t>
        </is>
      </c>
      <c r="I222" s="14" t="inlineStr">
        <is>
          <t>defense_and_security</t>
        </is>
      </c>
      <c r="J222" s="14" t="inlineStr">
        <is>
          <t>2026-09-20</t>
        </is>
      </c>
      <c r="K222" s="14" t="inlineStr">
        <is>
          <t>2026-10-20</t>
        </is>
      </c>
      <c r="L222" s="14" t="inlineStr">
        <is>
          <t>23000.000 KWD</t>
        </is>
      </c>
      <c r="M222" s="14" t="inlineStr">
        <is>
          <t>1000.000 KWD</t>
        </is>
      </c>
      <c r="N222" s="26" t="inlineStr">
        <is>
          <t>UNCHANGED</t>
        </is>
      </c>
      <c r="O222" s="14" t="inlineStr">
        <is>
          <t>فرصة ICT متوافقة مع قدرات KBM</t>
        </is>
      </c>
      <c r="P222" s="22">
        <f>HYPERLINK("https://capt.gov.kw/ar/tenders/opening-tenders/#card-0", "عرض المصدر")</f>
        <v/>
      </c>
    </row>
    <row r="223">
      <c r="A223" s="11" t="inlineStr">
        <is>
          <t>وك م/9/2025/2026</t>
        </is>
      </c>
      <c r="B223" s="11" t="inlineStr">
        <is>
          <t>وزارة الكهرباء والماء والطاقة المتجددة</t>
        </is>
      </c>
      <c r="C223" s="11" t="inlineStr">
        <is>
          <t>Raed Obeid</t>
        </is>
      </c>
      <c r="D223" s="11" t="inlineStr">
        <is>
          <t>أعمال النظافة في محطة الصبية لتوليد القوى الكهربائية وتقطير المياه</t>
        </is>
      </c>
      <c r="E223" s="11" t="inlineStr">
        <is>
          <t>توفير خدمات وأعمال النظافة العامة والشاملة للمباني والمرافق وتوفير العمالة والمعدات والمستهلكات اللازمة.</t>
        </is>
      </c>
      <c r="F2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3" s="12" t="inlineStr">
        <is>
          <t>عام</t>
        </is>
      </c>
      <c r="H223" s="12" t="inlineStr">
        <is>
          <t>0.0%</t>
        </is>
      </c>
      <c r="I223" s="12" t="inlineStr">
        <is>
          <t>oil_and_gas</t>
        </is>
      </c>
      <c r="J223" s="12" t="inlineStr">
        <is>
          <t>2026-09-27</t>
        </is>
      </c>
      <c r="K223" s="12" t="inlineStr">
        <is>
          <t>2026-10-27</t>
        </is>
      </c>
      <c r="L223" s="12" t="inlineStr">
        <is>
          <t>15000.000 KWD</t>
        </is>
      </c>
      <c r="M223" s="12" t="inlineStr">
        <is>
          <t>1000.000 KWD</t>
        </is>
      </c>
      <c r="N223" s="26" t="inlineStr">
        <is>
          <t>UNCHANGED</t>
        </is>
      </c>
      <c r="O223" s="12" t="inlineStr">
        <is>
          <t>غير متوافقة مع اختصاصات KBM</t>
        </is>
      </c>
      <c r="P223" s="23">
        <f>HYPERLINK("https://capt.gov.kw/ar/tenders/opening-tenders/#card-9", "عرض المصدر")</f>
        <v/>
      </c>
    </row>
    <row r="224">
      <c r="A224" s="13" t="inlineStr">
        <is>
          <t>و ع / 3/2026/2027</t>
        </is>
      </c>
      <c r="B224" s="13" t="inlineStr">
        <is>
          <t>وزارة العدل</t>
        </is>
      </c>
      <c r="C224" s="13" t="inlineStr">
        <is>
          <t>Eiman Ashkanani</t>
        </is>
      </c>
      <c r="D224" s="13" t="inlineStr">
        <is>
          <t>اعمال تنظيف شاملة لمباني وزارة العدل بمحافظات ( العاصمة - حولي - الأحمدي - مبارك الكبير ) مجزئة على مجموعتين</t>
        </is>
      </c>
      <c r="E224" s="13" t="inlineStr">
        <is>
          <t>توفير خدمات وأعمال النظافة العامة والشاملة للمباني والمرافق وتوفير العمالة والمعدات والمستهلكات اللازمة.</t>
        </is>
      </c>
      <c r="F2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4" s="14" t="inlineStr">
        <is>
          <t>عام</t>
        </is>
      </c>
      <c r="H224" s="14" t="inlineStr">
        <is>
          <t>0.0%</t>
        </is>
      </c>
      <c r="I224" s="14" t="inlineStr">
        <is>
          <t>government</t>
        </is>
      </c>
      <c r="J224" s="14" t="inlineStr">
        <is>
          <t>2026-09-27</t>
        </is>
      </c>
      <c r="K224" s="14" t="inlineStr">
        <is>
          <t>2026-12-22</t>
        </is>
      </c>
      <c r="L224" s="14" t="inlineStr">
        <is>
          <t>0.000 KWD</t>
        </is>
      </c>
      <c r="M224" s="14" t="inlineStr">
        <is>
          <t>250.000 KWD</t>
        </is>
      </c>
      <c r="N224" s="26" t="inlineStr">
        <is>
          <t>UNCHANGED</t>
        </is>
      </c>
      <c r="O224" s="14" t="inlineStr">
        <is>
          <t>غير متوافقة مع اختصاصات KBM</t>
        </is>
      </c>
      <c r="P224" s="22">
        <f>HYPERLINK("https://capt.gov.kw/ar/tenders/opening-tenders/#card-8", "عرض المصدر")</f>
        <v/>
      </c>
    </row>
    <row r="225">
      <c r="A225" s="11" t="inlineStr">
        <is>
          <t>هـ ز / م م / 9/2025/2026</t>
        </is>
      </c>
      <c r="B225" s="11" t="inlineStr">
        <is>
          <t>الهيئة العامة لشؤون الزراعة والثروة السمكية</t>
        </is>
      </c>
      <c r="C225" s="11" t="inlineStr">
        <is>
          <t>Eiman Ashkanani</t>
        </is>
      </c>
      <c r="D225" s="11" t="inlineStr">
        <is>
          <t>شراء و توريد أغذية متنوعة لحديقة الحيوان بالعمرية</t>
        </is>
      </c>
      <c r="E225"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2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5" s="12" t="inlineStr">
        <is>
          <t>عام</t>
        </is>
      </c>
      <c r="H225" s="12" t="inlineStr">
        <is>
          <t>0.0%</t>
        </is>
      </c>
      <c r="I225" s="12" t="inlineStr">
        <is>
          <t>government</t>
        </is>
      </c>
      <c r="J225" s="12" t="inlineStr">
        <is>
          <t>2026-09-27</t>
        </is>
      </c>
      <c r="K225" s="12" t="inlineStr">
        <is>
          <t>2026-12-22</t>
        </is>
      </c>
      <c r="L225" s="12" t="inlineStr">
        <is>
          <t>7500.000 KWD</t>
        </is>
      </c>
      <c r="M225" s="12" t="inlineStr">
        <is>
          <t>1000.000 KWD</t>
        </is>
      </c>
      <c r="N225" s="26" t="inlineStr">
        <is>
          <t>UNCHANGED</t>
        </is>
      </c>
      <c r="O225" s="12" t="inlineStr">
        <is>
          <t>غير متوافقة مع اختصاصات KBM</t>
        </is>
      </c>
      <c r="P225" s="23">
        <f>HYPERLINK("https://capt.gov.kw/ar/tenders/opening-tenders/#card-7", "عرض المصدر")</f>
        <v/>
      </c>
    </row>
    <row r="226">
      <c r="A226" s="13" t="inlineStr">
        <is>
          <t>م ع /6/2022/2023</t>
        </is>
      </c>
      <c r="B226" s="13" t="inlineStr">
        <is>
          <t>وزارة التربية</t>
        </is>
      </c>
      <c r="C226" s="13" t="inlineStr">
        <is>
          <t>Eiman Ashkanani</t>
        </is>
      </c>
      <c r="D226" s="13" t="inlineStr">
        <is>
          <t>أعمال  فحص واصلاح وتشغيل وصيانة شبكة الإنذار ومكافحة الحريق لمباني ومدارس تابعة لمنطقة العاصمة التعليمية</t>
        </is>
      </c>
      <c r="E226"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6" s="14" t="inlineStr">
        <is>
          <t>عام</t>
        </is>
      </c>
      <c r="H226" s="14" t="inlineStr">
        <is>
          <t>24.0%</t>
        </is>
      </c>
      <c r="I226" s="14" t="inlineStr">
        <is>
          <t>education_and_research</t>
        </is>
      </c>
      <c r="J226" s="14" t="inlineStr">
        <is>
          <t>2026-09-27</t>
        </is>
      </c>
      <c r="K226" s="14" t="inlineStr">
        <is>
          <t>2026-12-22</t>
        </is>
      </c>
      <c r="L226" s="14" t="inlineStr">
        <is>
          <t>3500.000 KWD</t>
        </is>
      </c>
      <c r="M226" s="14" t="inlineStr">
        <is>
          <t>150.000 KWD</t>
        </is>
      </c>
      <c r="N226" s="26" t="inlineStr">
        <is>
          <t>UNCHANGED</t>
        </is>
      </c>
      <c r="O226" s="14" t="inlineStr">
        <is>
          <t>غير متوافقة مع اختصاصات KBM</t>
        </is>
      </c>
      <c r="P226" s="22">
        <f>HYPERLINK("https://capt.gov.kw/ar/tenders/opening-tenders/#card-6", "عرض المصدر")</f>
        <v/>
      </c>
    </row>
    <row r="227">
      <c r="A227" s="11" t="inlineStr">
        <is>
          <t>RFP-2162140</t>
        </is>
      </c>
      <c r="B227" s="11" t="inlineStr">
        <is>
          <t>شركة البترول الوطنية الكويتية</t>
        </is>
      </c>
      <c r="C227" s="11" t="inlineStr">
        <is>
          <t>Abrar Al-Qallaf</t>
        </is>
      </c>
      <c r="D227" s="11" t="inlineStr">
        <is>
          <t>ممارسة رقم RFP-2162140: توريد مواد ومهمات تشغيلية لزوم شركة البترول الوطنية الكويتية - شركة البترول الوطنية الكويتية</t>
        </is>
      </c>
      <c r="E227" s="11" t="inlineStr">
        <is>
          <t>أعمال وتوريدات تخصصية لزوم شركة البترول الوطنية الكويتية حسب وثائق الممارسة رقم RFP-2162140 عبر منصة K-Tendering.</t>
        </is>
      </c>
      <c r="F227" s="11" t="inlineStr">
        <is>
          <t>وفقاً لشروط وإجراءات المناقصات والتوريد لدى شركة البترول الوطنية الكويتية (KNPC) عبر منصة K-Tendering.</t>
        </is>
      </c>
      <c r="G227" s="12" t="inlineStr">
        <is>
          <t>عام</t>
        </is>
      </c>
      <c r="H227" s="12" t="inlineStr">
        <is>
          <t>15.0%</t>
        </is>
      </c>
      <c r="I227" s="12" t="inlineStr">
        <is>
          <t>oil_and_gas</t>
        </is>
      </c>
      <c r="J227" s="12" t="inlineStr">
        <is>
          <t>2026-09-27</t>
        </is>
      </c>
      <c r="K227" s="12" t="inlineStr">
        <is>
          <t>2026-12-22</t>
        </is>
      </c>
      <c r="L227" s="12" t="inlineStr">
        <is>
          <t>170000.000 KWD</t>
        </is>
      </c>
      <c r="M227" s="12" t="inlineStr">
        <is>
          <t>3500.000 KWD</t>
        </is>
      </c>
      <c r="N227" s="26" t="inlineStr">
        <is>
          <t>UNCHANGED</t>
        </is>
      </c>
      <c r="O227" s="12" t="inlineStr">
        <is>
          <t>غير متوافقة</t>
        </is>
      </c>
      <c r="P227" s="23">
        <f>HYPERLINK("https://capt.gov.kw/ar/tenders/opening-tenders/#card-5", "عرض المصدر")</f>
        <v/>
      </c>
    </row>
    <row r="228">
      <c r="A228" s="13" t="inlineStr">
        <is>
          <t>CZ/LNGI/MP/012</t>
        </is>
      </c>
      <c r="B228" s="13" t="inlineStr">
        <is>
          <t>الشركة الكويتية للصناعات البترولية المتكاملة</t>
        </is>
      </c>
      <c r="C228" s="13" t="inlineStr">
        <is>
          <t>Eiman Ashkanani</t>
        </is>
      </c>
      <c r="D22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228" s="13" t="inlineStr">
        <is>
          <t>توريد المستلزمات والمواد والمستهلكات الطبية أو المخبرية المتخصصة لصالح المرافق الصحية.</t>
        </is>
      </c>
      <c r="F2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8" s="14" t="inlineStr">
        <is>
          <t>عام</t>
        </is>
      </c>
      <c r="H228" s="14" t="inlineStr">
        <is>
          <t>15.0%</t>
        </is>
      </c>
      <c r="I228" s="14" t="inlineStr">
        <is>
          <t>oil_and_gas</t>
        </is>
      </c>
      <c r="J228" s="14" t="inlineStr">
        <is>
          <t>2026-09-27</t>
        </is>
      </c>
      <c r="K228" s="14" t="inlineStr">
        <is>
          <t>2026-12-22</t>
        </is>
      </c>
      <c r="L228" s="14" t="inlineStr">
        <is>
          <t>450000.000 KWD</t>
        </is>
      </c>
      <c r="M228" s="14" t="inlineStr">
        <is>
          <t>5000.000 KWD</t>
        </is>
      </c>
      <c r="N228" s="26" t="inlineStr">
        <is>
          <t>UNCHANGED</t>
        </is>
      </c>
      <c r="O228" s="14" t="inlineStr">
        <is>
          <t>غير متوافقة مع اختصاصات KBM</t>
        </is>
      </c>
      <c r="P228" s="22">
        <f>HYPERLINK("https://capt.gov.kw/ar/tenders/opening-tenders/#card-4", "عرض المصدر")</f>
        <v/>
      </c>
    </row>
    <row r="229">
      <c r="A229" s="11" t="inlineStr">
        <is>
          <t>3 / 2025-2026</t>
        </is>
      </c>
      <c r="B229" s="11" t="inlineStr">
        <is>
          <t>وزارة المالية</t>
        </is>
      </c>
      <c r="C229" s="11" t="inlineStr">
        <is>
          <t>Eiman Ashkanani</t>
        </is>
      </c>
      <c r="D229" s="11" t="inlineStr">
        <is>
          <t>توفير خدمات الامن والحراسة البشرية لمبنى مجمع الوزارات ومباني المواقف التابعة له</t>
        </is>
      </c>
      <c r="E229" s="11" t="inlineStr">
        <is>
          <t>توفير خدمات الحراسة والأمن والسلامة للمباني والمنشآت وتأمين المداخل وتوفير الكوادر الأمنية المدربة.</t>
        </is>
      </c>
      <c r="F2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9" s="12" t="inlineStr">
        <is>
          <t>عام</t>
        </is>
      </c>
      <c r="H229" s="12" t="inlineStr">
        <is>
          <t>15.0%</t>
        </is>
      </c>
      <c r="I229" s="12" t="inlineStr">
        <is>
          <t>government</t>
        </is>
      </c>
      <c r="J229" s="12" t="inlineStr">
        <is>
          <t>2026-09-27</t>
        </is>
      </c>
      <c r="K229" s="12" t="inlineStr">
        <is>
          <t>2026-12-22</t>
        </is>
      </c>
      <c r="L229" s="12" t="inlineStr">
        <is>
          <t>23000.000 KWD</t>
        </is>
      </c>
      <c r="M229" s="12" t="inlineStr">
        <is>
          <t>1000.000 KWD</t>
        </is>
      </c>
      <c r="N229" s="26" t="inlineStr">
        <is>
          <t>UNCHANGED</t>
        </is>
      </c>
      <c r="O229" s="12" t="inlineStr">
        <is>
          <t>غير متوافقة مع اختصاصات KBM</t>
        </is>
      </c>
      <c r="P229" s="23">
        <f>HYPERLINK("https://capt.gov.kw/ar/tenders/opening-tenders/#card-3", "عرض المصدر")</f>
        <v/>
      </c>
    </row>
    <row r="230">
      <c r="A230" s="13" t="inlineStr">
        <is>
          <t>2/2026/2027</t>
        </is>
      </c>
      <c r="B230" s="13" t="inlineStr">
        <is>
          <t>الرئاسة العامة للحرس الوطني</t>
        </is>
      </c>
      <c r="C230" s="13" t="inlineStr">
        <is>
          <t>Eiman Ashkanani</t>
        </is>
      </c>
      <c r="D230" s="13" t="inlineStr">
        <is>
          <t>أعمال التظيف والعمالة لمنطقة التوسعة</t>
        </is>
      </c>
      <c r="E230" s="13" t="inlineStr">
        <is>
          <t>أعمال وتوريدات أعمال التظيف والعمالة لمنطقة التوسعة لصالح الرئاسة العامة للحرس الوطني وفقاً للشروط والمواصفات المعتمدة في وثائق الطرح.</t>
        </is>
      </c>
      <c r="F2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0" s="14" t="inlineStr">
        <is>
          <t>عام</t>
        </is>
      </c>
      <c r="H230" s="14" t="inlineStr">
        <is>
          <t>15.0%</t>
        </is>
      </c>
      <c r="I230" s="14" t="inlineStr">
        <is>
          <t>defense_and_security</t>
        </is>
      </c>
      <c r="J230" s="14" t="inlineStr">
        <is>
          <t>2026-09-27</t>
        </is>
      </c>
      <c r="K230" s="14" t="inlineStr">
        <is>
          <t>2026-10-27</t>
        </is>
      </c>
      <c r="L230" s="14" t="inlineStr">
        <is>
          <t>23000.000 KWD</t>
        </is>
      </c>
      <c r="M230" s="14" t="inlineStr">
        <is>
          <t>1000.000 KWD</t>
        </is>
      </c>
      <c r="N230" s="26" t="inlineStr">
        <is>
          <t>UNCHANGED</t>
        </is>
      </c>
      <c r="O230" s="14" t="inlineStr">
        <is>
          <t>غير متوافقة مع اختصاصات KBM</t>
        </is>
      </c>
      <c r="P230" s="22">
        <f>HYPERLINK("https://capt.gov.kw/ar/tenders/opening-tenders/#card-2", "عرض المصدر")</f>
        <v/>
      </c>
    </row>
    <row r="231">
      <c r="A231" s="11" t="inlineStr">
        <is>
          <t>14/2024/2025</t>
        </is>
      </c>
      <c r="B231" s="11" t="inlineStr">
        <is>
          <t>جامعة عبدالله السالم</t>
        </is>
      </c>
      <c r="C231" s="11" t="inlineStr">
        <is>
          <t>Eiman Ashkanani</t>
        </is>
      </c>
      <c r="D231" s="11" t="inlineStr">
        <is>
          <t>إحلال وصيانة وتشغيل وحدات مناولة الهواء وضواغط التكييف لمباني ( 11،2،10،35،31،32،12) بالخالدية</t>
        </is>
      </c>
      <c r="E231" s="11" t="inlineStr">
        <is>
          <t>أعمال صيانة وتشغيل وإصلاح وحدات ومحطات التكييف المركزي والمبردات وضواغط الهواء وشبكات مجاري الهواء.</t>
        </is>
      </c>
      <c r="F2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1" s="12" t="inlineStr">
        <is>
          <t>عام</t>
        </is>
      </c>
      <c r="H231" s="12" t="inlineStr">
        <is>
          <t>15.0%</t>
        </is>
      </c>
      <c r="I231" s="12" t="inlineStr">
        <is>
          <t>other</t>
        </is>
      </c>
      <c r="J231" s="12" t="inlineStr">
        <is>
          <t>سبتمبر 27, 2026</t>
        </is>
      </c>
      <c r="K231" s="12" t="inlineStr">
        <is>
          <t>أكتوبر 27, 2026</t>
        </is>
      </c>
      <c r="L231" s="12" t="inlineStr">
        <is>
          <t>6,000.000 د.ك</t>
        </is>
      </c>
      <c r="M231" s="12" t="inlineStr">
        <is>
          <t>300.000 د.ك</t>
        </is>
      </c>
      <c r="N231" s="26" t="inlineStr">
        <is>
          <t>UNCHANGED</t>
        </is>
      </c>
      <c r="O231" s="12" t="inlineStr">
        <is>
          <t>غير متوافقة مع اختصاصات KBM</t>
        </is>
      </c>
      <c r="P231" s="23">
        <f>HYPERLINK("https://capt.gov.kw/ar/tenders/opening-tenders/#card-1", "عرض المصدر")</f>
        <v/>
      </c>
    </row>
    <row r="232">
      <c r="A232" s="13" t="inlineStr">
        <is>
          <t>12/2025</t>
        </is>
      </c>
      <c r="B232" s="13" t="inlineStr">
        <is>
          <t>الهيئة العامة للصناعة</t>
        </is>
      </c>
      <c r="C232" s="13" t="inlineStr">
        <is>
          <t>Eiman Ashkanani</t>
        </is>
      </c>
      <c r="D232"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232" s="13" t="inlineStr">
        <is>
          <t>أعمال صيانة وتشغيل وإصلاح وحدات ومحطات التكييف المركزي والمبردات وضواغط الهواء وشبكات مجاري الهواء.</t>
        </is>
      </c>
      <c r="F2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2" s="14" t="inlineStr">
        <is>
          <t>عام</t>
        </is>
      </c>
      <c r="H232" s="14" t="inlineStr">
        <is>
          <t>0.0%</t>
        </is>
      </c>
      <c r="I232" s="14" t="inlineStr">
        <is>
          <t>other</t>
        </is>
      </c>
      <c r="J232" s="14" t="inlineStr">
        <is>
          <t>سبتمبر 27, 2026</t>
        </is>
      </c>
      <c r="K232" s="14" t="inlineStr">
        <is>
          <t>ديسمبر 22, 2026</t>
        </is>
      </c>
      <c r="L232" s="14" t="inlineStr">
        <is>
          <t>45,000.000 د.ك</t>
        </is>
      </c>
      <c r="M232" s="14" t="inlineStr">
        <is>
          <t>1000.000 د.ك</t>
        </is>
      </c>
      <c r="N232" s="26" t="inlineStr">
        <is>
          <t>UNCHANGED</t>
        </is>
      </c>
      <c r="O232" s="14" t="inlineStr">
        <is>
          <t>غير متوافقة مع اختصاصات KBM</t>
        </is>
      </c>
      <c r="P232" s="22">
        <f>HYPERLINK("https://capt.gov.kw/ar/tenders/opening-tenders/#card-0", "عرض المصدر")</f>
        <v/>
      </c>
    </row>
  </sheetData>
  <autoFilter ref="A1:P23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32"/>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ع ت ا م/ ق/ 2/2025</t>
        </is>
      </c>
      <c r="B2" s="13" t="inlineStr">
        <is>
          <t>المؤسسة العامة للتأمينات الاجتماعية</t>
        </is>
      </c>
      <c r="C2" s="13" t="inlineStr">
        <is>
          <t>Jana Al-Obaid</t>
        </is>
      </c>
      <c r="D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39.0%</t>
        </is>
      </c>
      <c r="I2" s="14" t="inlineStr">
        <is>
          <t>banking_and_finance</t>
        </is>
      </c>
      <c r="J2" s="14" t="inlineStr">
        <is>
          <t>2026-09-06</t>
        </is>
      </c>
      <c r="K2" s="14" t="inlineStr">
        <is>
          <t>2026-12-01</t>
        </is>
      </c>
      <c r="L2" s="14" t="inlineStr">
        <is>
          <t>3500.000 KWD</t>
        </is>
      </c>
      <c r="M2" s="14" t="inlineStr">
        <is>
          <t>150.000 KWD</t>
        </is>
      </c>
      <c r="N2" s="21" t="inlineStr">
        <is>
          <t>NEW</t>
        </is>
      </c>
      <c r="O2" s="14" t="inlineStr">
        <is>
          <t>فرصة تتطلب شراكة أو دراسة نطاق</t>
        </is>
      </c>
      <c r="P2" s="22">
        <f>HYPERLINK("https://capt.gov.kw/ar/tenders/opening-tenders/#card-7", "عرض المصدر")</f>
        <v/>
      </c>
    </row>
    <row r="3">
      <c r="A3" s="11" t="inlineStr">
        <is>
          <t>4/2024/2025</t>
        </is>
      </c>
      <c r="B3" s="11" t="inlineStr">
        <is>
          <t>بنك الكويت المركزي</t>
        </is>
      </c>
      <c r="C3" s="11" t="inlineStr">
        <is>
          <t>Eiman Ashkanani</t>
        </is>
      </c>
      <c r="D3" s="11" t="inlineStr">
        <is>
          <t>أعمال تأهيل المبنى المساند وإنشاء متحف بنك الكويت المركزي</t>
        </is>
      </c>
      <c r="E3" s="11" t="inlineStr">
        <is>
          <t>تنفيذ الأعمال المدنية والإنشائية والترميم والصيانة العامة للمباني والمنشآت والمرافق التابعة للجهة.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0.0%</t>
        </is>
      </c>
      <c r="I3" s="12" t="inlineStr">
        <is>
          <t>banking_and_finance</t>
        </is>
      </c>
      <c r="J3" s="12" t="inlineStr">
        <is>
          <t>2026-10-04</t>
        </is>
      </c>
      <c r="K3" s="12" t="inlineStr">
        <is>
          <t>2026-11-03</t>
        </is>
      </c>
      <c r="L3" s="12" t="inlineStr">
        <is>
          <t>170000.000 KWD</t>
        </is>
      </c>
      <c r="M3" s="12" t="inlineStr">
        <is>
          <t>3500.000 KWD</t>
        </is>
      </c>
      <c r="N3" s="21" t="inlineStr">
        <is>
          <t>NEW</t>
        </is>
      </c>
      <c r="O3" s="12" t="inlineStr">
        <is>
          <t>غير متوافقة مع اختصاصات KBM</t>
        </is>
      </c>
      <c r="P3" s="23">
        <f>HYPERLINK("https://capt.gov.kw/ar/tenders/opening-tenders/#card-0", "عرض المصدر")</f>
        <v/>
      </c>
    </row>
    <row r="4">
      <c r="A4" s="13" t="inlineStr">
        <is>
          <t>17/2026/2027</t>
        </is>
      </c>
      <c r="B4" s="13" t="inlineStr">
        <is>
          <t>الإدارة العامة للإطفاء</t>
        </is>
      </c>
      <c r="C4" s="13" t="inlineStr">
        <is>
          <t>Eiman Ashkanani</t>
        </is>
      </c>
      <c r="D4" s="13" t="inlineStr">
        <is>
          <t>صيانة أنظمة و أجهزة الاتصالات بقوة الإطفاء العام</t>
        </is>
      </c>
      <c r="E4"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24" t="inlineStr">
        <is>
          <t>قطاع العمليات المدارة والدعم الفني متعدد الموردين</t>
        </is>
      </c>
      <c r="H4" s="14" t="inlineStr">
        <is>
          <t>60.0%</t>
        </is>
      </c>
      <c r="I4" s="14" t="inlineStr">
        <is>
          <t>defense_and_security</t>
        </is>
      </c>
      <c r="J4" s="14" t="inlineStr">
        <is>
          <t>2026-09-20</t>
        </is>
      </c>
      <c r="K4" s="14" t="inlineStr">
        <is>
          <t>2026-10-20</t>
        </is>
      </c>
      <c r="L4" s="14" t="inlineStr">
        <is>
          <t>23000.000 KWD</t>
        </is>
      </c>
      <c r="M4" s="14" t="inlineStr">
        <is>
          <t>1000.000 KWD</t>
        </is>
      </c>
      <c r="N4" s="26" t="inlineStr">
        <is>
          <t>UNCHANGED</t>
        </is>
      </c>
      <c r="O4" s="14" t="inlineStr">
        <is>
          <t>فرصة ICT متوافقة مع قدرات KBM</t>
        </is>
      </c>
      <c r="P4" s="22">
        <f>HYPERLINK("https://capt.gov.kw/ar/tenders/opening-tenders/#card-0", "عرض المصدر")</f>
        <v/>
      </c>
    </row>
    <row r="5">
      <c r="A5" s="11" t="inlineStr">
        <is>
          <t>2/2026/2027</t>
        </is>
      </c>
      <c r="B5" s="11" t="inlineStr">
        <is>
          <t>الرئاسة العامة للحرس الوطني</t>
        </is>
      </c>
      <c r="C5" s="11" t="inlineStr">
        <is>
          <t>Eiman Ashkanani</t>
        </is>
      </c>
      <c r="D5" s="11" t="inlineStr">
        <is>
          <t>أعمال التظيف والعمالة لمنطقة التوسعة</t>
        </is>
      </c>
      <c r="E5" s="11" t="inlineStr">
        <is>
          <t>أعمال وتوريدات أعمال التظيف والعمالة لمنطقة التوسعة لصالح الرئاسة العامة للحرس الوطني وفقاً للشروط والمواصفات المعتمدة في وثائق الطرح.</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15.0%</t>
        </is>
      </c>
      <c r="I5" s="12" t="inlineStr">
        <is>
          <t>defense_and_security</t>
        </is>
      </c>
      <c r="J5" s="12" t="inlineStr">
        <is>
          <t>2026-09-27</t>
        </is>
      </c>
      <c r="K5" s="12" t="inlineStr">
        <is>
          <t>2026-10-27</t>
        </is>
      </c>
      <c r="L5" s="12" t="inlineStr">
        <is>
          <t>23000.000 KWD</t>
        </is>
      </c>
      <c r="M5" s="12" t="inlineStr">
        <is>
          <t>1000.000 KWD</t>
        </is>
      </c>
      <c r="N5" s="26" t="inlineStr">
        <is>
          <t>UNCHANGED</t>
        </is>
      </c>
      <c r="O5" s="12" t="inlineStr">
        <is>
          <t>غير متوافقة مع اختصاصات KBM</t>
        </is>
      </c>
      <c r="P5" s="23">
        <f>HYPERLINK("https://capt.gov.kw/ar/tenders/opening-tenders/#card-2", "عرض المصدر")</f>
        <v/>
      </c>
    </row>
    <row r="6">
      <c r="A6" s="13" t="inlineStr">
        <is>
          <t>24141071982026</t>
        </is>
      </c>
      <c r="B6" s="13" t="inlineStr">
        <is>
          <t>وزارة الدفاع</t>
        </is>
      </c>
      <c r="C6" s="13" t="inlineStr">
        <is>
          <t>Eiman Ashkanani</t>
        </is>
      </c>
      <c r="D6" s="13" t="inlineStr">
        <is>
          <t>ممارسة رقم 24141071982026: طلب شراء ملفات طبية للمرضى</t>
        </is>
      </c>
      <c r="E6" s="13" t="inlineStr">
        <is>
          <t>توريد المستلزمات والمواد والمستهلكات الطبية أو المخبرية المتخصصة لصالح المرافق الصحية.</t>
        </is>
      </c>
      <c r="F6"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6" s="14" t="inlineStr">
        <is>
          <t>عام</t>
        </is>
      </c>
      <c r="H6" s="14" t="inlineStr">
        <is>
          <t>15.0%</t>
        </is>
      </c>
      <c r="I6" s="14" t="inlineStr">
        <is>
          <t>defense_and_security</t>
        </is>
      </c>
      <c r="J6" s="14" t="inlineStr">
        <is>
          <t>2026-09-27</t>
        </is>
      </c>
      <c r="K6" s="14" t="inlineStr">
        <is>
          <t>2026-10-22</t>
        </is>
      </c>
      <c r="L6" s="14" t="inlineStr">
        <is>
          <t>2000.0</t>
        </is>
      </c>
      <c r="M6" s="14" t="inlineStr">
        <is>
          <t>-</t>
        </is>
      </c>
      <c r="N6" s="21" t="inlineStr">
        <is>
          <t>NEW</t>
        </is>
      </c>
      <c r="O6" s="14" t="inlineStr">
        <is>
          <t>غير متوافقة مع اختصاصات KBM</t>
        </is>
      </c>
      <c r="P6" s="22">
        <f>HYPERLINK("https://kuwaitalyawm.media.gov.kw/Online/ViewAdsHTML?id=171541&amp;no=1", "عرض المصدر")</f>
        <v/>
      </c>
    </row>
    <row r="7">
      <c r="A7" s="11" t="inlineStr">
        <is>
          <t>24181118110</t>
        </is>
      </c>
      <c r="B7" s="11" t="inlineStr">
        <is>
          <t>وزارة الدفاع</t>
        </is>
      </c>
      <c r="C7" s="11" t="inlineStr">
        <is>
          <t>Eiman Ashkanani</t>
        </is>
      </c>
      <c r="D7" s="11" t="inlineStr">
        <is>
          <t>ممارسة رقم 24181118110: توريد وتركيب وتعريف واختبار أجهزة خوادم النظام المالي لزوم وزارة الدفاع</t>
        </is>
      </c>
      <c r="E7"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7"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7" s="24" t="inlineStr">
        <is>
          <t>قطاع الخوادم وحلول التخزين والبنية التحتية</t>
        </is>
      </c>
      <c r="H7" s="12" t="inlineStr">
        <is>
          <t>85.0%</t>
        </is>
      </c>
      <c r="I7" s="12" t="inlineStr">
        <is>
          <t>defense_and_security</t>
        </is>
      </c>
      <c r="J7" s="12" t="inlineStr">
        <is>
          <t>2026-09-27</t>
        </is>
      </c>
      <c r="K7" s="12" t="inlineStr">
        <is>
          <t>2026-10-25</t>
        </is>
      </c>
      <c r="L7" s="12" t="inlineStr">
        <is>
          <t>5000.0</t>
        </is>
      </c>
      <c r="M7" s="12" t="inlineStr">
        <is>
          <t>150.0</t>
        </is>
      </c>
      <c r="N7" s="21" t="inlineStr">
        <is>
          <t>NEW</t>
        </is>
      </c>
      <c r="O7" s="12" t="inlineStr">
        <is>
          <t>موصى بالتقديم</t>
        </is>
      </c>
      <c r="P7" s="23">
        <f>HYPERLINK("https://kuwaitalyawm.media.gov.kw/Online/ViewAdsHTML?id=171540&amp;no=1", "عرض المصدر")</f>
        <v/>
      </c>
    </row>
    <row r="8">
      <c r="A8" s="13" t="inlineStr">
        <is>
          <t>24141071967826</t>
        </is>
      </c>
      <c r="B8" s="13" t="inlineStr">
        <is>
          <t>وزارة الدفاع</t>
        </is>
      </c>
      <c r="C8" s="13" t="inlineStr">
        <is>
          <t>Eiman Ashkanani</t>
        </is>
      </c>
      <c r="D8" s="13" t="inlineStr">
        <is>
          <t>ممارسة رقم 24141071967826: إعادة طرح توريد أجهزة تلفزيون لزوم / هيئة الإمداد والتموين</t>
        </is>
      </c>
      <c r="E8"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8"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8" s="14" t="inlineStr">
        <is>
          <t>عام</t>
        </is>
      </c>
      <c r="H8" s="14" t="inlineStr">
        <is>
          <t>15.0%</t>
        </is>
      </c>
      <c r="I8" s="14" t="inlineStr">
        <is>
          <t>defense_and_security</t>
        </is>
      </c>
      <c r="J8" s="14" t="inlineStr">
        <is>
          <t>2026-09-27</t>
        </is>
      </c>
      <c r="K8" s="14" t="inlineStr">
        <is>
          <t>-</t>
        </is>
      </c>
      <c r="L8" s="14" t="inlineStr">
        <is>
          <t>-</t>
        </is>
      </c>
      <c r="M8" s="14" t="inlineStr">
        <is>
          <t>-</t>
        </is>
      </c>
      <c r="N8" s="21" t="inlineStr">
        <is>
          <t>NEW</t>
        </is>
      </c>
      <c r="O8" s="14" t="inlineStr">
        <is>
          <t>غير متوافقة مع اختصاصات KBM</t>
        </is>
      </c>
      <c r="P8" s="22">
        <f>HYPERLINK("https://kuwaitalyawm.media.gov.kw/Online/ViewAdsHTML?id=171539&amp;no=1", "عرض المصدر")</f>
        <v/>
      </c>
    </row>
    <row r="9">
      <c r="A9" s="11" t="inlineStr">
        <is>
          <t>2414/109/20167/26</t>
        </is>
      </c>
      <c r="B9" s="11" t="inlineStr">
        <is>
          <t>وزارة الدفاع</t>
        </is>
      </c>
      <c r="C9" s="11" t="inlineStr">
        <is>
          <t>Eiman Ashkanani</t>
        </is>
      </c>
      <c r="D9" s="11" t="inlineStr">
        <is>
          <t>ممارسة رقم 24141092016726: الطلبية العامة لشراء مواد المطبخ</t>
        </is>
      </c>
      <c r="E9" s="11" t="inlineStr">
        <is>
          <t>أعمال وتوريدات الطلبية العامة لشراء مواد المطبخ لصالح وزارة الدفاع وفقاً للشروط والمواصفات المعتمدة في وثائق الطرح.</t>
        </is>
      </c>
      <c r="F9"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9" s="12" t="inlineStr">
        <is>
          <t>عام</t>
        </is>
      </c>
      <c r="H9" s="12" t="inlineStr">
        <is>
          <t>15.0%</t>
        </is>
      </c>
      <c r="I9" s="12" t="inlineStr">
        <is>
          <t>defense_and_security</t>
        </is>
      </c>
      <c r="J9" s="12" t="inlineStr">
        <is>
          <t>2026-09-13</t>
        </is>
      </c>
      <c r="K9" s="12" t="inlineStr">
        <is>
          <t>2026-10-16</t>
        </is>
      </c>
      <c r="L9" s="12" t="inlineStr">
        <is>
          <t>2000.0</t>
        </is>
      </c>
      <c r="M9" s="12" t="inlineStr">
        <is>
          <t>75.0</t>
        </is>
      </c>
      <c r="N9" s="21" t="inlineStr">
        <is>
          <t>NEW</t>
        </is>
      </c>
      <c r="O9" s="12" t="inlineStr">
        <is>
          <t>غير متوافقة مع اختصاصات KBM</t>
        </is>
      </c>
      <c r="P9" s="23">
        <f>HYPERLINK("https://kuwaitalyawm.media.gov.kw/Online/ViewAdsHTML?id=171538&amp;no=1", "عرض المصدر")</f>
        <v/>
      </c>
    </row>
    <row r="10">
      <c r="A10" s="13" t="inlineStr">
        <is>
          <t>241717263</t>
        </is>
      </c>
      <c r="B10" s="13" t="inlineStr">
        <is>
          <t>وزارة الدفاع</t>
        </is>
      </c>
      <c r="C10" s="13" t="inlineStr">
        <is>
          <t>Eiman Ashkanani</t>
        </is>
      </c>
      <c r="D10" s="13" t="inlineStr">
        <is>
          <t>توريد زيت نباتي (ذرة) - لزوم / وحدات الجيش</t>
        </is>
      </c>
      <c r="E10" s="13" t="inlineStr">
        <is>
          <t>أعمال وتوريدات توريد زيت نباتي (ذرة) - لزوم / وحدات الجيش لصالح وزارة الدفاع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0.0%</t>
        </is>
      </c>
      <c r="I10" s="14" t="inlineStr">
        <is>
          <t>defense_and_security</t>
        </is>
      </c>
      <c r="J10" s="14" t="inlineStr">
        <is>
          <t>2026-08-30</t>
        </is>
      </c>
      <c r="K10" s="14" t="inlineStr">
        <is>
          <t>2026-11-24</t>
        </is>
      </c>
      <c r="L10" s="14" t="inlineStr">
        <is>
          <t>15000.000 KWD</t>
        </is>
      </c>
      <c r="M10" s="14" t="inlineStr">
        <is>
          <t>1000.000 KWD</t>
        </is>
      </c>
      <c r="N10" s="21" t="inlineStr">
        <is>
          <t>NEW</t>
        </is>
      </c>
      <c r="O10" s="14" t="inlineStr">
        <is>
          <t>غير متوافقة مع اختصاصات KBM</t>
        </is>
      </c>
      <c r="P10" s="22">
        <f>HYPERLINK("https://capt.gov.kw/ar/tenders/opening-tenders/#card-4", "عرض المصدر")</f>
        <v/>
      </c>
    </row>
    <row r="11">
      <c r="A11" s="11" t="inlineStr">
        <is>
          <t>هـ ع / ش أ م / 4/2026/2027</t>
        </is>
      </c>
      <c r="B11" s="11" t="inlineStr">
        <is>
          <t>الهيئة العامة للتعليم التطبيقي والتدريب</t>
        </is>
      </c>
      <c r="C11" s="11" t="inlineStr">
        <is>
          <t>Eiman Ashkanani</t>
        </is>
      </c>
      <c r="D11" s="11" t="inlineStr">
        <is>
          <t>توفير خدمة الانترنت و نقل المعلومات internet - wan للهيئة العامة للتعليم التطبيقي و التدريب</t>
        </is>
      </c>
      <c r="E11"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24.0%</t>
        </is>
      </c>
      <c r="I11" s="12" t="inlineStr">
        <is>
          <t>education_and_research</t>
        </is>
      </c>
      <c r="J11" s="12" t="inlineStr">
        <is>
          <t>2026-09-06</t>
        </is>
      </c>
      <c r="K11" s="12" t="inlineStr">
        <is>
          <t>2026-11-03</t>
        </is>
      </c>
      <c r="L11" s="12" t="inlineStr">
        <is>
          <t>6000.000 KWD</t>
        </is>
      </c>
      <c r="M11" s="12" t="inlineStr">
        <is>
          <t>300.000 KWD</t>
        </is>
      </c>
      <c r="N11" s="21" t="inlineStr">
        <is>
          <t>NEW</t>
        </is>
      </c>
      <c r="O11" s="12" t="inlineStr">
        <is>
          <t>غير متوافقة مع اختصاصات KBM</t>
        </is>
      </c>
      <c r="P11" s="23">
        <f>HYPERLINK("https://capt.gov.kw/ar/tenders/opening-tenders/#card-8", "عرض المصدر")</f>
        <v/>
      </c>
    </row>
    <row r="12">
      <c r="A12" s="13" t="inlineStr">
        <is>
          <t>م ع/23/2025/2026</t>
        </is>
      </c>
      <c r="B12" s="13" t="inlineStr">
        <is>
          <t>وزارة التربية</t>
        </is>
      </c>
      <c r="C12" s="13" t="inlineStr">
        <is>
          <t>Eiman Ashkanani</t>
        </is>
      </c>
      <c r="D12" s="13" t="inlineStr">
        <is>
          <t>تنفيذ أعمال التشغيل والصيانة وإدارة مبنى ديوان عام الوزارة الجديد بجنوب السرة</t>
        </is>
      </c>
      <c r="E12"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education_and_research</t>
        </is>
      </c>
      <c r="J12" s="14" t="inlineStr">
        <is>
          <t>2026-08-23</t>
        </is>
      </c>
      <c r="K12" s="14" t="inlineStr">
        <is>
          <t>2026-11-17</t>
        </is>
      </c>
      <c r="L12" s="14" t="inlineStr">
        <is>
          <t>62000.000 KWD</t>
        </is>
      </c>
      <c r="M12" s="14" t="inlineStr">
        <is>
          <t>3500.000 KWD</t>
        </is>
      </c>
      <c r="N12" s="21" t="inlineStr">
        <is>
          <t>NEW</t>
        </is>
      </c>
      <c r="O12" s="14" t="inlineStr">
        <is>
          <t>غير متوافقة مع اختصاصات KBM</t>
        </is>
      </c>
      <c r="P12" s="22">
        <f>HYPERLINK("https://capt.gov.kw/ar/tenders/opening-tenders/#card-2", "عرض المصدر")</f>
        <v/>
      </c>
    </row>
    <row r="13">
      <c r="A13" s="11" t="inlineStr">
        <is>
          <t>م ع /6/2022/2023</t>
        </is>
      </c>
      <c r="B13" s="11" t="inlineStr">
        <is>
          <t>وزارة التربية</t>
        </is>
      </c>
      <c r="C13" s="11" t="inlineStr">
        <is>
          <t>Eiman Ashkanani</t>
        </is>
      </c>
      <c r="D13" s="11" t="inlineStr">
        <is>
          <t>أعمال  فحص واصلاح وتشغيل وصيانة شبكة الإنذار ومكافحة الحريق لمباني ومدارس تابعة لمنطقة العاصمة التعليمية</t>
        </is>
      </c>
      <c r="E13"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24.0%</t>
        </is>
      </c>
      <c r="I13" s="12" t="inlineStr">
        <is>
          <t>education_and_research</t>
        </is>
      </c>
      <c r="J13" s="12" t="inlineStr">
        <is>
          <t>2026-09-27</t>
        </is>
      </c>
      <c r="K13" s="12" t="inlineStr">
        <is>
          <t>2026-12-22</t>
        </is>
      </c>
      <c r="L13" s="12" t="inlineStr">
        <is>
          <t>3500.000 KWD</t>
        </is>
      </c>
      <c r="M13" s="12" t="inlineStr">
        <is>
          <t>150.000 KWD</t>
        </is>
      </c>
      <c r="N13" s="26" t="inlineStr">
        <is>
          <t>UNCHANGED</t>
        </is>
      </c>
      <c r="O13" s="12" t="inlineStr">
        <is>
          <t>غير متوافقة مع اختصاصات KBM</t>
        </is>
      </c>
      <c r="P13" s="23">
        <f>HYPERLINK("https://capt.gov.kw/ar/tenders/opening-tenders/#card-6", "عرض المصدر")</f>
        <v/>
      </c>
    </row>
    <row r="14">
      <c r="A14" s="13" t="inlineStr">
        <is>
          <t>2027/2026/16</t>
        </is>
      </c>
      <c r="B14" s="13" t="inlineStr">
        <is>
          <t>وزارة الداخلية</t>
        </is>
      </c>
      <c r="C14" s="13" t="inlineStr">
        <is>
          <t>Khaled Alabdallah</t>
        </is>
      </c>
      <c r="D14" s="13" t="inlineStr">
        <is>
          <t>مناقصة رقم 2027/2026/16: توريد وضمان مواد متفجرة لزوم إدارة التجهيزات الأمنية</t>
        </is>
      </c>
      <c r="E14" s="13" t="inlineStr">
        <is>
          <t>توفير خدمات الحراسة والأمن والسلامة للمباني والمنشآت وتأمين المداخل وتوفير الكوادر الأمنية المدربة.</t>
        </is>
      </c>
      <c r="F14"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 s="14" t="inlineStr">
        <is>
          <t>عام</t>
        </is>
      </c>
      <c r="H14" s="14" t="inlineStr">
        <is>
          <t>15.0%</t>
        </is>
      </c>
      <c r="I14" s="14" t="inlineStr">
        <is>
          <t>education_and_research</t>
        </is>
      </c>
      <c r="J14" s="14" t="inlineStr">
        <is>
          <t>2026-08-23</t>
        </is>
      </c>
      <c r="K14" s="14" t="inlineStr">
        <is>
          <t>-</t>
        </is>
      </c>
      <c r="L14" s="14" t="inlineStr">
        <is>
          <t>2000.0</t>
        </is>
      </c>
      <c r="M14" s="14" t="inlineStr">
        <is>
          <t>-</t>
        </is>
      </c>
      <c r="N14" s="21" t="inlineStr">
        <is>
          <t>NEW</t>
        </is>
      </c>
      <c r="O14" s="14" t="inlineStr">
        <is>
          <t>غير متوافقة مع اختصاصات KBM</t>
        </is>
      </c>
      <c r="P14" s="22">
        <f>HYPERLINK("https://kuwaitalyawm.media.gov.kw/Online/ViewAdsHTML?id=171532&amp;no=1", "عرض المصدر")</f>
        <v/>
      </c>
    </row>
    <row r="15">
      <c r="A15" s="11" t="inlineStr">
        <is>
          <t>2027/2026/8</t>
        </is>
      </c>
      <c r="B15" s="11" t="inlineStr">
        <is>
          <t>الإدارة العامة للاطفاء</t>
        </is>
      </c>
      <c r="C15" s="11" t="inlineStr">
        <is>
          <t>Eiman Ashkanani</t>
        </is>
      </c>
      <c r="D15" s="11" t="inlineStr">
        <is>
          <t>ممارسة رقم 2027/2026/8: بشأن شراء وتجديد حزمة برامج Manage engine</t>
        </is>
      </c>
      <c r="E15"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24" t="inlineStr">
        <is>
          <t>قطاع برمجيات IBM وحلول الذكاء الاصطناعي وRed Hat</t>
        </is>
      </c>
      <c r="H15" s="12" t="inlineStr">
        <is>
          <t>68.0%</t>
        </is>
      </c>
      <c r="I15" s="12" t="inlineStr">
        <is>
          <t>government</t>
        </is>
      </c>
      <c r="J15" s="12" t="inlineStr">
        <is>
          <t>2026-09-27</t>
        </is>
      </c>
      <c r="K15" s="12" t="inlineStr">
        <is>
          <t>-</t>
        </is>
      </c>
      <c r="L15" s="12" t="inlineStr">
        <is>
          <t>-</t>
        </is>
      </c>
      <c r="M15" s="12" t="inlineStr">
        <is>
          <t>75.0</t>
        </is>
      </c>
      <c r="N15" s="21" t="inlineStr">
        <is>
          <t>NEW</t>
        </is>
      </c>
      <c r="O15" s="12" t="inlineStr">
        <is>
          <t>فرصة ICT متوافقة مع قدرات KBM</t>
        </is>
      </c>
      <c r="P15" s="23">
        <f>HYPERLINK("https://kuwaitalyawm.media.gov.kw/Online/ViewAdsHTML?id=171673&amp;no=1", "عرض المصدر")</f>
        <v/>
      </c>
    </row>
    <row r="16">
      <c r="A16" s="13" t="inlineStr">
        <is>
          <t>2027/2026/5</t>
        </is>
      </c>
      <c r="B16" s="13" t="inlineStr">
        <is>
          <t>الإدارة المركزية للاحصاء</t>
        </is>
      </c>
      <c r="C16" s="13" t="inlineStr">
        <is>
          <t>Eiman Ashkanani</t>
        </is>
      </c>
      <c r="D16" s="13" t="inlineStr">
        <is>
          <t>ممارسة رقم 2027/2026/5 - الإدارة المركزية للاحصاء</t>
        </is>
      </c>
      <c r="E16"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t>
        </is>
      </c>
      <c r="L16" s="14" t="inlineStr">
        <is>
          <t>-</t>
        </is>
      </c>
      <c r="M16" s="14" t="inlineStr">
        <is>
          <t>75.0</t>
        </is>
      </c>
      <c r="N16" s="21" t="inlineStr">
        <is>
          <t>NEW</t>
        </is>
      </c>
      <c r="O16" s="14" t="inlineStr">
        <is>
          <t>غير متوافقة مع اختصاصات KBM</t>
        </is>
      </c>
      <c r="P16" s="22">
        <f>HYPERLINK("https://kuwaitalyawm.media.gov.kw/Online/ViewAdsHTML?id=171697&amp;no=1", "عرض المصدر")</f>
        <v/>
      </c>
    </row>
    <row r="17">
      <c r="A17" s="11" t="inlineStr">
        <is>
          <t>6/2025/2026</t>
        </is>
      </c>
      <c r="B17" s="11" t="inlineStr">
        <is>
          <t>الادارة العامة للطيران المدني</t>
        </is>
      </c>
      <c r="C17" s="11" t="inlineStr">
        <is>
          <t>Eiman Ashkanani</t>
        </is>
      </c>
      <c r="D17" s="11" t="inlineStr">
        <is>
          <t>اعمال صيانة و ترميم المباني و الاعمال الانشائية و اية اعمال اخرى في مواقع مختلفة للطيران المدني</t>
        </is>
      </c>
      <c r="E17" s="11" t="inlineStr">
        <is>
          <t>تنفيذ الأعمال المدنية والإنشائية والترميم والصيانة العامة للمباني والمنشآت والمرافق التابعة للجهة.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2026-08-23</t>
        </is>
      </c>
      <c r="K17" s="12" t="inlineStr">
        <is>
          <t>2026-11-17</t>
        </is>
      </c>
      <c r="L17" s="12" t="inlineStr">
        <is>
          <t>170000.000 KWD</t>
        </is>
      </c>
      <c r="M17" s="12" t="inlineStr">
        <is>
          <t>3500.000 KWD</t>
        </is>
      </c>
      <c r="N17" s="21" t="inlineStr">
        <is>
          <t>NEW</t>
        </is>
      </c>
      <c r="O17" s="12" t="inlineStr">
        <is>
          <t>غير متوافقة مع اختصاصات KBM</t>
        </is>
      </c>
      <c r="P17" s="23">
        <f>HYPERLINK("https://capt.gov.kw/ar/tenders/opening-tenders/#card-0", "عرض المصدر")</f>
        <v/>
      </c>
    </row>
    <row r="18">
      <c r="A18" s="13" t="inlineStr">
        <is>
          <t>الاستشارية 8/2023/2024</t>
        </is>
      </c>
      <c r="B18" s="13" t="inlineStr">
        <is>
          <t>الادارة العامة للطيران المدني</t>
        </is>
      </c>
      <c r="C18" s="13" t="inlineStr">
        <is>
          <t>Eiman Ashkanani</t>
        </is>
      </c>
      <c r="D18" s="13" t="inlineStr">
        <is>
          <t>خدمات إدارة المشاريع لتنفيذ مشاريع المخطط الهيلكي 2020 وإعداد العقود والدراسات ومتابعة المشغلين والمستثمرين في مطار الكويت الدولي</t>
        </is>
      </c>
      <c r="E18"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government</t>
        </is>
      </c>
      <c r="J18" s="14" t="inlineStr">
        <is>
          <t>2026-09-13</t>
        </is>
      </c>
      <c r="K18" s="14" t="inlineStr">
        <is>
          <t>2026-12-08</t>
        </is>
      </c>
      <c r="L18" s="14" t="inlineStr">
        <is>
          <t>100000.000 KWD</t>
        </is>
      </c>
      <c r="M18" s="14" t="inlineStr">
        <is>
          <t>3500.000 KWD</t>
        </is>
      </c>
      <c r="N18" s="21" t="inlineStr">
        <is>
          <t>NEW</t>
        </is>
      </c>
      <c r="O18" s="14" t="inlineStr">
        <is>
          <t>غير متوافقة مع اختصاصات KBM</t>
        </is>
      </c>
      <c r="P18" s="22">
        <f>HYPERLINK("https://capt.gov.kw/ar/tenders/opening-tenders/#card-9", "عرض المصدر")</f>
        <v/>
      </c>
    </row>
    <row r="19">
      <c r="A19" s="11" t="inlineStr">
        <is>
          <t>2026/35</t>
        </is>
      </c>
      <c r="B19" s="11" t="inlineStr">
        <is>
          <t>الجهاز المركزي لتكنولوجيا المعلومات</t>
        </is>
      </c>
      <c r="C19" s="11" t="inlineStr">
        <is>
          <t>Eiman Ashkanani</t>
        </is>
      </c>
      <c r="D19"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19"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24" t="inlineStr">
        <is>
          <t>قطاع العمليات المدارة والدعم الفني متعدد الموردين</t>
        </is>
      </c>
      <c r="H19" s="12" t="inlineStr">
        <is>
          <t>85.0%</t>
        </is>
      </c>
      <c r="I19" s="12" t="inlineStr">
        <is>
          <t>government</t>
        </is>
      </c>
      <c r="J19" s="12" t="inlineStr">
        <is>
          <t>2026-09-27</t>
        </is>
      </c>
      <c r="K19" s="12" t="inlineStr">
        <is>
          <t>2026-10-15</t>
        </is>
      </c>
      <c r="L19" s="12" t="inlineStr">
        <is>
          <t>-</t>
        </is>
      </c>
      <c r="M19" s="12" t="inlineStr">
        <is>
          <t>75.0</t>
        </is>
      </c>
      <c r="N19" s="21" t="inlineStr">
        <is>
          <t>NEW</t>
        </is>
      </c>
      <c r="O19" s="12" t="inlineStr">
        <is>
          <t>فرصة استراتيجية رئيسية (موصى بالتقديم)</t>
        </is>
      </c>
      <c r="P19" s="23">
        <f>HYPERLINK("https://kuwaitalyawm.media.gov.kw/Online/ViewAdsHTML?id=171699&amp;no=1", "عرض المصدر")</f>
        <v/>
      </c>
    </row>
    <row r="20">
      <c r="A20" s="13" t="inlineStr">
        <is>
          <t>ممارسة 3/2026/2027</t>
        </is>
      </c>
      <c r="B20" s="13" t="inlineStr">
        <is>
          <t>الجهاز المركزي للمناقصات العامة</t>
        </is>
      </c>
      <c r="C20" s="13" t="inlineStr">
        <is>
          <t>Eiman Ashkanani</t>
        </is>
      </c>
      <c r="D20" s="13" t="inlineStr">
        <is>
          <t>تصميم وتطوير خدمات الموقع الإلكتروني والبرامج الذكية للجهاز المركزي للمناقصات العامة</t>
        </is>
      </c>
      <c r="E20"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28.0%</t>
        </is>
      </c>
      <c r="I20" s="14" t="inlineStr">
        <is>
          <t>government</t>
        </is>
      </c>
      <c r="J20" s="14" t="inlineStr">
        <is>
          <t>2026-09-13</t>
        </is>
      </c>
      <c r="K20" s="18" t="inlineStr">
        <is>
          <t>2026-10-06</t>
        </is>
      </c>
      <c r="L20" s="14" t="inlineStr">
        <is>
          <t>1000.000 KWD</t>
        </is>
      </c>
      <c r="M20" s="14" t="inlineStr">
        <is>
          <t>50.000 KWD</t>
        </is>
      </c>
      <c r="N20" s="21" t="inlineStr">
        <is>
          <t>NEW</t>
        </is>
      </c>
      <c r="O20" s="14" t="inlineStr">
        <is>
          <t>غير متوافقة مع اختصاصات KBM</t>
        </is>
      </c>
      <c r="P20" s="22">
        <f>HYPERLINK("https://capt.gov.kw/ar/tenders/opening-tenders/#card-0", "عرض المصدر")</f>
        <v/>
      </c>
    </row>
    <row r="21">
      <c r="A21" s="11" t="inlineStr">
        <is>
          <t>2027/2026/12</t>
        </is>
      </c>
      <c r="B21" s="11" t="inlineStr">
        <is>
          <t>الرئاسـة العامة للحرس الوطني</t>
        </is>
      </c>
      <c r="C21" s="11" t="inlineStr">
        <is>
          <t>Eiman Ashkanani</t>
        </is>
      </c>
      <c r="D21" s="11" t="inlineStr">
        <is>
          <t>ممارسة رقم 2027/2026/12: الخاصة بصيانة أجهزة توزيع أحمال الشبكة</t>
        </is>
      </c>
      <c r="E21"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64.0%</t>
        </is>
      </c>
      <c r="I21" s="12" t="inlineStr">
        <is>
          <t>government</t>
        </is>
      </c>
      <c r="J21" s="12" t="inlineStr">
        <is>
          <t>2026-09-27</t>
        </is>
      </c>
      <c r="K21" s="12" t="inlineStr">
        <is>
          <t>-</t>
        </is>
      </c>
      <c r="L21" s="12" t="inlineStr">
        <is>
          <t>-</t>
        </is>
      </c>
      <c r="M21" s="12" t="inlineStr">
        <is>
          <t>75.0</t>
        </is>
      </c>
      <c r="N21" s="21" t="inlineStr">
        <is>
          <t>NEW</t>
        </is>
      </c>
      <c r="O21" s="12" t="inlineStr">
        <is>
          <t>فرصة ICT متوافقة مع قدرات KBM</t>
        </is>
      </c>
      <c r="P21" s="23">
        <f>HYPERLINK("https://kuwaitalyawm.media.gov.kw/Online/ViewAdsHTML?id=171707&amp;no=1", "عرض المصدر")</f>
        <v/>
      </c>
    </row>
    <row r="22">
      <c r="A22" s="13" t="inlineStr">
        <is>
          <t>26/27-11</t>
        </is>
      </c>
      <c r="B22" s="13" t="inlineStr">
        <is>
          <t>الشركة الكويتية لتزويد الطائرات بالوقود</t>
        </is>
      </c>
      <c r="C22" s="13" t="inlineStr">
        <is>
          <t>Eiman Ashkanani</t>
        </is>
      </c>
      <c r="D22" s="13" t="inlineStr">
        <is>
          <t>مناقصة رقم 26/27-11 - الشركة الكويتية لتزويد الطائرات بالوقود</t>
        </is>
      </c>
      <c r="E22"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government</t>
        </is>
      </c>
      <c r="J22" s="14" t="inlineStr">
        <is>
          <t>2026-09-27</t>
        </is>
      </c>
      <c r="K22" s="14" t="inlineStr">
        <is>
          <t>-</t>
        </is>
      </c>
      <c r="L22" s="14" t="inlineStr">
        <is>
          <t>37400.0</t>
        </is>
      </c>
      <c r="M22" s="14" t="inlineStr">
        <is>
          <t>-</t>
        </is>
      </c>
      <c r="N22" s="21" t="inlineStr">
        <is>
          <t>NEW</t>
        </is>
      </c>
      <c r="O22" s="14" t="inlineStr">
        <is>
          <t>غير متوافقة مع اختصاصات KBM</t>
        </is>
      </c>
      <c r="P22" s="22">
        <f>HYPERLINK("https://kuwaitalyawm.media.gov.kw/Online/ViewAdsHTML?id=171719&amp;no=1", "عرض المصدر")</f>
        <v/>
      </c>
    </row>
    <row r="23">
      <c r="A23" s="11" t="inlineStr">
        <is>
          <t>25/26-38</t>
        </is>
      </c>
      <c r="B23" s="11" t="inlineStr">
        <is>
          <t>الشركة الكويتية لتزويد الطائرات بالوقود</t>
        </is>
      </c>
      <c r="C23" s="11" t="inlineStr">
        <is>
          <t>Eiman Ashkanani</t>
        </is>
      </c>
      <c r="D23" s="11" t="inlineStr">
        <is>
          <t>مناقصة رقم 25/26/38: تاريخ الاجتماع التمهيدي واخر موعد لشراء وثائق المناقصة</t>
        </is>
      </c>
      <c r="E23"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2026-08-30</t>
        </is>
      </c>
      <c r="K23" s="12" t="inlineStr">
        <is>
          <t>2026-08-30</t>
        </is>
      </c>
      <c r="L23" s="12" t="inlineStr">
        <is>
          <t>1000.0</t>
        </is>
      </c>
      <c r="M23" s="12" t="inlineStr">
        <is>
          <t>100.0</t>
        </is>
      </c>
      <c r="N23" s="21" t="inlineStr">
        <is>
          <t>NEW</t>
        </is>
      </c>
      <c r="O23" s="12" t="inlineStr">
        <is>
          <t>غير متوافقة مع اختصاصات KBM</t>
        </is>
      </c>
      <c r="P23" s="23">
        <f>HYPERLINK("https://kuwaitalyawm.media.gov.kw/Online/ViewAdsHTML?id=171720&amp;no=1", "عرض المصدر")</f>
        <v/>
      </c>
    </row>
    <row r="24">
      <c r="A24" s="13" t="inlineStr">
        <is>
          <t>23/24-30</t>
        </is>
      </c>
      <c r="B24" s="13" t="inlineStr">
        <is>
          <t>الشركة الكويتية لتزويد الطائرات بالوقود</t>
        </is>
      </c>
      <c r="C24" s="13" t="inlineStr">
        <is>
          <t>Eiman Ashkanani</t>
        </is>
      </c>
      <c r="D24"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24"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2026-09-13</t>
        </is>
      </c>
      <c r="K24" s="14" t="inlineStr">
        <is>
          <t>2026-10-13</t>
        </is>
      </c>
      <c r="L24" s="14" t="inlineStr">
        <is>
          <t>-</t>
        </is>
      </c>
      <c r="M24" s="14" t="inlineStr">
        <is>
          <t>-</t>
        </is>
      </c>
      <c r="N24" s="21" t="inlineStr">
        <is>
          <t>NEW</t>
        </is>
      </c>
      <c r="O24" s="14" t="inlineStr">
        <is>
          <t>غير متوافقة مع اختصاصات KBM</t>
        </is>
      </c>
      <c r="P24" s="22">
        <f>HYPERLINK("https://kuwaitalyawm.media.gov.kw/Online/ViewAdsHTML?id=171721&amp;no=1", "عرض المصدر")</f>
        <v/>
      </c>
    </row>
    <row r="25">
      <c r="A25" s="11" t="inlineStr">
        <is>
          <t>26/25/33</t>
        </is>
      </c>
      <c r="B25" s="11" t="inlineStr">
        <is>
          <t>الشركة الكويتية لتزويد الطائرات بالوقود</t>
        </is>
      </c>
      <c r="C25" s="11" t="inlineStr">
        <is>
          <t>Eiman Ashkanani</t>
        </is>
      </c>
      <c r="D25"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25"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government</t>
        </is>
      </c>
      <c r="J25" s="12" t="inlineStr">
        <is>
          <t>2026-09-27</t>
        </is>
      </c>
      <c r="K25" s="12" t="inlineStr">
        <is>
          <t>2026-09-22</t>
        </is>
      </c>
      <c r="L25" s="12" t="inlineStr">
        <is>
          <t>-</t>
        </is>
      </c>
      <c r="M25" s="12" t="inlineStr">
        <is>
          <t>-</t>
        </is>
      </c>
      <c r="N25" s="21" t="inlineStr">
        <is>
          <t>NEW</t>
        </is>
      </c>
      <c r="O25" s="12" t="inlineStr">
        <is>
          <t>غير متوافقة مع اختصاصات KBM</t>
        </is>
      </c>
      <c r="P25" s="23">
        <f>HYPERLINK("https://kuwaitalyawm.media.gov.kw/Online/ViewAdsHTML?id=171722&amp;no=1", "عرض المصدر")</f>
        <v/>
      </c>
    </row>
    <row r="26">
      <c r="A26" s="13" t="inlineStr">
        <is>
          <t>2026/2025/33</t>
        </is>
      </c>
      <c r="B26" s="13" t="inlineStr">
        <is>
          <t>الشركة الكويتية لتزويد الطائرات بالوقود</t>
        </is>
      </c>
      <c r="C26" s="13" t="inlineStr">
        <is>
          <t>Eiman Ashkanani</t>
        </is>
      </c>
      <c r="D26"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26"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0.0%</t>
        </is>
      </c>
      <c r="I26" s="14" t="inlineStr">
        <is>
          <t>government</t>
        </is>
      </c>
      <c r="J26" s="14" t="inlineStr">
        <is>
          <t>2026-08-30</t>
        </is>
      </c>
      <c r="K26" s="14" t="inlineStr">
        <is>
          <t>2026-09-15</t>
        </is>
      </c>
      <c r="L26" s="14" t="inlineStr">
        <is>
          <t>-</t>
        </is>
      </c>
      <c r="M26" s="14" t="inlineStr">
        <is>
          <t>-</t>
        </is>
      </c>
      <c r="N26" s="21" t="inlineStr">
        <is>
          <t>NEW</t>
        </is>
      </c>
      <c r="O26" s="14" t="inlineStr">
        <is>
          <t>غير متوافقة مع اختصاصات KBM</t>
        </is>
      </c>
      <c r="P26" s="22">
        <f>HYPERLINK("https://kuwaitalyawm.media.gov.kw/Online/ViewAdsHTML?id=168756&amp;no=1", "عرض المصدر")</f>
        <v/>
      </c>
    </row>
    <row r="27">
      <c r="A27" s="11" t="inlineStr">
        <is>
          <t>2026/2025/15</t>
        </is>
      </c>
      <c r="B27" s="11" t="inlineStr">
        <is>
          <t>الشركة الكويتية لتزويد الطائرات بالوقود</t>
        </is>
      </c>
      <c r="C27" s="11" t="inlineStr">
        <is>
          <t>Eiman Ashkanani</t>
        </is>
      </c>
      <c r="D27" s="11" t="inlineStr">
        <is>
          <t>مناقصة رقم 2026/2025/15 - الشركة الكويتية لتزويد الطائرات بالوقود</t>
        </is>
      </c>
      <c r="E27" s="11"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12" t="inlineStr">
        <is>
          <t>عام</t>
        </is>
      </c>
      <c r="H27" s="12" t="inlineStr">
        <is>
          <t>0.0%</t>
        </is>
      </c>
      <c r="I27" s="12" t="inlineStr">
        <is>
          <t>government</t>
        </is>
      </c>
      <c r="J27" s="12" t="inlineStr">
        <is>
          <t>2026-08-23</t>
        </is>
      </c>
      <c r="K27" s="12" t="inlineStr">
        <is>
          <t>-</t>
        </is>
      </c>
      <c r="L27" s="12" t="inlineStr">
        <is>
          <t>19998.5</t>
        </is>
      </c>
      <c r="M27" s="12" t="inlineStr">
        <is>
          <t>-</t>
        </is>
      </c>
      <c r="N27" s="21" t="inlineStr">
        <is>
          <t>NEW</t>
        </is>
      </c>
      <c r="O27" s="12" t="inlineStr">
        <is>
          <t>غير متوافقة مع اختصاصات KBM</t>
        </is>
      </c>
      <c r="P27" s="23">
        <f>HYPERLINK("https://kuwaitalyawm.media.gov.kw/Online/ViewAdsHTML?id=167896&amp;no=1", "عرض المصدر")</f>
        <v/>
      </c>
    </row>
    <row r="28">
      <c r="A28" s="13" t="inlineStr">
        <is>
          <t>2024/2023/30</t>
        </is>
      </c>
      <c r="B28" s="13" t="inlineStr">
        <is>
          <t>الشركة الكويتية لتزويد الطائرات بالوقود</t>
        </is>
      </c>
      <c r="C28" s="13" t="inlineStr">
        <is>
          <t>Eiman Ashkanani</t>
        </is>
      </c>
      <c r="D28" s="13"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28" s="13"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government</t>
        </is>
      </c>
      <c r="J28" s="14" t="inlineStr">
        <is>
          <t>2026-08-23</t>
        </is>
      </c>
      <c r="K28" s="14" t="inlineStr">
        <is>
          <t>-</t>
        </is>
      </c>
      <c r="L28" s="14" t="inlineStr">
        <is>
          <t>-</t>
        </is>
      </c>
      <c r="M28" s="14" t="inlineStr">
        <is>
          <t>-</t>
        </is>
      </c>
      <c r="N28" s="21" t="inlineStr">
        <is>
          <t>NEW</t>
        </is>
      </c>
      <c r="O28" s="14" t="inlineStr">
        <is>
          <t>غير متوافقة مع اختصاصات KBM</t>
        </is>
      </c>
      <c r="P28" s="22">
        <f>HYPERLINK("https://kuwaitalyawm.media.gov.kw/Online/ViewAdsHTML?id=167897&amp;no=1", "عرض المصدر")</f>
        <v/>
      </c>
    </row>
    <row r="29">
      <c r="A29" s="11" t="inlineStr">
        <is>
          <t>HO/CC066-R0/SV26</t>
        </is>
      </c>
      <c r="B29" s="11" t="inlineStr">
        <is>
          <t>الشركة الكويتية لنفط الخليج</t>
        </is>
      </c>
      <c r="C29" s="11" t="inlineStr">
        <is>
          <t>Eiman Ashkanani</t>
        </is>
      </c>
      <c r="D29" s="11" t="inlineStr">
        <is>
          <t>مناقصة رقم HO/CC066-R0/SV26 - الشركة الكويتية لنفط الخليج</t>
        </is>
      </c>
      <c r="E2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0.0%</t>
        </is>
      </c>
      <c r="I29" s="12" t="inlineStr">
        <is>
          <t>government</t>
        </is>
      </c>
      <c r="J29" s="12" t="inlineStr">
        <is>
          <t>2026-08-30</t>
        </is>
      </c>
      <c r="K29" s="12" t="inlineStr">
        <is>
          <t>2026-12-01</t>
        </is>
      </c>
      <c r="L29" s="12" t="inlineStr">
        <is>
          <t>50000.0</t>
        </is>
      </c>
      <c r="M29" s="12" t="inlineStr">
        <is>
          <t>-</t>
        </is>
      </c>
      <c r="N29" s="21" t="inlineStr">
        <is>
          <t>NEW</t>
        </is>
      </c>
      <c r="O29" s="12" t="inlineStr">
        <is>
          <t>غير متوافقة مع اختصاصات KBM</t>
        </is>
      </c>
      <c r="P29" s="23">
        <f>HYPERLINK("https://kuwaitalyawm.media.gov.kw/Online/ViewAdsHTML?id=168757&amp;no=1", "عرض المصدر")</f>
        <v/>
      </c>
    </row>
    <row r="30">
      <c r="A30" s="13" t="inlineStr">
        <is>
          <t>HO/TC146000/R0/PM&amp;E26</t>
        </is>
      </c>
      <c r="B30" s="13" t="inlineStr">
        <is>
          <t>الشركة الكويتية لنفط الخليج</t>
        </is>
      </c>
      <c r="C30" s="13" t="inlineStr">
        <is>
          <t>Eiman Ashkanani</t>
        </is>
      </c>
      <c r="D30" s="13" t="inlineStr">
        <is>
          <t>مناقصة رقم HO/TC146000/R0/PM&amp;E26 - الشركة الكويتية لنفط الخليج</t>
        </is>
      </c>
      <c r="E3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2026-08-23</t>
        </is>
      </c>
      <c r="K30" s="14" t="inlineStr">
        <is>
          <t>2026-12-29</t>
        </is>
      </c>
      <c r="L30" s="14" t="inlineStr">
        <is>
          <t>10000000.0</t>
        </is>
      </c>
      <c r="M30" s="14" t="inlineStr">
        <is>
          <t>-</t>
        </is>
      </c>
      <c r="N30" s="21" t="inlineStr">
        <is>
          <t>NEW</t>
        </is>
      </c>
      <c r="O30" s="14" t="inlineStr">
        <is>
          <t>غير متوافقة مع اختصاصات KBM</t>
        </is>
      </c>
      <c r="P30" s="22">
        <f>HYPERLINK("https://kuwaitalyawm.media.gov.kw/Online/ViewAdsHTML?id=167899&amp;no=1", "عرض المصدر")</f>
        <v/>
      </c>
    </row>
    <row r="31">
      <c r="A31" s="11" t="inlineStr">
        <is>
          <t>2027/2026/1443</t>
        </is>
      </c>
      <c r="B31" s="11" t="inlineStr">
        <is>
          <t>المؤسسة العامة للرعاية السكنية</t>
        </is>
      </c>
      <c r="C31" s="11" t="inlineStr">
        <is>
          <t>Eiman Ashkanani</t>
        </is>
      </c>
      <c r="D31" s="11" t="inlineStr">
        <is>
          <t>مناقصة رقم 2027/2026/1443 - المؤسسة العامة للرعاية السكنية</t>
        </is>
      </c>
      <c r="E31" s="11" t="inlineStr">
        <is>
          <t>أعمال وتوريدات مناقصة رقم 2027/2026/1443 لصالح المؤسسة العامة للرعاية السكنية وفقاً للشروط والمواصفات المعتمدة في وثائق الطرح.</t>
        </is>
      </c>
      <c r="F31"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31" s="12" t="inlineStr">
        <is>
          <t>عام</t>
        </is>
      </c>
      <c r="H31" s="12" t="inlineStr">
        <is>
          <t>28.0%</t>
        </is>
      </c>
      <c r="I31" s="12" t="inlineStr">
        <is>
          <t>government</t>
        </is>
      </c>
      <c r="J31" s="12" t="inlineStr">
        <is>
          <t>2026-08-30</t>
        </is>
      </c>
      <c r="K31" s="12" t="inlineStr">
        <is>
          <t>2026-09-30</t>
        </is>
      </c>
      <c r="L31" s="12" t="inlineStr">
        <is>
          <t>500000.0</t>
        </is>
      </c>
      <c r="M31" s="12" t="inlineStr">
        <is>
          <t>3500.0</t>
        </is>
      </c>
      <c r="N31" s="21" t="inlineStr">
        <is>
          <t>NEW</t>
        </is>
      </c>
      <c r="O31" s="12" t="inlineStr">
        <is>
          <t>غير متوافقة مع اختصاصات KBM</t>
        </is>
      </c>
      <c r="P31" s="23">
        <f>HYPERLINK("https://kuwaitalyawm.media.gov.kw/Online/ViewAdsHTML?id=171709&amp;no=1", "عرض المصدر")</f>
        <v/>
      </c>
    </row>
    <row r="32">
      <c r="A32" s="13" t="inlineStr">
        <is>
          <t>2027/2026/1444</t>
        </is>
      </c>
      <c r="B32" s="13" t="inlineStr">
        <is>
          <t>المؤسسة العامة للرعاية السكنية</t>
        </is>
      </c>
      <c r="C32" s="13" t="inlineStr">
        <is>
          <t>Eiman Ashkanani</t>
        </is>
      </c>
      <c r="D32" s="13" t="inlineStr">
        <is>
          <t>مناقصة رقم 2027/2026/1444 - المؤسسة العامة للرعاية السكنية</t>
        </is>
      </c>
      <c r="E32" s="13" t="inlineStr">
        <is>
          <t>أعمال وتوريدات مناقصة رقم 2027/2026/1444 لصالح المؤسسة العامة للرعاية السكنية وفقاً للشروط والمواصفات المعتمدة في وثائق الطرح.</t>
        </is>
      </c>
      <c r="F32"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32" s="14" t="inlineStr">
        <is>
          <t>عام</t>
        </is>
      </c>
      <c r="H32" s="14" t="inlineStr">
        <is>
          <t>28.0%</t>
        </is>
      </c>
      <c r="I32" s="14" t="inlineStr">
        <is>
          <t>government</t>
        </is>
      </c>
      <c r="J32" s="14" t="inlineStr">
        <is>
          <t>2026-08-30</t>
        </is>
      </c>
      <c r="K32" s="14" t="inlineStr">
        <is>
          <t>2026-09-30</t>
        </is>
      </c>
      <c r="L32" s="14" t="inlineStr">
        <is>
          <t>500000.0</t>
        </is>
      </c>
      <c r="M32" s="14" t="inlineStr">
        <is>
          <t>3500.0</t>
        </is>
      </c>
      <c r="N32" s="21" t="inlineStr">
        <is>
          <t>NEW</t>
        </is>
      </c>
      <c r="O32" s="14" t="inlineStr">
        <is>
          <t>غير متوافقة مع اختصاصات KBM</t>
        </is>
      </c>
      <c r="P32" s="22">
        <f>HYPERLINK("https://kuwaitalyawm.media.gov.kw/Online/ViewAdsHTML?id=171710&amp;no=1", "عرض المصدر")</f>
        <v/>
      </c>
    </row>
    <row r="33">
      <c r="A33" s="11" t="inlineStr">
        <is>
          <t>2027/2026/1529</t>
        </is>
      </c>
      <c r="B33" s="11" t="inlineStr">
        <is>
          <t>المؤسسة العامة للرعاية السكنية</t>
        </is>
      </c>
      <c r="C33" s="11" t="inlineStr">
        <is>
          <t>Eiman Ashkanani</t>
        </is>
      </c>
      <c r="D33" s="11" t="inlineStr">
        <is>
          <t>مناقصة رقم 2027/2026/1529 - المؤسسة العامة للرعاية السكنية</t>
        </is>
      </c>
      <c r="E33" s="11" t="inlineStr">
        <is>
          <t>أعمال وتوريدات مناقصة رقم 2027/2026/1529 لصالح المؤسسة العامة للرعاية السكنية وفقاً للشروط والمواصفات المعتمدة في وثائق الطرح.</t>
        </is>
      </c>
      <c r="F33" s="11" t="inlineStr">
        <is>
          <t>• - ورقتا صيغة العطاء وإجمالي قيمة العطاء (نسخاً أصلية) مستكملة البيانات ومختومة وموقعة.</t>
        </is>
      </c>
      <c r="G33" s="12" t="inlineStr">
        <is>
          <t>عام</t>
        </is>
      </c>
      <c r="H33" s="12" t="inlineStr">
        <is>
          <t>0.0%</t>
        </is>
      </c>
      <c r="I33" s="12" t="inlineStr">
        <is>
          <t>government</t>
        </is>
      </c>
      <c r="J33" s="12" t="inlineStr">
        <is>
          <t>2026-09-13</t>
        </is>
      </c>
      <c r="K33" s="12" t="inlineStr">
        <is>
          <t>-</t>
        </is>
      </c>
      <c r="L33" s="12" t="inlineStr">
        <is>
          <t>6000.0</t>
        </is>
      </c>
      <c r="M33" s="12" t="inlineStr">
        <is>
          <t>150.0</t>
        </is>
      </c>
      <c r="N33" s="21" t="inlineStr">
        <is>
          <t>NEW</t>
        </is>
      </c>
      <c r="O33" s="12" t="inlineStr">
        <is>
          <t>غير متوافقة مع اختصاصات KBM</t>
        </is>
      </c>
      <c r="P33" s="23">
        <f>HYPERLINK("https://kuwaitalyawm.media.gov.kw/Online/ViewAdsHTML?id=170492&amp;no=1", "عرض المصدر")</f>
        <v/>
      </c>
    </row>
    <row r="34">
      <c r="A34" s="13" t="inlineStr">
        <is>
          <t>2027/2026/1526</t>
        </is>
      </c>
      <c r="B34" s="13" t="inlineStr">
        <is>
          <t>المؤسسة العامة للرعاية السكنية</t>
        </is>
      </c>
      <c r="C34" s="13" t="inlineStr">
        <is>
          <t>Eiman Ashkanani</t>
        </is>
      </c>
      <c r="D34" s="13" t="inlineStr">
        <is>
          <t>مناقصة رقم 2027/2026/1526 - المؤسسة العامة للرعاية السكنية</t>
        </is>
      </c>
      <c r="E34" s="13" t="inlineStr">
        <is>
          <t>أعمال وتوريدات مناقصة رقم 2027/2026/1526 لصالح المؤسسة العامة للرعاية السكنية وفقاً للشروط والمواصفات المعتمدة في وثائق الطرح.</t>
        </is>
      </c>
      <c r="F34" s="13"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34" s="14" t="inlineStr">
        <is>
          <t>عام</t>
        </is>
      </c>
      <c r="H34" s="14" t="inlineStr">
        <is>
          <t>28.0%</t>
        </is>
      </c>
      <c r="I34" s="14" t="inlineStr">
        <is>
          <t>government</t>
        </is>
      </c>
      <c r="J34" s="14" t="inlineStr">
        <is>
          <t>2026-09-13</t>
        </is>
      </c>
      <c r="K34" s="18" t="inlineStr">
        <is>
          <t>2026-10-11</t>
        </is>
      </c>
      <c r="L34" s="14" t="inlineStr">
        <is>
          <t>10000.0</t>
        </is>
      </c>
      <c r="M34" s="14" t="inlineStr">
        <is>
          <t>300.0</t>
        </is>
      </c>
      <c r="N34" s="21" t="inlineStr">
        <is>
          <t>NEW</t>
        </is>
      </c>
      <c r="O34" s="14" t="inlineStr">
        <is>
          <t>غير متوافقة مع اختصاصات KBM</t>
        </is>
      </c>
      <c r="P34" s="22">
        <f>HYPERLINK("https://kuwaitalyawm.media.gov.kw/Online/ViewAdsHTML?id=170493&amp;no=1", "عرض المصدر")</f>
        <v/>
      </c>
    </row>
    <row r="35">
      <c r="A35" s="11" t="inlineStr">
        <is>
          <t>2027/2026/1532</t>
        </is>
      </c>
      <c r="B35" s="11" t="inlineStr">
        <is>
          <t>المؤسسة العامة للرعاية السكنية</t>
        </is>
      </c>
      <c r="C35" s="11" t="inlineStr">
        <is>
          <t>Eiman Ashkanani</t>
        </is>
      </c>
      <c r="D35" s="11" t="inlineStr">
        <is>
          <t>مناقصة رقم 2027/2026/1532: تاريخ الإقفال وتقديم العطاءات: 24/9/2026 بدلا من 6/9/2026م.</t>
        </is>
      </c>
      <c r="E35" s="11" t="inlineStr">
        <is>
          <t>أعمال وتوريدات 24/9/2026 بدلا من 6/9/2026م. لصالح المؤسسة العامة للرعاية السكنية وفقاً للشروط والمواصفات المعتمدة في وثائق الطرح.</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28.0%</t>
        </is>
      </c>
      <c r="I35" s="12" t="inlineStr">
        <is>
          <t>government</t>
        </is>
      </c>
      <c r="J35" s="12" t="inlineStr">
        <is>
          <t>2026-09-06</t>
        </is>
      </c>
      <c r="K35" s="12" t="inlineStr">
        <is>
          <t>2026-09-24</t>
        </is>
      </c>
      <c r="L35" s="12" t="inlineStr">
        <is>
          <t>-</t>
        </is>
      </c>
      <c r="M35" s="12" t="inlineStr">
        <is>
          <t>-</t>
        </is>
      </c>
      <c r="N35" s="21" t="inlineStr">
        <is>
          <t>NEW</t>
        </is>
      </c>
      <c r="O35" s="12" t="inlineStr">
        <is>
          <t>غير متوافقة مع اختصاصات KBM</t>
        </is>
      </c>
      <c r="P35" s="23">
        <f>HYPERLINK("https://kuwaitalyawm.media.gov.kw/Online/ViewAdsHTML?id=169402&amp;no=1", "عرض المصدر")</f>
        <v/>
      </c>
    </row>
    <row r="36">
      <c r="A36" s="13" t="inlineStr">
        <is>
          <t>2027/2026/1302</t>
        </is>
      </c>
      <c r="B36" s="13" t="inlineStr">
        <is>
          <t>المؤسسة العامة للرعاية السكنية</t>
        </is>
      </c>
      <c r="C36" s="13" t="inlineStr">
        <is>
          <t>Eiman Ashkanani</t>
        </is>
      </c>
      <c r="D36" s="13" t="inlineStr">
        <is>
          <t>مناقصة رقم 2027/2026/1302: أعمال إنشاء وإنـجاز وصيانة طبقة الاسفلت السطحية</t>
        </is>
      </c>
      <c r="E36" s="13" t="inlineStr">
        <is>
          <t>تنفيذ الأعمال المدنية والإنشائية والترميم والصيانة العامة للمباني والمنشآت والمرافق التابعة للجهة.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28.0%</t>
        </is>
      </c>
      <c r="I36" s="14" t="inlineStr">
        <is>
          <t>government</t>
        </is>
      </c>
      <c r="J36" s="14" t="inlineStr">
        <is>
          <t>2026-08-23</t>
        </is>
      </c>
      <c r="K36" s="14" t="inlineStr">
        <is>
          <t>2026-09-13</t>
        </is>
      </c>
      <c r="L36" s="14" t="inlineStr">
        <is>
          <t>-</t>
        </is>
      </c>
      <c r="M36" s="14" t="inlineStr">
        <is>
          <t>-</t>
        </is>
      </c>
      <c r="N36" s="21" t="inlineStr">
        <is>
          <t>NEW</t>
        </is>
      </c>
      <c r="O36" s="14" t="inlineStr">
        <is>
          <t>غير متوافقة مع اختصاصات KBM</t>
        </is>
      </c>
      <c r="P36" s="22">
        <f>HYPERLINK("https://kuwaitalyawm.media.gov.kw/Online/ViewAdsHTML?id=167880&amp;no=1", "عرض المصدر")</f>
        <v/>
      </c>
    </row>
    <row r="37">
      <c r="A37" s="11" t="inlineStr">
        <is>
          <t>2027/2026/1434</t>
        </is>
      </c>
      <c r="B37" s="11" t="inlineStr">
        <is>
          <t>المؤسسة العامة للرعاية السكنية</t>
        </is>
      </c>
      <c r="C37" s="11" t="inlineStr">
        <is>
          <t>Eiman Ashkanani</t>
        </is>
      </c>
      <c r="D37" s="11" t="inlineStr">
        <is>
          <t>مناقصة رقم 2027/2026/1434 - المؤسسة العامة للرعاية السكنية</t>
        </is>
      </c>
      <c r="E37" s="11" t="inlineStr">
        <is>
          <t>أعمال وتوريدات مناقصة رقم 2027/2026/1434 لصالح المؤسسة العامة للرعاية السكنية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0.0%</t>
        </is>
      </c>
      <c r="I37" s="12" t="inlineStr">
        <is>
          <t>government</t>
        </is>
      </c>
      <c r="J37" s="12" t="inlineStr">
        <is>
          <t>2026-08-23</t>
        </is>
      </c>
      <c r="K37" s="12" t="inlineStr">
        <is>
          <t>2026-08-26</t>
        </is>
      </c>
      <c r="L37" s="12" t="inlineStr">
        <is>
          <t>-</t>
        </is>
      </c>
      <c r="M37" s="12" t="inlineStr">
        <is>
          <t>-</t>
        </is>
      </c>
      <c r="N37" s="21" t="inlineStr">
        <is>
          <t>NEW</t>
        </is>
      </c>
      <c r="O37" s="12" t="inlineStr">
        <is>
          <t>غير متوافقة مع اختصاصات KBM</t>
        </is>
      </c>
      <c r="P37" s="23">
        <f>HYPERLINK("https://kuwaitalyawm.media.gov.kw/Online/ViewAdsHTML?id=167881&amp;no=1", "عرض المصدر")</f>
        <v/>
      </c>
    </row>
    <row r="38">
      <c r="A38" s="13" t="inlineStr">
        <is>
          <t>2027/2026/1435</t>
        </is>
      </c>
      <c r="B38" s="13" t="inlineStr">
        <is>
          <t>المؤسسة العامة للرعاية السكنية</t>
        </is>
      </c>
      <c r="C38" s="13" t="inlineStr">
        <is>
          <t>Eiman Ashkanani</t>
        </is>
      </c>
      <c r="D38" s="13" t="inlineStr">
        <is>
          <t>مناقصة رقم 2027/2026/1435 - المؤسسة العامة للرعاية السكنية</t>
        </is>
      </c>
      <c r="E38" s="13" t="inlineStr">
        <is>
          <t>أعمال وتوريدات مناقصة رقم 2027/2026/1435 لصالح المؤسسة العامة للرعاية السكنية وفقاً للشروط والمواصفات المعتمدة في وثائق الطرح.</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0.0%</t>
        </is>
      </c>
      <c r="I38" s="14" t="inlineStr">
        <is>
          <t>government</t>
        </is>
      </c>
      <c r="J38" s="14" t="inlineStr">
        <is>
          <t>2026-08-23</t>
        </is>
      </c>
      <c r="K38" s="14" t="inlineStr">
        <is>
          <t>2026-08-26</t>
        </is>
      </c>
      <c r="L38" s="14" t="inlineStr">
        <is>
          <t>-</t>
        </is>
      </c>
      <c r="M38" s="14" t="inlineStr">
        <is>
          <t>-</t>
        </is>
      </c>
      <c r="N38" s="21" t="inlineStr">
        <is>
          <t>NEW</t>
        </is>
      </c>
      <c r="O38" s="14" t="inlineStr">
        <is>
          <t>غير متوافقة مع اختصاصات KBM</t>
        </is>
      </c>
      <c r="P38" s="22">
        <f>HYPERLINK("https://kuwaitalyawm.media.gov.kw/Online/ViewAdsHTML?id=167882&amp;no=1", "عرض المصدر")</f>
        <v/>
      </c>
    </row>
    <row r="39">
      <c r="A39" s="11" t="inlineStr">
        <is>
          <t>ه ز / م م/5/2026/2027</t>
        </is>
      </c>
      <c r="B39" s="11" t="inlineStr">
        <is>
          <t>الهيئة العامة لشؤون الزراعة والثروة السمكية</t>
        </is>
      </c>
      <c r="C39" s="11" t="inlineStr">
        <is>
          <t>Eiman Ashkanani</t>
        </is>
      </c>
      <c r="D39" s="11" t="inlineStr">
        <is>
          <t>تنفيذ و تطوير و صيانة الزراعات التجميلية و الري في الطرق السريعة و الخارجية (القطاع الشمالي)</t>
        </is>
      </c>
      <c r="E39" s="11"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2026-09-20</t>
        </is>
      </c>
      <c r="K39" s="12" t="inlineStr">
        <is>
          <t>2026-12-15</t>
        </is>
      </c>
      <c r="L39" s="12" t="inlineStr">
        <is>
          <t>23000.000 KWD</t>
        </is>
      </c>
      <c r="M39" s="12" t="inlineStr">
        <is>
          <t>1000.000 KWD</t>
        </is>
      </c>
      <c r="N39" s="26" t="inlineStr">
        <is>
          <t>UNCHANGED</t>
        </is>
      </c>
      <c r="O39" s="12" t="inlineStr">
        <is>
          <t>غير متوافقة مع اختصاصات KBM</t>
        </is>
      </c>
      <c r="P39" s="23">
        <f>HYPERLINK("https://capt.gov.kw/ar/tenders/opening-tenders/#card-2", "عرض المصدر")</f>
        <v/>
      </c>
    </row>
    <row r="40">
      <c r="A40" s="13" t="inlineStr">
        <is>
          <t>هـ ز / م م / 9/2025/2026</t>
        </is>
      </c>
      <c r="B40" s="13" t="inlineStr">
        <is>
          <t>الهيئة العامة لشؤون الزراعة والثروة السمكية</t>
        </is>
      </c>
      <c r="C40" s="13" t="inlineStr">
        <is>
          <t>Eiman Ashkanani</t>
        </is>
      </c>
      <c r="D40" s="13" t="inlineStr">
        <is>
          <t>شراء و توريد أغذية متنوعة لحديقة الحيوان بالعمرية</t>
        </is>
      </c>
      <c r="E40" s="13"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عام</t>
        </is>
      </c>
      <c r="H40" s="14" t="inlineStr">
        <is>
          <t>0.0%</t>
        </is>
      </c>
      <c r="I40" s="14" t="inlineStr">
        <is>
          <t>government</t>
        </is>
      </c>
      <c r="J40" s="14" t="inlineStr">
        <is>
          <t>2026-09-27</t>
        </is>
      </c>
      <c r="K40" s="14" t="inlineStr">
        <is>
          <t>2026-12-22</t>
        </is>
      </c>
      <c r="L40" s="14" t="inlineStr">
        <is>
          <t>7500.000 KWD</t>
        </is>
      </c>
      <c r="M40" s="14" t="inlineStr">
        <is>
          <t>1000.000 KWD</t>
        </is>
      </c>
      <c r="N40" s="26" t="inlineStr">
        <is>
          <t>UNCHANGED</t>
        </is>
      </c>
      <c r="O40" s="14" t="inlineStr">
        <is>
          <t>غير متوافقة مع اختصاصات KBM</t>
        </is>
      </c>
      <c r="P40" s="22">
        <f>HYPERLINK("https://capt.gov.kw/ar/tenders/opening-tenders/#card-7", "عرض المصدر")</f>
        <v/>
      </c>
    </row>
    <row r="41">
      <c r="A41" s="11" t="inlineStr">
        <is>
          <t>2030/2027/327</t>
        </is>
      </c>
      <c r="B41" s="11" t="inlineStr">
        <is>
          <t>الهيئة العامة للاستثمار</t>
        </is>
      </c>
      <c r="C41" s="11" t="inlineStr">
        <is>
          <t>Eiman Ashkanani</t>
        </is>
      </c>
      <c r="D41" s="11" t="inlineStr">
        <is>
          <t>ممارسة رقم 2030/2027/327: شراء جهاز توزيع الأحمال (App Load Balancer)</t>
        </is>
      </c>
      <c r="E41" s="11" t="inlineStr">
        <is>
          <t>أعمال وتوريدات شراء جهاز توزيع الأحمال (App Load Balancer) لصالح الهيئة العامة للاستثمار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2026-09-27</t>
        </is>
      </c>
      <c r="K41" s="12" t="inlineStr">
        <is>
          <t>-</t>
        </is>
      </c>
      <c r="L41" s="12" t="inlineStr">
        <is>
          <t>1500.0</t>
        </is>
      </c>
      <c r="M41" s="12" t="inlineStr">
        <is>
          <t>75.0</t>
        </is>
      </c>
      <c r="N41" s="21" t="inlineStr">
        <is>
          <t>NEW</t>
        </is>
      </c>
      <c r="O41" s="12" t="inlineStr">
        <is>
          <t>غير متوافقة مع اختصاصات KBM</t>
        </is>
      </c>
      <c r="P41" s="23">
        <f>HYPERLINK("https://kuwaitalyawm.media.gov.kw/Online/ViewAdsHTML?id=171676&amp;no=1", "عرض المصدر")</f>
        <v/>
      </c>
    </row>
    <row r="42">
      <c r="A42" s="13" t="inlineStr">
        <is>
          <t>2027/2026/3</t>
        </is>
      </c>
      <c r="B42" s="13" t="inlineStr">
        <is>
          <t>الهيئة العامة للبيئة</t>
        </is>
      </c>
      <c r="C42" s="13" t="inlineStr">
        <is>
          <t>Eiman Ashkanani</t>
        </is>
      </c>
      <c r="D42" s="13" t="inlineStr">
        <is>
          <t>ممارسة رقم 2027/2026/3: توفير خدمات تقنية المعلومات والصيانة والدعم الفني</t>
        </is>
      </c>
      <c r="E42"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24" t="inlineStr">
        <is>
          <t>قطاع العمليات المدارة والدعم الفني متعدد الموردين</t>
        </is>
      </c>
      <c r="H42" s="14" t="inlineStr">
        <is>
          <t>64.0%</t>
        </is>
      </c>
      <c r="I42" s="14" t="inlineStr">
        <is>
          <t>government</t>
        </is>
      </c>
      <c r="J42" s="14" t="inlineStr">
        <is>
          <t>2026-09-27</t>
        </is>
      </c>
      <c r="K42" s="14" t="inlineStr">
        <is>
          <t>2026-10-27</t>
        </is>
      </c>
      <c r="L42" s="14" t="inlineStr">
        <is>
          <t>-</t>
        </is>
      </c>
      <c r="M42" s="14" t="inlineStr">
        <is>
          <t>30.0</t>
        </is>
      </c>
      <c r="N42" s="21" t="inlineStr">
        <is>
          <t>NEW</t>
        </is>
      </c>
      <c r="O42" s="14" t="inlineStr">
        <is>
          <t>فرصة ICT متوافقة مع قدرات KBM</t>
        </is>
      </c>
      <c r="P42" s="22">
        <f>HYPERLINK("https://kuwaitalyawm.media.gov.kw/Online/ViewAdsHTML?id=171677&amp;no=1", "عرض المصدر")</f>
        <v/>
      </c>
    </row>
    <row r="43">
      <c r="A43" s="11" t="inlineStr">
        <is>
          <t>2027/2026/17</t>
        </is>
      </c>
      <c r="B43" s="11" t="inlineStr">
        <is>
          <t>الهيئة العامة للتعليم التطبيقي والتدريب</t>
        </is>
      </c>
      <c r="C43" s="11" t="inlineStr">
        <is>
          <t>Eiman Ashkanani</t>
        </is>
      </c>
      <c r="D43" s="11" t="inlineStr">
        <is>
          <t>ممارسة رقم 2027/2026/17 - الهيئة العامة للتعليم التطبيقي والتدريب</t>
        </is>
      </c>
      <c r="E43" s="11" t="inlineStr">
        <is>
          <t>توريد المستلزمات والمواد والمستهلكات الطبية أو المخبرية المتخصصة لصالح المرافق الصحية.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2026-09-27</t>
        </is>
      </c>
      <c r="K43" s="12" t="inlineStr">
        <is>
          <t>-</t>
        </is>
      </c>
      <c r="L43" s="12" t="inlineStr">
        <is>
          <t>-</t>
        </is>
      </c>
      <c r="M43" s="12" t="inlineStr">
        <is>
          <t>75.0</t>
        </is>
      </c>
      <c r="N43" s="21" t="inlineStr">
        <is>
          <t>NEW</t>
        </is>
      </c>
      <c r="O43" s="12" t="inlineStr">
        <is>
          <t>غير متوافقة مع اختصاصات KBM</t>
        </is>
      </c>
      <c r="P43" s="23">
        <f>HYPERLINK("https://kuwaitalyawm.media.gov.kw/Online/ViewAdsHTML?id=171680&amp;no=1", "عرض المصدر")</f>
        <v/>
      </c>
    </row>
    <row r="44">
      <c r="A44" s="13" t="inlineStr">
        <is>
          <t>2027/2026/27</t>
        </is>
      </c>
      <c r="B44" s="13" t="inlineStr">
        <is>
          <t>الهيئة العامة للتعليم التطبيقي والتدريب</t>
        </is>
      </c>
      <c r="C44" s="13" t="inlineStr">
        <is>
          <t>Eiman Ashkanani</t>
        </is>
      </c>
      <c r="D44"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44"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2026-09-27</t>
        </is>
      </c>
      <c r="K44" s="14" t="inlineStr">
        <is>
          <t>-</t>
        </is>
      </c>
      <c r="L44" s="14" t="inlineStr">
        <is>
          <t>-</t>
        </is>
      </c>
      <c r="M44" s="14" t="inlineStr">
        <is>
          <t>75.0</t>
        </is>
      </c>
      <c r="N44" s="21" t="inlineStr">
        <is>
          <t>NEW</t>
        </is>
      </c>
      <c r="O44" s="14" t="inlineStr">
        <is>
          <t>غير متوافقة مع اختصاصات KBM</t>
        </is>
      </c>
      <c r="P44" s="22">
        <f>HYPERLINK("https://kuwaitalyawm.media.gov.kw/Online/ViewAdsHTML?id=171681&amp;no=1", "عرض المصدر")</f>
        <v/>
      </c>
    </row>
    <row r="45">
      <c r="A45" s="11" t="inlineStr">
        <is>
          <t>2027/2026/38</t>
        </is>
      </c>
      <c r="B45" s="11" t="inlineStr">
        <is>
          <t>الهيئة العامة للتعليم التطبيقي والتدريب</t>
        </is>
      </c>
      <c r="C45" s="11" t="inlineStr">
        <is>
          <t>Eiman Ashkanani</t>
        </is>
      </c>
      <c r="D45"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45"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24.0%</t>
        </is>
      </c>
      <c r="I45" s="12" t="inlineStr">
        <is>
          <t>government</t>
        </is>
      </c>
      <c r="J45" s="12" t="inlineStr">
        <is>
          <t>2026-09-27</t>
        </is>
      </c>
      <c r="K45" s="12" t="inlineStr">
        <is>
          <t>-</t>
        </is>
      </c>
      <c r="L45" s="12" t="inlineStr">
        <is>
          <t>-</t>
        </is>
      </c>
      <c r="M45" s="12" t="inlineStr">
        <is>
          <t>75.0</t>
        </is>
      </c>
      <c r="N45" s="21" t="inlineStr">
        <is>
          <t>NEW</t>
        </is>
      </c>
      <c r="O45" s="12" t="inlineStr">
        <is>
          <t>غير متوافقة مع اختصاصات KBM</t>
        </is>
      </c>
      <c r="P45" s="23">
        <f>HYPERLINK("https://kuwaitalyawm.media.gov.kw/Online/ViewAdsHTML?id=171682&amp;no=1", "عرض المصدر")</f>
        <v/>
      </c>
    </row>
    <row r="46">
      <c r="A46" s="13" t="inlineStr">
        <is>
          <t>2027/2026/40</t>
        </is>
      </c>
      <c r="B46" s="13" t="inlineStr">
        <is>
          <t>الهيئة العامة للتعليم التطبيقي والتدريب</t>
        </is>
      </c>
      <c r="C46" s="13" t="inlineStr">
        <is>
          <t>Eiman Ashkanani</t>
        </is>
      </c>
      <c r="D46"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4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6" s="14" t="inlineStr">
        <is>
          <t>عام</t>
        </is>
      </c>
      <c r="H46" s="14" t="inlineStr">
        <is>
          <t>24.0%</t>
        </is>
      </c>
      <c r="I46" s="14" t="inlineStr">
        <is>
          <t>government</t>
        </is>
      </c>
      <c r="J46" s="14" t="inlineStr">
        <is>
          <t>2026-09-27</t>
        </is>
      </c>
      <c r="K46" s="14" t="inlineStr">
        <is>
          <t>-</t>
        </is>
      </c>
      <c r="L46" s="14" t="inlineStr">
        <is>
          <t>-</t>
        </is>
      </c>
      <c r="M46" s="14" t="inlineStr">
        <is>
          <t>75.0</t>
        </is>
      </c>
      <c r="N46" s="21" t="inlineStr">
        <is>
          <t>NEW</t>
        </is>
      </c>
      <c r="O46" s="14" t="inlineStr">
        <is>
          <t>غير متوافقة مع اختصاصات KBM</t>
        </is>
      </c>
      <c r="P46" s="22">
        <f>HYPERLINK("https://kuwaitalyawm.media.gov.kw/Online/ViewAdsHTML?id=171683&amp;no=1", "عرض المصدر")</f>
        <v/>
      </c>
    </row>
    <row r="47">
      <c r="A47" s="11" t="inlineStr">
        <is>
          <t>هـ ع ص / 9 / 2024-2027</t>
        </is>
      </c>
      <c r="B47" s="11" t="inlineStr">
        <is>
          <t>الهيئة العامة للصناعة</t>
        </is>
      </c>
      <c r="C47" s="11" t="inlineStr">
        <is>
          <t>Eiman Ashkanani</t>
        </is>
      </c>
      <c r="D47"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7"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7" s="24" t="inlineStr">
        <is>
          <t>عام</t>
        </is>
      </c>
      <c r="H47" s="12" t="inlineStr">
        <is>
          <t>0.0%</t>
        </is>
      </c>
      <c r="I47" s="12" t="inlineStr">
        <is>
          <t>government</t>
        </is>
      </c>
      <c r="J47" s="12" t="inlineStr">
        <is>
          <t>2026-08-23</t>
        </is>
      </c>
      <c r="K47" s="12" t="inlineStr">
        <is>
          <t>2026-10-20</t>
        </is>
      </c>
      <c r="L47" s="12" t="inlineStr">
        <is>
          <t>23000.000 KWD</t>
        </is>
      </c>
      <c r="M47" s="12" t="inlineStr">
        <is>
          <t>1000.000 KWD</t>
        </is>
      </c>
      <c r="N47" s="21" t="inlineStr">
        <is>
          <t>NEW</t>
        </is>
      </c>
      <c r="O47" s="12" t="inlineStr">
        <is>
          <t>غير متوافقة مع اختصاصات KBM</t>
        </is>
      </c>
      <c r="P47" s="23">
        <f>HYPERLINK("https://capt.gov.kw/ar/tenders/opening-tenders/#card-3", "عرض المصدر")</f>
        <v/>
      </c>
    </row>
    <row r="48">
      <c r="A48" s="13" t="inlineStr">
        <is>
          <t>14/2024</t>
        </is>
      </c>
      <c r="B48" s="13" t="inlineStr">
        <is>
          <t>الهيئة العامة للصناعة</t>
        </is>
      </c>
      <c r="C48" s="13" t="inlineStr">
        <is>
          <t>Eiman Ashkanani</t>
        </is>
      </c>
      <c r="D48" s="13" t="inlineStr">
        <is>
          <t>المناقصة رقم (هـ ع ص/2024/14) بشأن صيانة وتطوير وتشغيل وضمان أنظمة (المشاريع - العقود - المواصفات) بالهيئة العامة للصناعة</t>
        </is>
      </c>
      <c r="E48" s="13"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8" s="24" t="inlineStr">
        <is>
          <t>عام</t>
        </is>
      </c>
      <c r="H48" s="14" t="inlineStr">
        <is>
          <t>0.0%</t>
        </is>
      </c>
      <c r="I48" s="14" t="inlineStr">
        <is>
          <t>government</t>
        </is>
      </c>
      <c r="J48" s="14" t="inlineStr">
        <is>
          <t>2026-09-06</t>
        </is>
      </c>
      <c r="K48" s="14" t="inlineStr">
        <is>
          <t>2026-11-03</t>
        </is>
      </c>
      <c r="L48" s="14" t="inlineStr">
        <is>
          <t>23000.000 KWD</t>
        </is>
      </c>
      <c r="M48" s="14" t="inlineStr">
        <is>
          <t>1000.000 KWD</t>
        </is>
      </c>
      <c r="N48" s="21" t="inlineStr">
        <is>
          <t>NEW</t>
        </is>
      </c>
      <c r="O48" s="14" t="inlineStr">
        <is>
          <t>غير متوافقة مع اختصاصات KBM</t>
        </is>
      </c>
      <c r="P48" s="22">
        <f>HYPERLINK("https://capt.gov.kw/ar/tenders/opening-tenders/#card-4", "عرض المصدر")</f>
        <v/>
      </c>
    </row>
    <row r="49">
      <c r="A49" s="11" t="inlineStr">
        <is>
          <t>2027/2026/11</t>
        </is>
      </c>
      <c r="B49" s="11" t="inlineStr">
        <is>
          <t>الهيئة العامة للطيران المدني</t>
        </is>
      </c>
      <c r="C49" s="11" t="inlineStr">
        <is>
          <t>Eiman Ashkanani</t>
        </is>
      </c>
      <c r="D49"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9"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9" s="12" t="inlineStr">
        <is>
          <t>عام</t>
        </is>
      </c>
      <c r="H49" s="12" t="inlineStr">
        <is>
          <t>0.0%</t>
        </is>
      </c>
      <c r="I49" s="12" t="inlineStr">
        <is>
          <t>government</t>
        </is>
      </c>
      <c r="J49" s="12" t="inlineStr">
        <is>
          <t>2026-09-27</t>
        </is>
      </c>
      <c r="K49" s="12" t="inlineStr">
        <is>
          <t>-</t>
        </is>
      </c>
      <c r="L49" s="12" t="inlineStr">
        <is>
          <t>-</t>
        </is>
      </c>
      <c r="M49" s="12" t="inlineStr">
        <is>
          <t>-</t>
        </is>
      </c>
      <c r="N49" s="21" t="inlineStr">
        <is>
          <t>NEW</t>
        </is>
      </c>
      <c r="O49" s="12" t="inlineStr">
        <is>
          <t>غير متوافقة مع اختصاصات KBM</t>
        </is>
      </c>
      <c r="P49" s="23">
        <f>HYPERLINK("https://kuwaitalyawm.media.gov.kw/Online/ViewAdsHTML?id=171690&amp;no=1", "عرض المصدر")</f>
        <v/>
      </c>
    </row>
    <row r="50">
      <c r="A50" s="13" t="inlineStr">
        <is>
          <t>2027/2026/15</t>
        </is>
      </c>
      <c r="B50" s="13" t="inlineStr">
        <is>
          <t>الهيئة العامة للطيران المدني</t>
        </is>
      </c>
      <c r="C50" s="13" t="inlineStr">
        <is>
          <t>Eiman Ashkanani</t>
        </is>
      </c>
      <c r="D50" s="13" t="inlineStr">
        <is>
          <t>ممارسة رقم 2027/2026/15: ممارسة تطوير وصيانة أنظمة وأجهزة الحضور</t>
        </is>
      </c>
      <c r="E50"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50" s="13" t="inlineStr">
        <is>
          <t>• علماً بأن آخر موعد لتقديم العروض هو الساعة (الواحدة ظهراً) من يوم (الأربعاء) الموافق (21/10/2026) ويرفض أي عرض بعد هذا الموعد.</t>
        </is>
      </c>
      <c r="G50" s="14" t="inlineStr">
        <is>
          <t>قطاع العمليات المدارة والدعم الفني متعدد الموردين</t>
        </is>
      </c>
      <c r="H50" s="14" t="inlineStr">
        <is>
          <t>49.0%</t>
        </is>
      </c>
      <c r="I50" s="14" t="inlineStr">
        <is>
          <t>government</t>
        </is>
      </c>
      <c r="J50" s="14" t="inlineStr">
        <is>
          <t>2026-09-27</t>
        </is>
      </c>
      <c r="K50" s="14" t="inlineStr">
        <is>
          <t>2026-10-21</t>
        </is>
      </c>
      <c r="L50" s="14" t="inlineStr">
        <is>
          <t>-</t>
        </is>
      </c>
      <c r="M50" s="14" t="inlineStr">
        <is>
          <t>75.0</t>
        </is>
      </c>
      <c r="N50" s="21" t="inlineStr">
        <is>
          <t>NEW</t>
        </is>
      </c>
      <c r="O50" s="14" t="inlineStr">
        <is>
          <t>فرصة تتطلب شراكة أو دراسة نطاق</t>
        </is>
      </c>
      <c r="P50" s="22">
        <f>HYPERLINK("https://kuwaitalyawm.media.gov.kw/Online/ViewAdsHTML?id=171693&amp;no=1", "عرض المصدر")</f>
        <v/>
      </c>
    </row>
    <row r="51">
      <c r="A51" s="11" t="inlineStr">
        <is>
          <t>2027/2026/9</t>
        </is>
      </c>
      <c r="B51" s="11" t="inlineStr">
        <is>
          <t>الهيئة العامة للمعلومات المدنية</t>
        </is>
      </c>
      <c r="C51" s="11" t="inlineStr">
        <is>
          <t>Raed Obeid</t>
        </is>
      </c>
      <c r="D51" s="11" t="inlineStr">
        <is>
          <t>ممارسة رقم 2027/2026/9: بشـأن صيانة المعدات الميكانيكية والكهربائية بالهيئة</t>
        </is>
      </c>
      <c r="E5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15.0%</t>
        </is>
      </c>
      <c r="I51" s="12" t="inlineStr">
        <is>
          <t>government</t>
        </is>
      </c>
      <c r="J51" s="12" t="inlineStr">
        <is>
          <t>2026-09-27</t>
        </is>
      </c>
      <c r="K51" s="12" t="inlineStr">
        <is>
          <t>-</t>
        </is>
      </c>
      <c r="L51" s="12" t="inlineStr">
        <is>
          <t>-</t>
        </is>
      </c>
      <c r="M51" s="12" t="inlineStr">
        <is>
          <t>50.0</t>
        </is>
      </c>
      <c r="N51" s="21" t="inlineStr">
        <is>
          <t>NEW</t>
        </is>
      </c>
      <c r="O51" s="12" t="inlineStr">
        <is>
          <t>غير متوافقة مع اختصاصات KBM</t>
        </is>
      </c>
      <c r="P51" s="23">
        <f>HYPERLINK("https://kuwaitalyawm.media.gov.kw/Online/ViewAdsHTML?id=171695&amp;no=1", "عرض المصدر")</f>
        <v/>
      </c>
    </row>
    <row r="52">
      <c r="A52" s="13" t="inlineStr">
        <is>
          <t>2027/2026/6</t>
        </is>
      </c>
      <c r="B52" s="13" t="inlineStr">
        <is>
          <t>بنك الائتمان الكويتي</t>
        </is>
      </c>
      <c r="C52" s="13" t="inlineStr">
        <is>
          <t>Eiman Ashkanani</t>
        </is>
      </c>
      <c r="D52"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2"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52"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52" s="14" t="inlineStr">
        <is>
          <t>عام</t>
        </is>
      </c>
      <c r="H52" s="14" t="inlineStr">
        <is>
          <t>0.0%</t>
        </is>
      </c>
      <c r="I52" s="14" t="inlineStr">
        <is>
          <t>government</t>
        </is>
      </c>
      <c r="J52" s="14" t="inlineStr">
        <is>
          <t>2026-09-27</t>
        </is>
      </c>
      <c r="K52" s="14" t="inlineStr">
        <is>
          <t>2026-10-26</t>
        </is>
      </c>
      <c r="L52" s="14" t="inlineStr">
        <is>
          <t>2000.0</t>
        </is>
      </c>
      <c r="M52" s="14" t="inlineStr">
        <is>
          <t>20.0</t>
        </is>
      </c>
      <c r="N52" s="21" t="inlineStr">
        <is>
          <t>NEW</t>
        </is>
      </c>
      <c r="O52" s="14" t="inlineStr">
        <is>
          <t>غير متوافقة مع اختصاصات KBM</t>
        </is>
      </c>
      <c r="P52" s="22">
        <f>HYPERLINK("https://kuwaitalyawm.media.gov.kw/Online/ViewAdsHTML?id=171559&amp;no=1", "عرض المصدر")</f>
        <v/>
      </c>
    </row>
    <row r="53">
      <c r="A53" s="11" t="inlineStr">
        <is>
          <t>2027/2026/13</t>
        </is>
      </c>
      <c r="B53" s="11" t="inlineStr">
        <is>
          <t>بنك الائتمان الكويتي</t>
        </is>
      </c>
      <c r="C53" s="11" t="inlineStr">
        <is>
          <t>Eiman Ashkanani</t>
        </is>
      </c>
      <c r="D53"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3"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53"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53" s="12" t="inlineStr">
        <is>
          <t>عام</t>
        </is>
      </c>
      <c r="H53" s="12" t="inlineStr">
        <is>
          <t>0.0%</t>
        </is>
      </c>
      <c r="I53" s="12" t="inlineStr">
        <is>
          <t>government</t>
        </is>
      </c>
      <c r="J53" s="12" t="inlineStr">
        <is>
          <t>2026-09-27</t>
        </is>
      </c>
      <c r="K53" s="12" t="inlineStr">
        <is>
          <t>-</t>
        </is>
      </c>
      <c r="L53" s="12" t="inlineStr">
        <is>
          <t>2000.0</t>
        </is>
      </c>
      <c r="M53" s="12" t="inlineStr">
        <is>
          <t>20.0</t>
        </is>
      </c>
      <c r="N53" s="21" t="inlineStr">
        <is>
          <t>NEW</t>
        </is>
      </c>
      <c r="O53" s="12" t="inlineStr">
        <is>
          <t>غير متوافقة مع اختصاصات KBM</t>
        </is>
      </c>
      <c r="P53" s="23">
        <f>HYPERLINK("https://kuwaitalyawm.media.gov.kw/Online/ViewAdsHTML?id=171679&amp;no=1", "عرض المصدر")</f>
        <v/>
      </c>
    </row>
    <row r="54">
      <c r="A54" s="13" t="inlineStr">
        <is>
          <t>2026/16</t>
        </is>
      </c>
      <c r="B54" s="13" t="inlineStr">
        <is>
          <t>بيت الزكـاة</t>
        </is>
      </c>
      <c r="C54" s="13" t="inlineStr">
        <is>
          <t>Eiman Ashkanani</t>
        </is>
      </c>
      <c r="D54" s="13" t="inlineStr">
        <is>
          <t>ممارسة رقم 2026/16: توفير خدمات إنشاء وتطوير وصيانة أنظمة أوراكل</t>
        </is>
      </c>
      <c r="E54"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54" s="13" t="inlineStr">
        <is>
          <t>• https://www.zakathouse.org.kw/tender.aspx</t>
        </is>
      </c>
      <c r="G54" s="24" t="inlineStr">
        <is>
          <t>قطاع العمليات المدارة والدعم الفني متعدد الموردين</t>
        </is>
      </c>
      <c r="H54" s="14" t="inlineStr">
        <is>
          <t>84.0%</t>
        </is>
      </c>
      <c r="I54" s="14" t="inlineStr">
        <is>
          <t>government</t>
        </is>
      </c>
      <c r="J54" s="14" t="inlineStr">
        <is>
          <t>2026-09-27</t>
        </is>
      </c>
      <c r="K54" s="14" t="inlineStr">
        <is>
          <t>-</t>
        </is>
      </c>
      <c r="L54" s="14" t="inlineStr">
        <is>
          <t>-</t>
        </is>
      </c>
      <c r="M54" s="14" t="inlineStr">
        <is>
          <t>75.0</t>
        </is>
      </c>
      <c r="N54" s="21" t="inlineStr">
        <is>
          <t>NEW</t>
        </is>
      </c>
      <c r="O54" s="14" t="inlineStr">
        <is>
          <t>فرصة استراتيجية رئيسية (موصى بالتقديم)</t>
        </is>
      </c>
      <c r="P54" s="22">
        <f>HYPERLINK("https://kuwaitalyawm.media.gov.kw/Online/ViewAdsHTML?id=171714&amp;no=1", "عرض المصدر")</f>
        <v/>
      </c>
    </row>
    <row r="55">
      <c r="A55" s="11" t="inlineStr">
        <is>
          <t>72-516</t>
        </is>
      </c>
      <c r="B55" s="11" t="inlineStr">
        <is>
          <t>جامعة الكويت</t>
        </is>
      </c>
      <c r="C55" s="11" t="inlineStr">
        <is>
          <t>Eiman Ashkanani</t>
        </is>
      </c>
      <c r="D55" s="11" t="inlineStr">
        <is>
          <t>ممارسة رقم 72/2026-2027: صيانة أجهزة التعرف على الوجه والأجهزة العلمية بمراكز عمل جامعة الكويت</t>
        </is>
      </c>
      <c r="E55" s="11" t="inlineStr">
        <is>
          <t>صيانة دورية ودعم فني لأجهزة التحقق البيومتري والتعرف على الوجه (Face Recognition Systems) والأجهزة التابعة لها بجامعة الكويت.</t>
        </is>
      </c>
      <c r="F55" s="11" t="inlineStr">
        <is>
          <t>• بيع الوثائق 75 د.ك، تأمين أولي 2% من قيمة العطاء، إغلاق 20/10/2026 بمقر الجامعة بالشدادية.</t>
        </is>
      </c>
      <c r="G55" s="24" t="inlineStr">
        <is>
          <t>قطاع الأمن السيبراني والدفاع الرقمي</t>
        </is>
      </c>
      <c r="H55" s="12" t="inlineStr">
        <is>
          <t>55.0%</t>
        </is>
      </c>
      <c r="I55" s="12" t="inlineStr">
        <is>
          <t>government</t>
        </is>
      </c>
      <c r="J55" s="12" t="inlineStr">
        <is>
          <t>2026-09-27</t>
        </is>
      </c>
      <c r="K55" s="12" t="inlineStr">
        <is>
          <t>2026-10-20</t>
        </is>
      </c>
      <c r="L55" s="12" t="inlineStr">
        <is>
          <t>2000.0</t>
        </is>
      </c>
      <c r="M55" s="12" t="inlineStr">
        <is>
          <t>75.0</t>
        </is>
      </c>
      <c r="N55" s="21" t="inlineStr">
        <is>
          <t>NEW</t>
        </is>
      </c>
      <c r="O55" s="12" t="inlineStr">
        <is>
          <t>فرصة محتملة</t>
        </is>
      </c>
      <c r="P55" s="23">
        <f>HYPERLINK("https://kuwaitalyawm.media.gov.kw/Online/ViewAdsHTML?id=171702&amp;no=1", "عرض المصدر")</f>
        <v/>
      </c>
    </row>
    <row r="56">
      <c r="A56" s="13" t="inlineStr">
        <is>
          <t>2027/2026/536</t>
        </is>
      </c>
      <c r="B56" s="13" t="inlineStr">
        <is>
          <t>جامعة الكويت</t>
        </is>
      </c>
      <c r="C56" s="13" t="inlineStr">
        <is>
          <t>Eiman Ashkanani</t>
        </is>
      </c>
      <c r="D56" s="13" t="inlineStr">
        <is>
          <t>ممارسة رقم 2027/2026/536 - جامعة الكويت</t>
        </is>
      </c>
      <c r="E56" s="13" t="inlineStr">
        <is>
          <t>أعمال وتوريدات ممارسة رقم 2027/2026/536 لصالح جامعة الكويت وفقاً للشروط والمواصفات المعتمدة في وثائق الطرح.</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14" t="inlineStr">
        <is>
          <t>عام</t>
        </is>
      </c>
      <c r="H56" s="14" t="inlineStr">
        <is>
          <t>15.0%</t>
        </is>
      </c>
      <c r="I56" s="14" t="inlineStr">
        <is>
          <t>government</t>
        </is>
      </c>
      <c r="J56" s="14" t="inlineStr">
        <is>
          <t>2026-09-27</t>
        </is>
      </c>
      <c r="K56" s="14" t="inlineStr">
        <is>
          <t>2026-10-27</t>
        </is>
      </c>
      <c r="L56" s="14" t="inlineStr">
        <is>
          <t>2.0</t>
        </is>
      </c>
      <c r="M56" s="14" t="inlineStr">
        <is>
          <t>75.0</t>
        </is>
      </c>
      <c r="N56" s="21" t="inlineStr">
        <is>
          <t>NEW</t>
        </is>
      </c>
      <c r="O56" s="14" t="inlineStr">
        <is>
          <t>غير متوافقة مع اختصاصات KBM</t>
        </is>
      </c>
      <c r="P56" s="22">
        <f>HYPERLINK("https://kuwaitalyawm.media.gov.kw/Online/ViewAdsHTML?id=171703&amp;no=1", "عرض المصدر")</f>
        <v/>
      </c>
    </row>
    <row r="57">
      <c r="A57" s="11" t="inlineStr">
        <is>
          <t>2027/2026/537</t>
        </is>
      </c>
      <c r="B57" s="11" t="inlineStr">
        <is>
          <t>جامعة الكويت</t>
        </is>
      </c>
      <c r="C57" s="11" t="inlineStr">
        <is>
          <t>Eiman Ashkanani</t>
        </is>
      </c>
      <c r="D57" s="11" t="inlineStr">
        <is>
          <t>ممارسة رقم 2027/2026/537 - جامعة الكويت</t>
        </is>
      </c>
      <c r="E57" s="11" t="inlineStr">
        <is>
          <t>أعمال وتوريدات ممارسة رقم 2027/2026/537 لصالح جامعة الكويت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2026-09-27</t>
        </is>
      </c>
      <c r="K57" s="12" t="inlineStr">
        <is>
          <t>2026-10-27</t>
        </is>
      </c>
      <c r="L57" s="12" t="inlineStr">
        <is>
          <t>2000.0</t>
        </is>
      </c>
      <c r="M57" s="12" t="inlineStr">
        <is>
          <t>75.0</t>
        </is>
      </c>
      <c r="N57" s="21" t="inlineStr">
        <is>
          <t>NEW</t>
        </is>
      </c>
      <c r="O57" s="12" t="inlineStr">
        <is>
          <t>غير متوافقة مع اختصاصات KBM</t>
        </is>
      </c>
      <c r="P57" s="23">
        <f>HYPERLINK("https://kuwaitalyawm.media.gov.kw/Online/ViewAdsHTML?id=171704&amp;no=1", "عرض المصدر")</f>
        <v/>
      </c>
    </row>
    <row r="58">
      <c r="A58" s="13" t="inlineStr">
        <is>
          <t>2027/2026/14</t>
        </is>
      </c>
      <c r="B58" s="13" t="inlineStr">
        <is>
          <t>جهاز المسؤولية الطبية</t>
        </is>
      </c>
      <c r="C58" s="13" t="inlineStr">
        <is>
          <t>Eiman Ashkanani</t>
        </is>
      </c>
      <c r="D58" s="13" t="inlineStr">
        <is>
          <t>ممارسة رقم 2027/2026/14: يعلن جهاز المسؤولية الطبية عن طرح ممارسة14/2026/2027 تقديم خدمات استشارية في مجال نظم المعلومات وفقًا للبيانات التالية:</t>
        </is>
      </c>
      <c r="E58" s="13" t="inlineStr">
        <is>
          <t>تنفيذ أعمال يعلن جهاز المسؤولية الطبية عن طرح ممارسة14/2026/2027 تقديم خدمات استشارية في مجال نظم المعلومات وفقًا للبيانات التالية:، وتوفير كافة الأجهزة والمعدات والأنظمة وخدمات الدعم الفني والضمان وفقاً لكراسة الشروط والمواصفات الفنية.</t>
        </is>
      </c>
      <c r="F58" s="13" t="inlineStr">
        <is>
          <t>• علماً بأن آخر موعد لتقديم العروض هو الساعة (الواحدة ظهراً) من يوم (الأربعاء) الموافق (28/10/2026) ويرفض أي عرض بعد هذا الموعد.</t>
        </is>
      </c>
      <c r="G58" s="14" t="inlineStr">
        <is>
          <t>عام</t>
        </is>
      </c>
      <c r="H58" s="14" t="inlineStr">
        <is>
          <t>0.0%</t>
        </is>
      </c>
      <c r="I58" s="14" t="inlineStr">
        <is>
          <t>government</t>
        </is>
      </c>
      <c r="J58" s="14" t="inlineStr">
        <is>
          <t>2026-09-27</t>
        </is>
      </c>
      <c r="K58" s="18" t="inlineStr">
        <is>
          <t>2026-10-11</t>
        </is>
      </c>
      <c r="L58" s="14" t="inlineStr">
        <is>
          <t>2.0</t>
        </is>
      </c>
      <c r="M58" s="14" t="inlineStr">
        <is>
          <t>75.0</t>
        </is>
      </c>
      <c r="N58" s="21" t="inlineStr">
        <is>
          <t>NEW</t>
        </is>
      </c>
      <c r="O58" s="14" t="inlineStr">
        <is>
          <t>غير متوافقة مع اختصاصات KBM</t>
        </is>
      </c>
      <c r="P58" s="22">
        <f>HYPERLINK("https://kuwaitalyawm.media.gov.kw/Online/ViewAdsHTML?id=171692&amp;no=1", "عرض المصدر")</f>
        <v/>
      </c>
    </row>
    <row r="59">
      <c r="A59" s="11" t="inlineStr">
        <is>
          <t>5/2025-2026</t>
        </is>
      </c>
      <c r="B59" s="11" t="inlineStr">
        <is>
          <t>ديوان المحاسبة</t>
        </is>
      </c>
      <c r="C59" s="11" t="inlineStr">
        <is>
          <t>Eiman Ashkanani</t>
        </is>
      </c>
      <c r="D59"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9"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24" t="inlineStr">
        <is>
          <t>عام</t>
        </is>
      </c>
      <c r="H59" s="12" t="inlineStr">
        <is>
          <t>24.0%</t>
        </is>
      </c>
      <c r="I59" s="12" t="inlineStr">
        <is>
          <t>government</t>
        </is>
      </c>
      <c r="J59" s="12" t="inlineStr">
        <is>
          <t>2026-09-06</t>
        </is>
      </c>
      <c r="K59" s="12" t="inlineStr">
        <is>
          <t>2026-10-27</t>
        </is>
      </c>
      <c r="L59" s="12" t="inlineStr">
        <is>
          <t>3500.000 KWD</t>
        </is>
      </c>
      <c r="M59" s="12" t="inlineStr">
        <is>
          <t>150.000 KWD</t>
        </is>
      </c>
      <c r="N59" s="21" t="inlineStr">
        <is>
          <t>NEW</t>
        </is>
      </c>
      <c r="O59" s="12" t="inlineStr">
        <is>
          <t>غير متوافقة مع اختصاصات KBM</t>
        </is>
      </c>
      <c r="P59" s="23">
        <f>HYPERLINK("https://capt.gov.kw/ar/tenders/opening-tenders/#card-5", "عرض المصدر")</f>
        <v/>
      </c>
    </row>
    <row r="60">
      <c r="A60" s="13" t="inlineStr">
        <is>
          <t>2026/09/07</t>
        </is>
      </c>
      <c r="B60" s="13" t="inlineStr">
        <is>
          <t>شركة إدارة المرافق العمومية</t>
        </is>
      </c>
      <c r="C60" s="13" t="inlineStr">
        <is>
          <t>Eiman Ashkanani</t>
        </is>
      </c>
      <c r="D60" s="13" t="inlineStr">
        <is>
          <t>مناقصة رقم 2026/09/07: بخصـوص القيام بأعمال الصيانة والإصلاح وإعادة التأهيل</t>
        </is>
      </c>
      <c r="E60"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0"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0" s="14" t="inlineStr">
        <is>
          <t>عام</t>
        </is>
      </c>
      <c r="H60" s="14" t="inlineStr">
        <is>
          <t>0.0%</t>
        </is>
      </c>
      <c r="I60" s="14" t="inlineStr">
        <is>
          <t>government</t>
        </is>
      </c>
      <c r="J60" s="14" t="inlineStr">
        <is>
          <t>2026-09-13</t>
        </is>
      </c>
      <c r="K60" s="18" t="inlineStr">
        <is>
          <t>2026-10-08</t>
        </is>
      </c>
      <c r="L60" s="14" t="inlineStr">
        <is>
          <t>1500.0</t>
        </is>
      </c>
      <c r="M60" s="14" t="inlineStr">
        <is>
          <t>150.0</t>
        </is>
      </c>
      <c r="N60" s="21" t="inlineStr">
        <is>
          <t>NEW</t>
        </is>
      </c>
      <c r="O60" s="14" t="inlineStr">
        <is>
          <t>غير متوافقة مع اختصاصات KBM</t>
        </is>
      </c>
      <c r="P60" s="22">
        <f>HYPERLINK("https://kuwaitalyawm.media.gov.kw/Online/ViewAdsHTML?id=170505&amp;no=1", "عرض المصدر")</f>
        <v/>
      </c>
    </row>
    <row r="61">
      <c r="A61" s="11" t="inlineStr">
        <is>
          <t>2026/8/10</t>
        </is>
      </c>
      <c r="B61" s="11" t="inlineStr">
        <is>
          <t>شركة إدارة المرافق العمومية</t>
        </is>
      </c>
      <c r="C61" s="11" t="inlineStr">
        <is>
          <t>Eiman Ashkanani</t>
        </is>
      </c>
      <c r="D61" s="11" t="inlineStr">
        <is>
          <t>مناقصة رقم 2026/8/10: بخصـوص القيام بأعمـال تعديل وصيانة وإعادة توزيع مكاتب مقر شركة إدارة المرافق العمومية - بموقف الأحمدية متعدد الأدوار</t>
        </is>
      </c>
      <c r="E61"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61"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61" s="12" t="inlineStr">
        <is>
          <t>عام</t>
        </is>
      </c>
      <c r="H61" s="12" t="inlineStr">
        <is>
          <t>0.0%</t>
        </is>
      </c>
      <c r="I61" s="12" t="inlineStr">
        <is>
          <t>government</t>
        </is>
      </c>
      <c r="J61" s="12" t="inlineStr">
        <is>
          <t>2026-08-30</t>
        </is>
      </c>
      <c r="K61" s="12" t="inlineStr">
        <is>
          <t>2026-09-10</t>
        </is>
      </c>
      <c r="L61" s="12" t="inlineStr">
        <is>
          <t>2000.0</t>
        </is>
      </c>
      <c r="M61" s="12" t="inlineStr">
        <is>
          <t>150.0</t>
        </is>
      </c>
      <c r="N61" s="21" t="inlineStr">
        <is>
          <t>NEW</t>
        </is>
      </c>
      <c r="O61" s="12" t="inlineStr">
        <is>
          <t>غير متوافقة مع اختصاصات KBM</t>
        </is>
      </c>
      <c r="P61" s="23">
        <f>HYPERLINK("https://kuwaitalyawm.media.gov.kw/Online/ViewAdsHTML?id=168758&amp;no=1", "عرض المصدر")</f>
        <v/>
      </c>
    </row>
    <row r="62">
      <c r="A62" s="13" t="inlineStr">
        <is>
          <t>PR 901782</t>
        </is>
      </c>
      <c r="B62" s="13" t="inlineStr">
        <is>
          <t>شركة البترول الكويتية العالمية</t>
        </is>
      </c>
      <c r="C62" s="13" t="inlineStr">
        <is>
          <t>Eiman Ashkanani</t>
        </is>
      </c>
      <c r="D62" s="13" t="inlineStr">
        <is>
          <t>مناقصة رقم PR 901782 - شركة البترول الكويتية العالمية</t>
        </is>
      </c>
      <c r="E62" s="13" t="inlineStr">
        <is>
          <t>أعمال وتوريدات مناقصة رقم PR 901782 لصالح شركة البترول الكويتية العالمية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28.0%</t>
        </is>
      </c>
      <c r="I62" s="14" t="inlineStr">
        <is>
          <t>government</t>
        </is>
      </c>
      <c r="J62" s="14" t="inlineStr">
        <is>
          <t>2026-09-27</t>
        </is>
      </c>
      <c r="K62" s="14" t="inlineStr">
        <is>
          <t>2026-10-27</t>
        </is>
      </c>
      <c r="L62" s="14" t="inlineStr">
        <is>
          <t>15000.0</t>
        </is>
      </c>
      <c r="M62" s="14" t="inlineStr">
        <is>
          <t>-</t>
        </is>
      </c>
      <c r="N62" s="21" t="inlineStr">
        <is>
          <t>NEW</t>
        </is>
      </c>
      <c r="O62" s="14" t="inlineStr">
        <is>
          <t>غير متوافقة مع اختصاصات KBM</t>
        </is>
      </c>
      <c r="P62" s="22">
        <f>HYPERLINK("https://kuwaitalyawm.media.gov.kw/Online/ViewAdsHTML?id=171723&amp;no=1", "عرض المصدر")</f>
        <v/>
      </c>
    </row>
    <row r="63">
      <c r="A63" s="11" t="inlineStr">
        <is>
          <t>601750</t>
        </is>
      </c>
      <c r="B63" s="11" t="inlineStr">
        <is>
          <t>شركة البترول الكويتية العالمية</t>
        </is>
      </c>
      <c r="C63" s="11" t="inlineStr">
        <is>
          <t>Eiman Ashkanani</t>
        </is>
      </c>
      <c r="D63" s="11" t="inlineStr">
        <is>
          <t>مناقصة رقم 601750 - شركة البترول الكويتية العالمية</t>
        </is>
      </c>
      <c r="E63" s="11" t="inlineStr">
        <is>
          <t>أعمال وتوريدات مناقصة رقم 601750 لصالح شركة البترول الكويتية العالمية وفقاً للشروط والمواصفات المعتمدة في وثائق الطرح.</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12" t="inlineStr">
        <is>
          <t>عام</t>
        </is>
      </c>
      <c r="H63" s="12" t="inlineStr">
        <is>
          <t>0.0%</t>
        </is>
      </c>
      <c r="I63" s="12" t="inlineStr">
        <is>
          <t>government</t>
        </is>
      </c>
      <c r="J63" s="12" t="inlineStr">
        <is>
          <t>2026-08-30</t>
        </is>
      </c>
      <c r="K63" s="12" t="inlineStr">
        <is>
          <t>2026-09-29</t>
        </is>
      </c>
      <c r="L63" s="12" t="inlineStr">
        <is>
          <t>2500.0</t>
        </is>
      </c>
      <c r="M63" s="12" t="inlineStr">
        <is>
          <t>-</t>
        </is>
      </c>
      <c r="N63" s="21" t="inlineStr">
        <is>
          <t>NEW</t>
        </is>
      </c>
      <c r="O63" s="12" t="inlineStr">
        <is>
          <t>غير متوافقة مع اختصاصات KBM</t>
        </is>
      </c>
      <c r="P63" s="23">
        <f>HYPERLINK("https://kuwaitalyawm.media.gov.kw/Online/ViewAdsHTML?id=168759&amp;no=1", "عرض المصدر")</f>
        <v/>
      </c>
    </row>
    <row r="64">
      <c r="A64" s="13" t="inlineStr">
        <is>
          <t>MNA-14-2026</t>
        </is>
      </c>
      <c r="B64" s="13" t="inlineStr">
        <is>
          <t>شركة صناعة الكيماويات البترولية</t>
        </is>
      </c>
      <c r="C64" s="13" t="inlineStr">
        <is>
          <t>Abrar Al-Qallaf</t>
        </is>
      </c>
      <c r="D64" s="13" t="inlineStr">
        <is>
          <t>مناقصة رقم MNA-14-2026 - شركة صناعة الكيماويات البترولية</t>
        </is>
      </c>
      <c r="E64" s="13" t="inlineStr">
        <is>
          <t>أعمال وتوريدات مناقصة رقم MNA-14-2026 لصالح شركة صناعة الكيماويات البترولية وفقاً للشروط والمواصفات المعتمدة في وثائق الطرح.</t>
        </is>
      </c>
      <c r="F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4" s="14" t="inlineStr">
        <is>
          <t>عام</t>
        </is>
      </c>
      <c r="H64" s="14" t="inlineStr">
        <is>
          <t>15.0%</t>
        </is>
      </c>
      <c r="I64" s="14" t="inlineStr">
        <is>
          <t>government</t>
        </is>
      </c>
      <c r="J64" s="14" t="inlineStr">
        <is>
          <t>2026-09-06</t>
        </is>
      </c>
      <c r="K64" s="18" t="inlineStr">
        <is>
          <t>2026-10-11</t>
        </is>
      </c>
      <c r="L64" s="14" t="inlineStr">
        <is>
          <t>750.0</t>
        </is>
      </c>
      <c r="M64" s="14" t="inlineStr">
        <is>
          <t>-</t>
        </is>
      </c>
      <c r="N64" s="21" t="inlineStr">
        <is>
          <t>NEW</t>
        </is>
      </c>
      <c r="O64" s="14" t="inlineStr">
        <is>
          <t>غير متوافقة مع اختصاصات KBM</t>
        </is>
      </c>
      <c r="P64" s="22">
        <f>HYPERLINK("https://kuwaitalyawm.media.gov.kw/Online/ViewAdsHTML?id=169423&amp;no=1", "عرض المصدر")</f>
        <v/>
      </c>
    </row>
    <row r="65">
      <c r="A65" s="11" t="inlineStr">
        <is>
          <t>2026/1</t>
        </is>
      </c>
      <c r="B65" s="11" t="inlineStr">
        <is>
          <t>شركة ناقلات النفط الكويتية</t>
        </is>
      </c>
      <c r="C65" s="11" t="inlineStr">
        <is>
          <t>Ahmed Habib</t>
        </is>
      </c>
      <c r="D65" s="11" t="inlineStr">
        <is>
          <t>مناقصة رقم 2026/1: إعلان طرح المناقصة الخاصة بتقديم خدمات الانترنت</t>
        </is>
      </c>
      <c r="E65"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5" s="12" t="inlineStr">
        <is>
          <t>عام</t>
        </is>
      </c>
      <c r="H65" s="12" t="inlineStr">
        <is>
          <t>0.0%</t>
        </is>
      </c>
      <c r="I65" s="12" t="inlineStr">
        <is>
          <t>government</t>
        </is>
      </c>
      <c r="J65" s="12" t="inlineStr">
        <is>
          <t>2026-09-13</t>
        </is>
      </c>
      <c r="K65" s="12" t="inlineStr">
        <is>
          <t>2026-10-20</t>
        </is>
      </c>
      <c r="L65" s="12" t="inlineStr">
        <is>
          <t>2500.0</t>
        </is>
      </c>
      <c r="M65" s="12" t="inlineStr">
        <is>
          <t>100.0</t>
        </is>
      </c>
      <c r="N65" s="21" t="inlineStr">
        <is>
          <t>NEW</t>
        </is>
      </c>
      <c r="O65" s="12" t="inlineStr">
        <is>
          <t>غير متوافقة مع اختصاصات KBM</t>
        </is>
      </c>
      <c r="P65" s="23">
        <f>HYPERLINK("https://kuwaitalyawm.media.gov.kw/Online/ViewAdsHTML?id=170514&amp;no=1", "عرض المصدر")</f>
        <v/>
      </c>
    </row>
    <row r="66">
      <c r="A66" s="13" t="inlineStr">
        <is>
          <t>2026/4</t>
        </is>
      </c>
      <c r="B66" s="13" t="inlineStr">
        <is>
          <t>شركة ناقلات النفط الكويتية</t>
        </is>
      </c>
      <c r="C66" s="13" t="inlineStr">
        <is>
          <t>Ahmed Habib</t>
        </is>
      </c>
      <c r="D66" s="13" t="inlineStr">
        <is>
          <t>مناقصة رقم 2026/4: إعلان طرح المناقصة الخاصة بتقديم خدمات النظافة والمناولة لشركة ناقلات النفط الكويتية</t>
        </is>
      </c>
      <c r="E66" s="13" t="inlineStr">
        <is>
          <t>توفير خدمات وأعمال النظافة العامة والشاملة للمباني والمرافق وتوفير العمالة والمعدات والمستهلكات اللازمة.</t>
        </is>
      </c>
      <c r="F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6" s="14" t="inlineStr">
        <is>
          <t>عام</t>
        </is>
      </c>
      <c r="H66" s="14" t="inlineStr">
        <is>
          <t>0.0%</t>
        </is>
      </c>
      <c r="I66" s="14" t="inlineStr">
        <is>
          <t>government</t>
        </is>
      </c>
      <c r="J66" s="14" t="inlineStr">
        <is>
          <t>2026-08-30</t>
        </is>
      </c>
      <c r="K66" s="14" t="inlineStr">
        <is>
          <t>2026-10-13</t>
        </is>
      </c>
      <c r="L66" s="14" t="inlineStr">
        <is>
          <t>15000.0</t>
        </is>
      </c>
      <c r="M66" s="14" t="inlineStr">
        <is>
          <t>-</t>
        </is>
      </c>
      <c r="N66" s="21" t="inlineStr">
        <is>
          <t>NEW</t>
        </is>
      </c>
      <c r="O66" s="14" t="inlineStr">
        <is>
          <t>غير متوافقة مع اختصاصات KBM</t>
        </is>
      </c>
      <c r="P66" s="22">
        <f>HYPERLINK("https://kuwaitalyawm.media.gov.kw/Online/ViewAdsHTML?id=168772&amp;no=1", "عرض المصدر")</f>
        <v/>
      </c>
    </row>
    <row r="67">
      <c r="A67" s="11" t="inlineStr">
        <is>
          <t>CATEGORY KS 01.21</t>
        </is>
      </c>
      <c r="B67" s="11" t="inlineStr">
        <is>
          <t>شركة نفط الكويت</t>
        </is>
      </c>
      <c r="C67" s="11" t="inlineStr">
        <is>
          <t>Ahmed Habib</t>
        </is>
      </c>
      <c r="D67" s="11" t="inlineStr">
        <is>
          <t>مناقصة رقم CATEGORY KS 01.21 - شركة نفط الكويت</t>
        </is>
      </c>
      <c r="E67" s="11" t="inlineStr">
        <is>
          <t>أعمال وتوريدات مناقصة رقم CATEGORY KS 01.21 لصالح شركة نفط الكويت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15.0%</t>
        </is>
      </c>
      <c r="I67" s="12" t="inlineStr">
        <is>
          <t>government</t>
        </is>
      </c>
      <c r="J67" s="12" t="inlineStr">
        <is>
          <t>2026-09-13</t>
        </is>
      </c>
      <c r="K67" s="12" t="inlineStr">
        <is>
          <t>-</t>
        </is>
      </c>
      <c r="L67" s="12" t="inlineStr">
        <is>
          <t>-</t>
        </is>
      </c>
      <c r="M67" s="12" t="inlineStr">
        <is>
          <t>-</t>
        </is>
      </c>
      <c r="N67" s="21" t="inlineStr">
        <is>
          <t>NEW</t>
        </is>
      </c>
      <c r="O67" s="12" t="inlineStr">
        <is>
          <t>غير متوافقة مع اختصاصات KBM</t>
        </is>
      </c>
      <c r="P67" s="23">
        <f>HYPERLINK("https://kuwaitalyawm.media.gov.kw/Online/ViewAdsHTML?id=170537&amp;no=1", "عرض المصدر")</f>
        <v/>
      </c>
    </row>
    <row r="68">
      <c r="A68" s="13" t="inlineStr">
        <is>
          <t>507</t>
        </is>
      </c>
      <c r="B68" s="13" t="inlineStr">
        <is>
          <t>مؤسسة البترول الكويتية</t>
        </is>
      </c>
      <c r="C68" s="13" t="inlineStr">
        <is>
          <t>Eiman Ashkanani</t>
        </is>
      </c>
      <c r="D68" s="13" t="inlineStr">
        <is>
          <t>مناقصة رقم 507: استئجار آلات تصوير مستندات</t>
        </is>
      </c>
      <c r="E68" s="13" t="inlineStr">
        <is>
          <t>أعمال وتوريدات استئجار آلات تصوير مستندات لصالح مؤسسة البترول الكويتية وفقاً للشروط والمواصفات المعتمدة في وثائق الطرح.</t>
        </is>
      </c>
      <c r="F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8" s="14" t="inlineStr">
        <is>
          <t>عام</t>
        </is>
      </c>
      <c r="H68" s="14" t="inlineStr">
        <is>
          <t>0.0%</t>
        </is>
      </c>
      <c r="I68" s="14" t="inlineStr">
        <is>
          <t>government</t>
        </is>
      </c>
      <c r="J68" s="14" t="inlineStr">
        <is>
          <t>2026-09-06</t>
        </is>
      </c>
      <c r="K68" s="14" t="inlineStr">
        <is>
          <t>2026-10-13</t>
        </is>
      </c>
      <c r="L68" s="14" t="inlineStr">
        <is>
          <t>2500.0</t>
        </is>
      </c>
      <c r="M68" s="14" t="inlineStr">
        <is>
          <t>100.0</t>
        </is>
      </c>
      <c r="N68" s="21" t="inlineStr">
        <is>
          <t>NEW</t>
        </is>
      </c>
      <c r="O68" s="14" t="inlineStr">
        <is>
          <t>غير متوافقة مع اختصاصات KBM</t>
        </is>
      </c>
      <c r="P68" s="22">
        <f>HYPERLINK("https://kuwaitalyawm.media.gov.kw/Online/ViewAdsHTML?id=169407&amp;no=1", "عرض المصدر")</f>
        <v/>
      </c>
    </row>
    <row r="69">
      <c r="A69" s="11" t="inlineStr">
        <is>
          <t>2026/504</t>
        </is>
      </c>
      <c r="B69" s="11" t="inlineStr">
        <is>
          <t>مؤسسة البترول الكويتية</t>
        </is>
      </c>
      <c r="C69" s="11" t="inlineStr">
        <is>
          <t>Eiman Ashkanani</t>
        </is>
      </c>
      <c r="D69" s="11" t="inlineStr">
        <is>
          <t>مناقصة رقم 2026/504: توريد مواد تموينية غذائية</t>
        </is>
      </c>
      <c r="E69" s="11" t="inlineStr">
        <is>
          <t>أعمال وتوريدات توريد مواد تموينية غذائية لصالح مؤسسة البترول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2026-08-30</t>
        </is>
      </c>
      <c r="K69" s="12" t="inlineStr">
        <is>
          <t>-</t>
        </is>
      </c>
      <c r="L69" s="12" t="inlineStr">
        <is>
          <t>-</t>
        </is>
      </c>
      <c r="M69" s="12" t="inlineStr">
        <is>
          <t>-</t>
        </is>
      </c>
      <c r="N69" s="21" t="inlineStr">
        <is>
          <t>NEW</t>
        </is>
      </c>
      <c r="O69" s="12" t="inlineStr">
        <is>
          <t>غير متوافقة مع اختصاصات KBM</t>
        </is>
      </c>
      <c r="P69" s="23">
        <f>HYPERLINK("https://kuwaitalyawm.media.gov.kw/Online/ViewAdsHTML?id=168747&amp;no=1", "عرض المصدر")</f>
        <v/>
      </c>
    </row>
    <row r="70">
      <c r="A70" s="13" t="inlineStr">
        <is>
          <t>2027/2026/4</t>
        </is>
      </c>
      <c r="B70" s="13" t="inlineStr">
        <is>
          <t>مؤسسة الموانئ الكويتية</t>
        </is>
      </c>
      <c r="C70" s="13" t="inlineStr">
        <is>
          <t>Eiman Ashkanani</t>
        </is>
      </c>
      <c r="D70" s="13" t="inlineStr">
        <is>
          <t>ممارسة رقم 2027/2026/4: تمديد موعد الاقفال الممارسة رقم م م ك (/2026/4/2027) بشأن عمل مسح بحري للأرصفة والأحواض</t>
        </is>
      </c>
      <c r="E70"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70"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الأمر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أن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70" s="14" t="inlineStr">
        <is>
          <t>عام</t>
        </is>
      </c>
      <c r="H70" s="14" t="inlineStr">
        <is>
          <t>0.0%</t>
        </is>
      </c>
      <c r="I70" s="14" t="inlineStr">
        <is>
          <t>government</t>
        </is>
      </c>
      <c r="J70" s="14" t="inlineStr">
        <is>
          <t>2026-09-27</t>
        </is>
      </c>
      <c r="K70" s="14" t="inlineStr">
        <is>
          <t>-</t>
        </is>
      </c>
      <c r="L70" s="14" t="inlineStr">
        <is>
          <t>1000.0</t>
        </is>
      </c>
      <c r="M70" s="14" t="inlineStr">
        <is>
          <t>20.0</t>
        </is>
      </c>
      <c r="N70" s="21" t="inlineStr">
        <is>
          <t>NEW</t>
        </is>
      </c>
      <c r="O70" s="14" t="inlineStr">
        <is>
          <t>غير متوافقة مع اختصاصات KBM</t>
        </is>
      </c>
      <c r="P70" s="22">
        <f>HYPERLINK("https://kuwaitalyawm.media.gov.kw/Online/ViewAdsHTML?id=171711&amp;no=1", "عرض المصدر")</f>
        <v/>
      </c>
    </row>
    <row r="71">
      <c r="A71" s="11" t="inlineStr">
        <is>
          <t>2027/2026/84</t>
        </is>
      </c>
      <c r="B71" s="11" t="inlineStr">
        <is>
          <t>معهد الكـويت للابحاث العلمية</t>
        </is>
      </c>
      <c r="C71" s="11" t="inlineStr">
        <is>
          <t>Eiman Ashkanani</t>
        </is>
      </c>
      <c r="D71"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71"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0.0%</t>
        </is>
      </c>
      <c r="I71" s="12" t="inlineStr">
        <is>
          <t>government</t>
        </is>
      </c>
      <c r="J71" s="12" t="inlineStr">
        <is>
          <t>2026-09-27</t>
        </is>
      </c>
      <c r="K71" s="12" t="inlineStr">
        <is>
          <t>-</t>
        </is>
      </c>
      <c r="L71" s="12" t="inlineStr">
        <is>
          <t>-</t>
        </is>
      </c>
      <c r="M71" s="12" t="inlineStr">
        <is>
          <t>75.0</t>
        </is>
      </c>
      <c r="N71" s="21" t="inlineStr">
        <is>
          <t>NEW</t>
        </is>
      </c>
      <c r="O71" s="12" t="inlineStr">
        <is>
          <t>غير متوافقة مع اختصاصات KBM</t>
        </is>
      </c>
      <c r="P71" s="23">
        <f>HYPERLINK("https://kuwaitalyawm.media.gov.kw/Online/ViewAdsHTML?id=171717&amp;no=1", "عرض المصدر")</f>
        <v/>
      </c>
    </row>
    <row r="72">
      <c r="A72" s="13" t="inlineStr">
        <is>
          <t>2027/2026/86</t>
        </is>
      </c>
      <c r="B72" s="13" t="inlineStr">
        <is>
          <t>معهد الكـويت للابحاث العلمية</t>
        </is>
      </c>
      <c r="C72" s="13" t="inlineStr">
        <is>
          <t>Eiman Ashkanani</t>
        </is>
      </c>
      <c r="D72" s="13" t="inlineStr">
        <is>
          <t>ممارسة رقم 2027/2026/86: يعلن معهد الكويت للأبحـاث العلمية عن طـــرح ممارسة رقم 86-M-2026/2027 توريد جهاز تحليل الخصائص الباردة للنفط الخام والمنتجات البترولية، ويمكن الحصول على وثائق الممارسة من موقع المعهد التالي: -</t>
        </is>
      </c>
      <c r="E72" s="13" t="inlineStr">
        <is>
          <t>أعمال وتوريدات يعلن معهد الكويت للأبحـاث العلمية عن طـــرح ممارسة رقم 86-M-2026/2027 توريد جهاز تحليل الخصائص الباردة للنفط الخام والمنتجات البترولية، ويمكن الحصول على وثائق الممارسة من موقع المعهد التالي: - لصالح معهد الكـويت للابحاث العلمية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2026-09-27</t>
        </is>
      </c>
      <c r="K72" s="14" t="inlineStr">
        <is>
          <t>2026-10-13</t>
        </is>
      </c>
      <c r="L72" s="14" t="inlineStr">
        <is>
          <t>-</t>
        </is>
      </c>
      <c r="M72" s="14" t="inlineStr">
        <is>
          <t>75.0</t>
        </is>
      </c>
      <c r="N72" s="21" t="inlineStr">
        <is>
          <t>NEW</t>
        </is>
      </c>
      <c r="O72" s="14" t="inlineStr">
        <is>
          <t>غير متوافقة مع اختصاصات KBM</t>
        </is>
      </c>
      <c r="P72" s="22">
        <f>HYPERLINK("https://kuwaitalyawm.media.gov.kw/Online/ViewAdsHTML?id=171718&amp;no=1", "عرض المصدر")</f>
        <v/>
      </c>
    </row>
    <row r="73">
      <c r="A73" s="11" t="inlineStr">
        <is>
          <t>ممارسة 1 /2026/2027</t>
        </is>
      </c>
      <c r="B73" s="11" t="inlineStr">
        <is>
          <t>هيئة تشجيع الاستثمار المباشر</t>
        </is>
      </c>
      <c r="C73" s="11" t="inlineStr">
        <is>
          <t>Eiman Ashkanani</t>
        </is>
      </c>
      <c r="D73"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73" s="11" t="inlineStr">
        <is>
          <t>تنفيذ الأعمال المدنية والإنشائية والترميم والصيانة العامة للمباني والمنشآت والمرافق التابعة للجهة.</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2026-08-30</t>
        </is>
      </c>
      <c r="K73" s="12" t="inlineStr">
        <is>
          <t>2026-10-13</t>
        </is>
      </c>
      <c r="L73" s="12" t="inlineStr">
        <is>
          <t>62000.000 KWD</t>
        </is>
      </c>
      <c r="M73" s="12" t="inlineStr">
        <is>
          <t>3500.000 KWD</t>
        </is>
      </c>
      <c r="N73" s="21" t="inlineStr">
        <is>
          <t>NEW</t>
        </is>
      </c>
      <c r="O73" s="12" t="inlineStr">
        <is>
          <t>غير متوافقة مع اختصاصات KBM</t>
        </is>
      </c>
      <c r="P73" s="23">
        <f>HYPERLINK("https://capt.gov.kw/ar/tenders/opening-tenders/#card-7", "عرض المصدر")</f>
        <v/>
      </c>
    </row>
    <row r="74">
      <c r="A74" s="13" t="inlineStr">
        <is>
          <t>2026/2025/10/2</t>
        </is>
      </c>
      <c r="B74" s="13" t="inlineStr">
        <is>
          <t>وزارة الأشغال العامة</t>
        </is>
      </c>
      <c r="C74" s="13" t="inlineStr">
        <is>
          <t>Eiman Ashkanani</t>
        </is>
      </c>
      <c r="D74" s="13" t="inlineStr">
        <is>
          <t>ممارسة رقم 2026/2025/10/2: تشغيل وصيانة كاميرات مراقبة أمنية لمواقع وزارة الأشغال العامة</t>
        </is>
      </c>
      <c r="E74" s="13" t="inlineStr">
        <is>
          <t>تنفيذ أعمال تشغيل وصيانة كاميرات مراقبة أمنية لمواقع وزارة الأشغال العامة، وتوفير كافة الأجهزة والمعدات والأنظمة وخدمات الدعم الفني والضمان وفقاً لكراسة الشروط والمواصفات الفنية.</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24" t="inlineStr">
        <is>
          <t>قطاع الأمن السيبراني والدفاع الرقمي</t>
        </is>
      </c>
      <c r="H74" s="14" t="inlineStr">
        <is>
          <t>72.0%</t>
        </is>
      </c>
      <c r="I74" s="14" t="inlineStr">
        <is>
          <t>government</t>
        </is>
      </c>
      <c r="J74" s="14" t="inlineStr">
        <is>
          <t>2026-09-13</t>
        </is>
      </c>
      <c r="K74" s="14" t="inlineStr">
        <is>
          <t>2026-09-20</t>
        </is>
      </c>
      <c r="L74" s="14" t="inlineStr">
        <is>
          <t>-</t>
        </is>
      </c>
      <c r="M74" s="14" t="inlineStr">
        <is>
          <t>125.0</t>
        </is>
      </c>
      <c r="N74" s="21" t="inlineStr">
        <is>
          <t>NEW</t>
        </is>
      </c>
      <c r="O74" s="14" t="inlineStr">
        <is>
          <t>فرصة ICT متوافقة مع قدرات KBM</t>
        </is>
      </c>
      <c r="P74" s="22">
        <f>HYPERLINK("https://kuwaitalyawm.media.gov.kw/Online/ViewAdsHTML?id=169481&amp;no=1", "عرض المصدر")</f>
        <v/>
      </c>
    </row>
    <row r="75">
      <c r="A75" s="11" t="inlineStr">
        <is>
          <t>2027/2026/25</t>
        </is>
      </c>
      <c r="B75" s="11" t="inlineStr">
        <is>
          <t>وزارة الأوقاف والشؤون الإسلامية</t>
        </is>
      </c>
      <c r="C75" s="11" t="inlineStr">
        <is>
          <t>Eiman Ashkanani</t>
        </is>
      </c>
      <c r="D75" s="11" t="inlineStr">
        <is>
          <t>ممارسة رقم 2027/2026/25: أعمال النظافة الخاصة بالمباني والمراكز التابعة لإدارتي الدراسات وعلوم القرآن الكريم بمحافظتي الأحمدي ومبارك الكبير</t>
        </is>
      </c>
      <c r="E75" s="11" t="inlineStr">
        <is>
          <t>توفير خدمات وأعمال النظافة العامة والشاملة للمباني والمرافق وتوفير العمالة والمعدات والمستهلكات اللازمة.</t>
        </is>
      </c>
      <c r="F75"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75" s="12" t="inlineStr">
        <is>
          <t>عام</t>
        </is>
      </c>
      <c r="H75" s="12" t="inlineStr">
        <is>
          <t>0.0%</t>
        </is>
      </c>
      <c r="I75" s="12" t="inlineStr">
        <is>
          <t>government</t>
        </is>
      </c>
      <c r="J75" s="12" t="inlineStr">
        <is>
          <t>2026-09-13</t>
        </is>
      </c>
      <c r="K75" s="12" t="inlineStr">
        <is>
          <t>2026-10-18</t>
        </is>
      </c>
      <c r="L75" s="12" t="inlineStr">
        <is>
          <t>2000.0</t>
        </is>
      </c>
      <c r="M75" s="12" t="inlineStr">
        <is>
          <t>75.0</t>
        </is>
      </c>
      <c r="N75" s="25" t="inlineStr">
        <is>
          <t>UPDATED</t>
        </is>
      </c>
      <c r="O75" s="12" t="inlineStr">
        <is>
          <t>غير متوافقة مع اختصاصات KBM</t>
        </is>
      </c>
      <c r="P75" s="23">
        <f>HYPERLINK("https://kuwaitalyawm.media.gov.kw/flip/index?id=5600&amp;no=81", "عرض المصدر")</f>
        <v/>
      </c>
    </row>
    <row r="76">
      <c r="A76" s="13" t="inlineStr">
        <is>
          <t>2027/2026/19</t>
        </is>
      </c>
      <c r="B76" s="13" t="inlineStr">
        <is>
          <t>وزارة الأوقاف والشئون الإسلامية</t>
        </is>
      </c>
      <c r="C76" s="13" t="inlineStr">
        <is>
          <t>Eiman Ashkanani</t>
        </is>
      </c>
      <c r="D76" s="13" t="inlineStr">
        <is>
          <t>ممارسة رقم 2027/2026/19: بتقديم خدمات إنترنت وخطوط اتصال لاسلكية للمواقع</t>
        </is>
      </c>
      <c r="E76" s="13" t="inlineStr">
        <is>
          <t>أعمال وتوريدات بتقديم خدمات إنترنت وخطوط اتصال لاسلكية للمواقع لصالح وزارة الأوقاف والشئون الإسلامية وفقاً للشروط والمواصفات المعتمدة في وثائق الطرح.</t>
        </is>
      </c>
      <c r="F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6" s="14" t="inlineStr">
        <is>
          <t>عام</t>
        </is>
      </c>
      <c r="H76" s="14" t="inlineStr">
        <is>
          <t>0.0%</t>
        </is>
      </c>
      <c r="I76" s="14" t="inlineStr">
        <is>
          <t>government</t>
        </is>
      </c>
      <c r="J76" s="14" t="inlineStr">
        <is>
          <t>2026-09-20</t>
        </is>
      </c>
      <c r="K76" s="18" t="inlineStr">
        <is>
          <t>2026-10-11</t>
        </is>
      </c>
      <c r="L76" s="14" t="inlineStr">
        <is>
          <t>600.0</t>
        </is>
      </c>
      <c r="M76" s="14" t="inlineStr">
        <is>
          <t>75.0</t>
        </is>
      </c>
      <c r="N76" s="21" t="inlineStr">
        <is>
          <t>NEW</t>
        </is>
      </c>
      <c r="O76" s="14" t="inlineStr">
        <is>
          <t>غير متوافقة مع اختصاصات KBM</t>
        </is>
      </c>
      <c r="P76" s="22">
        <f>HYPERLINK("https://kuwaitalyawm.media.gov.kw/Online/ViewAdsHTML?id=170600&amp;no=1", "عرض المصدر")</f>
        <v/>
      </c>
    </row>
    <row r="77">
      <c r="A77" s="11" t="inlineStr">
        <is>
          <t>2026/2</t>
        </is>
      </c>
      <c r="B77" s="11" t="inlineStr">
        <is>
          <t>وزارة الأوقاف والشئون الإسلامية</t>
        </is>
      </c>
      <c r="C77" s="11" t="inlineStr">
        <is>
          <t>Eiman Ashkanani</t>
        </is>
      </c>
      <c r="D77" s="11" t="inlineStr">
        <is>
          <t>مناقصة رقم 2026/2: الخاصة بأعمال توريد وتركيب سجاد ولباد للمساجد التابعة</t>
        </is>
      </c>
      <c r="E7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7" s="12" t="inlineStr">
        <is>
          <t>عام</t>
        </is>
      </c>
      <c r="H77" s="12" t="inlineStr">
        <is>
          <t>15.0%</t>
        </is>
      </c>
      <c r="I77" s="12" t="inlineStr">
        <is>
          <t>government</t>
        </is>
      </c>
      <c r="J77" s="12" t="inlineStr">
        <is>
          <t>2026-09-27</t>
        </is>
      </c>
      <c r="K77" s="12" t="inlineStr">
        <is>
          <t>2026-10-15</t>
        </is>
      </c>
      <c r="L77" s="12" t="inlineStr">
        <is>
          <t>500.0</t>
        </is>
      </c>
      <c r="M77" s="12" t="inlineStr">
        <is>
          <t>500.0</t>
        </is>
      </c>
      <c r="N77" s="21" t="inlineStr">
        <is>
          <t>NEW</t>
        </is>
      </c>
      <c r="O77" s="12" t="inlineStr">
        <is>
          <t>غير متوافقة مع اختصاصات KBM</t>
        </is>
      </c>
      <c r="P77" s="23">
        <f>HYPERLINK("https://kuwaitalyawm.media.gov.kw/Online/ViewAdsHTML?id=171071&amp;no=1", "عرض المصدر")</f>
        <v/>
      </c>
    </row>
    <row r="78">
      <c r="A78" s="13" t="inlineStr">
        <is>
          <t>2027/2026/967</t>
        </is>
      </c>
      <c r="B78" s="13" t="inlineStr">
        <is>
          <t>وزارة الاعلام</t>
        </is>
      </c>
      <c r="C78" s="13" t="inlineStr">
        <is>
          <t>Eiman Ashkanani</t>
        </is>
      </c>
      <c r="D78" s="13" t="inlineStr">
        <is>
          <t>ممارسة رقم 2027/2026/967: ستقوم وزارة الإعلام بعقد اجتماع تمهيدي يوم الأحد الموافق 27/9/2026 في تمام الساعة الحادية عشر ظهراً بقاعة اجتماعات السيد/ مدير عام الإدارة العامة للخدمات الهندسية و المساندة / الوكيل المساعد للشؤون الهندسية (سابقا) الدور الأرضي - مبنى الإذاعة -مجمع الإعلام - شارع السور ، وذلك للرد على الاستفسارات المقدمة بشأن الممارسة ، ويجوز لكل من قام بشراء وثائق الممارسة حضور الاجتماع بشخصه أو من يمثله ، ويعتبر كل ما يدون بمحضر الاجتماع جزءاً لا يتجزأ من وثائق الممارسة ، ويسرى في مواجهة مقدمي العطاءات ، وستقوم الوزارة بتعميم الاسئلة والاستفسارات والردود عليها بعد اعتمادها على جميع الممارسين قبل موعد اقفال العطاءات .</t>
        </is>
      </c>
      <c r="E78" s="13" t="inlineStr">
        <is>
          <t>أعمال وتوريدات ستقوم وزارة الإعلام بعقد اجتماع تمهيدي يوم الأحد الموافق 27/9/2026 في تمام الساعة الحادية عشر ظهراً بقاعة اجتماعات السيد/ مدير عام الإدارة العامة للخدمات الهندسية و المساندة / الوكيل المساعد للشؤون الهندسية (سابقا) الدور الأرضي - مبنى الإذاعة -مجمع الإعلام - شارع السور ، وذلك للرد على الاستفسارات المقدمة بشأن الممارسة ، ويجوز لكل من قام بشراء وثائق الممارسة حضور الاجتماع بشخصه أو من يمثله ، ويعتبر كل ما يدون بمحضر الاجتماع جزءاً لا يتجزأ من وثائق الممارسة ، ويسرى في مواجهة مقدمي العطاءات ، وستقوم الوزارة بتعميم الاسئلة والاستفسارات والردود عليها بعد اعتمادها على جميع الممارسين قبل موعد اقفال العطاءات . لصالح وزارة الاعلام وفقاً للشروط والمواصفات المعتمدة في وثائق الطرح.</t>
        </is>
      </c>
      <c r="F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8" s="14" t="inlineStr">
        <is>
          <t>عام</t>
        </is>
      </c>
      <c r="H78" s="14" t="inlineStr">
        <is>
          <t>0.0%</t>
        </is>
      </c>
      <c r="I78" s="14" t="inlineStr">
        <is>
          <t>government</t>
        </is>
      </c>
      <c r="J78" s="14" t="inlineStr">
        <is>
          <t>2026-09-20</t>
        </is>
      </c>
      <c r="K78" s="18" t="inlineStr">
        <is>
          <t>2026-10-08</t>
        </is>
      </c>
      <c r="L78" s="14" t="inlineStr">
        <is>
          <t>-</t>
        </is>
      </c>
      <c r="M78" s="14" t="inlineStr">
        <is>
          <t>50.0</t>
        </is>
      </c>
      <c r="N78" s="21" t="inlineStr">
        <is>
          <t>NEW</t>
        </is>
      </c>
      <c r="O78" s="14" t="inlineStr">
        <is>
          <t>غير متوافقة مع اختصاصات KBM</t>
        </is>
      </c>
      <c r="P78" s="22">
        <f>HYPERLINK("https://kuwaitalyawm.media.gov.kw/Online/ViewAdsHTML?id=170599&amp;no=1", "عرض المصدر")</f>
        <v/>
      </c>
    </row>
    <row r="79">
      <c r="A79" s="11" t="inlineStr">
        <is>
          <t>2027/2026/2</t>
        </is>
      </c>
      <c r="B79" s="11" t="inlineStr">
        <is>
          <t>وزارة الداخلية</t>
        </is>
      </c>
      <c r="C79" s="11" t="inlineStr">
        <is>
          <t>Khaled Alabdallah</t>
        </is>
      </c>
      <c r="D79" s="11" t="inlineStr">
        <is>
          <t>مناقصة رقم 2027/2026/2: بتمديد موعد الإغلاق للمناقصة رقم (ل.ع 2/2026 - 2027) توريد وضمان وصيانة قوارب متنوعة الأحجام ومتعددة المهام ومستلزماتها والمعدات المطلوبة اللازمة لها لزوم الإدارة العامة لخفر السواحل ـ بوزارة الداخلية</t>
        </is>
      </c>
      <c r="E79" s="11" t="inlineStr">
        <is>
          <t>أعمال وتوريدات بتمديد موعد الإغلاق للمناقصة رقم (ل.ع 2/2026 - 2027) توريد وضمان وصيانة قوارب متنوعة الأحجام ومتعددة المهام ومستلزماتها والمعدات المطلوبة اللازمة لها لزوم الإدارة العامة لخفر السواحل ـ بوزارة الداخلية لصالح وزارة الداخلية وفقاً للشروط والمواصفات المعتمدة في وثائق الطرح.</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12" t="inlineStr">
        <is>
          <t>عام</t>
        </is>
      </c>
      <c r="H79" s="12" t="inlineStr">
        <is>
          <t>15.0%</t>
        </is>
      </c>
      <c r="I79" s="12" t="inlineStr">
        <is>
          <t>government</t>
        </is>
      </c>
      <c r="J79" s="12" t="inlineStr">
        <is>
          <t>2026-08-30</t>
        </is>
      </c>
      <c r="K79" s="12" t="inlineStr">
        <is>
          <t>-</t>
        </is>
      </c>
      <c r="L79" s="12" t="inlineStr">
        <is>
          <t>-</t>
        </is>
      </c>
      <c r="M79" s="12" t="inlineStr">
        <is>
          <t>75.0</t>
        </is>
      </c>
      <c r="N79" s="21" t="inlineStr">
        <is>
          <t>NEW</t>
        </is>
      </c>
      <c r="O79" s="12" t="inlineStr">
        <is>
          <t>غير متوافقة مع اختصاصات KBM</t>
        </is>
      </c>
      <c r="P79" s="23">
        <f>HYPERLINK("https://kuwaitalyawm.media.gov.kw/Online/ViewAdsHTML?id=171678&amp;no=1", "عرض المصدر")</f>
        <v/>
      </c>
    </row>
    <row r="80">
      <c r="A80" s="13" t="inlineStr">
        <is>
          <t>2027/2026/43</t>
        </is>
      </c>
      <c r="B80" s="13" t="inlineStr">
        <is>
          <t>وزارة الداخلية</t>
        </is>
      </c>
      <c r="C80" s="13" t="inlineStr">
        <is>
          <t>Khaled Alabdallah</t>
        </is>
      </c>
      <c r="D80" s="13" t="inlineStr">
        <is>
          <t>مناقصة رقم 2027/2026/43 - وزارة الداخلية</t>
        </is>
      </c>
      <c r="E80" s="13" t="inlineStr">
        <is>
          <t>أعمال وتوريدات مناقصة رقم 2027/2026/43 لصالح وزارة الداخلية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15.0%</t>
        </is>
      </c>
      <c r="I80" s="14" t="inlineStr">
        <is>
          <t>government</t>
        </is>
      </c>
      <c r="J80" s="14" t="inlineStr">
        <is>
          <t>2026-09-27</t>
        </is>
      </c>
      <c r="K80" s="14" t="inlineStr">
        <is>
          <t>2026-11-18</t>
        </is>
      </c>
      <c r="L80" s="14" t="inlineStr">
        <is>
          <t>6750.0</t>
        </is>
      </c>
      <c r="M80" s="14" t="inlineStr">
        <is>
          <t>250.0</t>
        </is>
      </c>
      <c r="N80" s="21" t="inlineStr">
        <is>
          <t>NEW</t>
        </is>
      </c>
      <c r="O80" s="14" t="inlineStr">
        <is>
          <t>غير متوافقة مع اختصاصات KBM</t>
        </is>
      </c>
      <c r="P80" s="22">
        <f>HYPERLINK("https://kuwaitalyawm.media.gov.kw/Online/ViewAdsHTML?id=171684&amp;no=1", "عرض المصدر")</f>
        <v/>
      </c>
    </row>
    <row r="81">
      <c r="A81" s="11" t="inlineStr">
        <is>
          <t>2027/2026/20</t>
        </is>
      </c>
      <c r="B81" s="11" t="inlineStr">
        <is>
          <t>وزارة الداخلية</t>
        </is>
      </c>
      <c r="C81" s="11" t="inlineStr">
        <is>
          <t>Khaled Alabdallah</t>
        </is>
      </c>
      <c r="D81" s="11" t="inlineStr">
        <is>
          <t>مناقصة رقم 2027/2026/20: صيانة وإصلاح وتدريب وتوريد قطع الغيار لعدد (8) أبراج كندور وسيميوليتر وتوريد وضمان وتركيب وتشغيل وصيانة وتدريب للمنظار المستقل للقائد (CIV) لأبراج مدرعات الكندور لزوم الإدارة العامة لقوات الأمن الخاصة – للإدارة العامة للإمداد والتموين</t>
        </is>
      </c>
      <c r="E81" s="11" t="inlineStr">
        <is>
          <t>توفير خدمات الحراسة والأمن والسلامة للمباني والمنشآت وتأمين المداخل وتوفير الكوادر الأمنية المدربة.</t>
        </is>
      </c>
      <c r="F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1" s="24" t="inlineStr">
        <is>
          <t>قطاع العمليات المدارة والدعم الفني متعدد الموردين</t>
        </is>
      </c>
      <c r="H81" s="12" t="inlineStr">
        <is>
          <t>64.0%</t>
        </is>
      </c>
      <c r="I81" s="12" t="inlineStr">
        <is>
          <t>government</t>
        </is>
      </c>
      <c r="J81" s="12" t="inlineStr">
        <is>
          <t>2026-09-06</t>
        </is>
      </c>
      <c r="K81" s="18" t="inlineStr">
        <is>
          <t>2026-10-07</t>
        </is>
      </c>
      <c r="L81" s="12" t="inlineStr">
        <is>
          <t>700.0</t>
        </is>
      </c>
      <c r="M81" s="12" t="inlineStr">
        <is>
          <t>75.0</t>
        </is>
      </c>
      <c r="N81" s="21" t="inlineStr">
        <is>
          <t>NEW</t>
        </is>
      </c>
      <c r="O81" s="12" t="inlineStr">
        <is>
          <t>فرصة ICT متوافقة مع قدرات KBM</t>
        </is>
      </c>
      <c r="P81" s="23">
        <f>HYPERLINK("https://kuwaitalyawm.media.gov.kw/Online/ViewAdsHTML?id=170601&amp;no=1", "عرض المصدر")</f>
        <v/>
      </c>
    </row>
    <row r="82">
      <c r="A82" s="13" t="inlineStr">
        <is>
          <t>2027/2026/24</t>
        </is>
      </c>
      <c r="B82" s="13" t="inlineStr">
        <is>
          <t>وزارة الداخلية</t>
        </is>
      </c>
      <c r="C82" s="13" t="inlineStr">
        <is>
          <t>Khaled Alabdallah</t>
        </is>
      </c>
      <c r="D82" s="13" t="inlineStr">
        <is>
          <t>مناقصة رقم 2027/2026/24: توريد وتركيب وتشغيل وصيانة وضمان مع تنفيذ مشروع منظومة مركز اتصال العمليات (112) للإدارة العامة لهندسة الاتصالات.</t>
        </is>
      </c>
      <c r="E82"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24" t="inlineStr">
        <is>
          <t>قطاع العمليات المدارة والدعم الفني متعدد الموردين</t>
        </is>
      </c>
      <c r="H82" s="14" t="inlineStr">
        <is>
          <t>85.0%</t>
        </is>
      </c>
      <c r="I82" s="14" t="inlineStr">
        <is>
          <t>government</t>
        </is>
      </c>
      <c r="J82" s="14" t="inlineStr">
        <is>
          <t>2026-09-20</t>
        </is>
      </c>
      <c r="K82" s="14" t="inlineStr">
        <is>
          <t>2026-11-11</t>
        </is>
      </c>
      <c r="L82" s="14" t="inlineStr">
        <is>
          <t>1000.0</t>
        </is>
      </c>
      <c r="M82" s="14" t="inlineStr">
        <is>
          <t>-</t>
        </is>
      </c>
      <c r="N82" s="21" t="inlineStr">
        <is>
          <t>NEW</t>
        </is>
      </c>
      <c r="O82" s="14" t="inlineStr">
        <is>
          <t>فرصة استراتيجية رئيسية (موصى بالتقديم)</t>
        </is>
      </c>
      <c r="P82" s="22">
        <f>HYPERLINK("https://kuwaitalyawm.media.gov.kw/Online/ViewAdsHTML?id=170975&amp;no=1", "عرض المصدر")</f>
        <v/>
      </c>
    </row>
    <row r="83">
      <c r="A83" s="11" t="inlineStr">
        <is>
          <t>2027/2026/18</t>
        </is>
      </c>
      <c r="B83" s="11" t="inlineStr">
        <is>
          <t>وزارة الداخلية</t>
        </is>
      </c>
      <c r="C83" s="11" t="inlineStr">
        <is>
          <t>Khaled Alabdallah</t>
        </is>
      </c>
      <c r="D83" s="11" t="inlineStr">
        <is>
          <t>مناقصة رقم 2027/2026/18: توريد المواد الكيميائية ـ الطلبية السنوية للسنة المالية</t>
        </is>
      </c>
      <c r="E83"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15.0%</t>
        </is>
      </c>
      <c r="I83" s="12" t="inlineStr">
        <is>
          <t>government</t>
        </is>
      </c>
      <c r="J83" s="12" t="inlineStr">
        <is>
          <t>2026-09-06</t>
        </is>
      </c>
      <c r="K83" s="18" t="inlineStr">
        <is>
          <t>2026-10-12</t>
        </is>
      </c>
      <c r="L83" s="12" t="inlineStr">
        <is>
          <t>-</t>
        </is>
      </c>
      <c r="M83" s="12" t="inlineStr">
        <is>
          <t>-</t>
        </is>
      </c>
      <c r="N83" s="21" t="inlineStr">
        <is>
          <t>NEW</t>
        </is>
      </c>
      <c r="O83" s="12" t="inlineStr">
        <is>
          <t>غير متوافقة مع اختصاصات KBM</t>
        </is>
      </c>
      <c r="P83" s="23">
        <f>HYPERLINK("https://kuwaitalyawm.media.gov.kw/Online/ViewAdsHTML?id=169855&amp;no=1", "عرض المصدر")</f>
        <v/>
      </c>
    </row>
    <row r="84">
      <c r="A84" s="13" t="inlineStr">
        <is>
          <t>2027/2026/33</t>
        </is>
      </c>
      <c r="B84" s="13" t="inlineStr">
        <is>
          <t>وزارة الداخلية</t>
        </is>
      </c>
      <c r="C84" s="13" t="inlineStr">
        <is>
          <t>Khaled Alabdallah</t>
        </is>
      </c>
      <c r="D84" s="13" t="inlineStr">
        <is>
          <t>مناقصة رقم 2027/2026/33 - وزارة الداخلية</t>
        </is>
      </c>
      <c r="E84" s="13" t="inlineStr">
        <is>
          <t>أعمال وتوريدات مناقصة رقم 2027/2026/33 لصالح وزارة الداخلية وفقاً للشروط والمواصفات المعتمدة في وثائق الطرح.</t>
        </is>
      </c>
      <c r="F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4" s="14" t="inlineStr">
        <is>
          <t>عام</t>
        </is>
      </c>
      <c r="H84" s="14" t="inlineStr">
        <is>
          <t>15.0%</t>
        </is>
      </c>
      <c r="I84" s="14" t="inlineStr">
        <is>
          <t>government</t>
        </is>
      </c>
      <c r="J84" s="14" t="inlineStr">
        <is>
          <t>2026-09-13</t>
        </is>
      </c>
      <c r="K84" s="14" t="inlineStr">
        <is>
          <t>2026-11-09</t>
        </is>
      </c>
      <c r="L84" s="14" t="inlineStr">
        <is>
          <t>-</t>
        </is>
      </c>
      <c r="M84" s="14" t="inlineStr">
        <is>
          <t>75.0</t>
        </is>
      </c>
      <c r="N84" s="21" t="inlineStr">
        <is>
          <t>NEW</t>
        </is>
      </c>
      <c r="O84" s="14" t="inlineStr">
        <is>
          <t>غير متوافقة مع اختصاصات KBM</t>
        </is>
      </c>
      <c r="P84" s="22">
        <f>HYPERLINK("https://kuwaitalyawm.media.gov.kw/Online/ViewAdsHTML?id=169856&amp;no=1", "عرض المصدر")</f>
        <v/>
      </c>
    </row>
    <row r="85">
      <c r="A85" s="11" t="inlineStr">
        <is>
          <t>2026/2025/37</t>
        </is>
      </c>
      <c r="B85" s="11" t="inlineStr">
        <is>
          <t>وزارة الداخلية</t>
        </is>
      </c>
      <c r="C85" s="11" t="inlineStr">
        <is>
          <t>Khaled Alabdallah</t>
        </is>
      </c>
      <c r="D85" s="11" t="inlineStr">
        <is>
          <t>مناقصة رقم 2026/2025/37: تطوير أنظمة الإدارة والمراقبة وتوفير خدمات تشغيلية لمراكز البيانات</t>
        </is>
      </c>
      <c r="E85" s="11"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5" s="12" t="inlineStr">
        <is>
          <t>عام</t>
        </is>
      </c>
      <c r="H85" s="12" t="inlineStr">
        <is>
          <t>15.0%</t>
        </is>
      </c>
      <c r="I85" s="12" t="inlineStr">
        <is>
          <t>government</t>
        </is>
      </c>
      <c r="J85" s="12" t="inlineStr">
        <is>
          <t>2026-08-30</t>
        </is>
      </c>
      <c r="K85" s="12" t="inlineStr">
        <is>
          <t>2026-09-23</t>
        </is>
      </c>
      <c r="L85" s="12" t="inlineStr">
        <is>
          <t>-</t>
        </is>
      </c>
      <c r="M85" s="12" t="inlineStr">
        <is>
          <t>-</t>
        </is>
      </c>
      <c r="N85" s="21" t="inlineStr">
        <is>
          <t>NEW</t>
        </is>
      </c>
      <c r="O85" s="12" t="inlineStr">
        <is>
          <t>غير متوافقة مع اختصاصات KBM</t>
        </is>
      </c>
      <c r="P85" s="23">
        <f>HYPERLINK("https://kuwaitalyawm.media.gov.kw/Online/ViewAdsHTML?id=168277&amp;no=1", "عرض المصدر")</f>
        <v/>
      </c>
    </row>
    <row r="86">
      <c r="A86" s="13" t="inlineStr">
        <is>
          <t>2026/2025/41</t>
        </is>
      </c>
      <c r="B86" s="13" t="inlineStr">
        <is>
          <t>وزارة الداخلية</t>
        </is>
      </c>
      <c r="C86" s="13" t="inlineStr">
        <is>
          <t>Khaled Alabdallah</t>
        </is>
      </c>
      <c r="D86"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86"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6" s="14" t="inlineStr">
        <is>
          <t>عام</t>
        </is>
      </c>
      <c r="H86" s="14" t="inlineStr">
        <is>
          <t>0.0%</t>
        </is>
      </c>
      <c r="I86" s="14" t="inlineStr">
        <is>
          <t>government</t>
        </is>
      </c>
      <c r="J86" s="14" t="inlineStr">
        <is>
          <t>2026-08-23</t>
        </is>
      </c>
      <c r="K86" s="14" t="inlineStr">
        <is>
          <t>-</t>
        </is>
      </c>
      <c r="L86" s="14" t="inlineStr">
        <is>
          <t>12000.0</t>
        </is>
      </c>
      <c r="M86" s="14" t="inlineStr">
        <is>
          <t>-</t>
        </is>
      </c>
      <c r="N86" s="21" t="inlineStr">
        <is>
          <t>NEW</t>
        </is>
      </c>
      <c r="O86" s="14" t="inlineStr">
        <is>
          <t>غير متوافقة مع اختصاصات KBM</t>
        </is>
      </c>
      <c r="P86" s="22">
        <f>HYPERLINK("https://kuwaitalyawm.media.gov.kw/Online/ViewAdsHTML?id=167483&amp;no=1", "عرض المصدر")</f>
        <v/>
      </c>
    </row>
    <row r="87">
      <c r="A87" s="11" t="inlineStr">
        <is>
          <t>241410119341260</t>
        </is>
      </c>
      <c r="B87" s="11" t="inlineStr">
        <is>
          <t>وزارة الدفاع</t>
        </is>
      </c>
      <c r="C87" s="11" t="inlineStr">
        <is>
          <t>Eiman Ashkanani</t>
        </is>
      </c>
      <c r="D87" s="11" t="inlineStr">
        <is>
          <t>ممارسة رقم 241410119341260: تأثيث من خارج دليل الشراء</t>
        </is>
      </c>
      <c r="E87" s="11" t="inlineStr">
        <is>
          <t>أعمال وتوريدات تأثيث من خارج دليل الشراء لصالح وزارة الدفاع وفقاً للشروط والمواصفات المعتمدة في وثائق الطرح.</t>
        </is>
      </c>
      <c r="F87" s="11" t="inlineStr">
        <is>
          <t>• 1. تقديم كتاب تفويض من الشركة بشراء الوثائق .
• 2. أن تكون الشركة متخصصة في هذا المجال ومصنفة لدى مراقبة تصنيف الشركات بالوزارة لسنة 2026 .
• 3. أن تقدم الشركة شهادة دعم العمالة الوطنية لدى الشركات الغير حكومية .
• 4. سداد الرسوم المقررة لشراء وثائق الممارسة عن طريق الKent .
• 5. جميع التكاليف المترتبة على المشاركة في هذه الممارسة تقع على الممارسين المشاركين كما تحتفظ وزارة لدفاع بحقها بإلغاء أو تعديل أو الاستمرار في هذه الممارسة دون أدنى مسئولية تجاه الوزارة .
• للاستفسار: هاتف : 1844411 – 60395 .</t>
        </is>
      </c>
      <c r="G87" s="12" t="inlineStr">
        <is>
          <t>عام</t>
        </is>
      </c>
      <c r="H87" s="12" t="inlineStr">
        <is>
          <t>15.0%</t>
        </is>
      </c>
      <c r="I87" s="12" t="inlineStr">
        <is>
          <t>government</t>
        </is>
      </c>
      <c r="J87" s="12" t="inlineStr">
        <is>
          <t>2026-09-20</t>
        </is>
      </c>
      <c r="K87" s="18" t="inlineStr">
        <is>
          <t>2026-10-08</t>
        </is>
      </c>
      <c r="L87" s="12" t="inlineStr">
        <is>
          <t>2.0</t>
        </is>
      </c>
      <c r="M87" s="12" t="inlineStr">
        <is>
          <t>75.0</t>
        </is>
      </c>
      <c r="N87" s="21" t="inlineStr">
        <is>
          <t>NEW</t>
        </is>
      </c>
      <c r="O87" s="12" t="inlineStr">
        <is>
          <t>غير متوافقة مع اختصاصات KBM</t>
        </is>
      </c>
      <c r="P87" s="23">
        <f>HYPERLINK("https://kuwaitalyawm.media.gov.kw/Online/ViewAdsHTML?id=170976&amp;no=1", "عرض المصدر")</f>
        <v/>
      </c>
    </row>
    <row r="88">
      <c r="A88" s="13" t="inlineStr">
        <is>
          <t>2414/105/19973/26</t>
        </is>
      </c>
      <c r="B88" s="13" t="inlineStr">
        <is>
          <t>وزارة الدفاع</t>
        </is>
      </c>
      <c r="C88" s="13" t="inlineStr">
        <is>
          <t>Eiman Ashkanani</t>
        </is>
      </c>
      <c r="D88" s="13" t="inlineStr">
        <is>
          <t>ممارسة رقم 2414/105/19973/26: طلب شراء مفروشات لزوم / وزارة الدفاع</t>
        </is>
      </c>
      <c r="E88" s="13" t="inlineStr">
        <is>
          <t>أعمال وتوريدات طلب شراء مفروشات لزوم / وزارة الدفاع لصالح وزارة الدفاع وفقاً للشروط والمواصفات المعتمدة في وثائق الطرح.</t>
        </is>
      </c>
      <c r="F8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88" s="14" t="inlineStr">
        <is>
          <t>عام</t>
        </is>
      </c>
      <c r="H88" s="14" t="inlineStr">
        <is>
          <t>15.0%</t>
        </is>
      </c>
      <c r="I88" s="14" t="inlineStr">
        <is>
          <t>government</t>
        </is>
      </c>
      <c r="J88" s="14" t="inlineStr">
        <is>
          <t>2026-09-20</t>
        </is>
      </c>
      <c r="K88" s="14" t="inlineStr">
        <is>
          <t>2026-10-15</t>
        </is>
      </c>
      <c r="L88" s="14" t="inlineStr">
        <is>
          <t>2.0</t>
        </is>
      </c>
      <c r="M88" s="14" t="inlineStr">
        <is>
          <t>-</t>
        </is>
      </c>
      <c r="N88" s="21" t="inlineStr">
        <is>
          <t>NEW</t>
        </is>
      </c>
      <c r="O88" s="14" t="inlineStr">
        <is>
          <t>غير متوافقة مع اختصاصات KBM</t>
        </is>
      </c>
      <c r="P88" s="22">
        <f>HYPERLINK("https://kuwaitalyawm.media.gov.kw/Online/ViewAdsHTML?id=170977&amp;no=1", "عرض المصدر")</f>
        <v/>
      </c>
    </row>
    <row r="89">
      <c r="A89" s="11" t="inlineStr">
        <is>
          <t>241121234261</t>
        </is>
      </c>
      <c r="B89" s="11" t="inlineStr">
        <is>
          <t>وزارة الدفاع</t>
        </is>
      </c>
      <c r="C89" s="11" t="inlineStr">
        <is>
          <t>Eiman Ashkanani</t>
        </is>
      </c>
      <c r="D89" s="11" t="inlineStr">
        <is>
          <t>مناقصة رقم 241121234261: لتوريد إطارات للآليات العسكرية الثقيلة والخفيفة لمدة سنة</t>
        </is>
      </c>
      <c r="E89" s="11"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9" s="11" t="inlineStr">
        <is>
          <t>• 1/ تقديم كتاب تفويض من الشركة بشراء وثائق المناقصة.
• 2/ تقديم صورة عن شهادة دعم العمالة الوطنية لدى الشركات غير الحكومية ( السنوية).</t>
        </is>
      </c>
      <c r="G89" s="12" t="inlineStr">
        <is>
          <t>عام</t>
        </is>
      </c>
      <c r="H89" s="12" t="inlineStr">
        <is>
          <t>15.0%</t>
        </is>
      </c>
      <c r="I89" s="12" t="inlineStr">
        <is>
          <t>government</t>
        </is>
      </c>
      <c r="J89" s="12" t="inlineStr">
        <is>
          <t>2026-09-20</t>
        </is>
      </c>
      <c r="K89" s="12" t="inlineStr">
        <is>
          <t>-</t>
        </is>
      </c>
      <c r="L89" s="12" t="inlineStr">
        <is>
          <t>14000.0</t>
        </is>
      </c>
      <c r="M89" s="12" t="inlineStr">
        <is>
          <t>1000.0</t>
        </is>
      </c>
      <c r="N89" s="21" t="inlineStr">
        <is>
          <t>NEW</t>
        </is>
      </c>
      <c r="O89" s="12" t="inlineStr">
        <is>
          <t>غير متوافقة مع اختصاصات KBM</t>
        </is>
      </c>
      <c r="P89" s="23">
        <f>HYPERLINK("https://kuwaitalyawm.media.gov.kw/Online/ViewAdsHTML?id=170978&amp;no=1", "عرض المصدر")</f>
        <v/>
      </c>
    </row>
    <row r="90">
      <c r="A90" s="13" t="inlineStr">
        <is>
          <t>241113235253</t>
        </is>
      </c>
      <c r="B90" s="13" t="inlineStr">
        <is>
          <t>وزارة الدفاع</t>
        </is>
      </c>
      <c r="C90" s="13" t="inlineStr">
        <is>
          <t>Eiman Ashkanani</t>
        </is>
      </c>
      <c r="D90" s="13" t="inlineStr">
        <is>
          <t>مناقصة رقم 241113235253: لإصلاح وصيانة القاطرات والمقطورات</t>
        </is>
      </c>
      <c r="E90" s="13" t="inlineStr">
        <is>
          <t>أعمال وتوريدات لإصلاح وصيانة القاطرات والمقطورات لصالح وزارة الدفاع وفقاً للشروط والمواصفات المعتمدة في وثائق الطرح.</t>
        </is>
      </c>
      <c r="F90" s="13"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90" s="14" t="inlineStr">
        <is>
          <t>عام</t>
        </is>
      </c>
      <c r="H90" s="14" t="inlineStr">
        <is>
          <t>15.0%</t>
        </is>
      </c>
      <c r="I90" s="14" t="inlineStr">
        <is>
          <t>government</t>
        </is>
      </c>
      <c r="J90" s="14" t="inlineStr">
        <is>
          <t>2026-09-20</t>
        </is>
      </c>
      <c r="K90" s="14" t="inlineStr">
        <is>
          <t>2026-10-04</t>
        </is>
      </c>
      <c r="L90" s="14" t="inlineStr">
        <is>
          <t>2.0</t>
        </is>
      </c>
      <c r="M90" s="14" t="inlineStr">
        <is>
          <t>1000.0</t>
        </is>
      </c>
      <c r="N90" s="21" t="inlineStr">
        <is>
          <t>NEW</t>
        </is>
      </c>
      <c r="O90" s="14" t="inlineStr">
        <is>
          <t>غير متوافقة مع اختصاصات KBM</t>
        </is>
      </c>
      <c r="P90" s="22">
        <f>HYPERLINK("https://kuwaitalyawm.media.gov.kw/Online/ViewAdsHTML?id=170979&amp;no=1", "عرض المصدر")</f>
        <v/>
      </c>
    </row>
    <row r="91">
      <c r="A91" s="11" t="inlineStr">
        <is>
          <t>24114235253</t>
        </is>
      </c>
      <c r="B91" s="11" t="inlineStr">
        <is>
          <t>وزارة الدفاع</t>
        </is>
      </c>
      <c r="C91" s="11" t="inlineStr">
        <is>
          <t>Eiman Ashkanani</t>
        </is>
      </c>
      <c r="D91" s="11" t="inlineStr">
        <is>
          <t>مناقصة رقم 24114235253: لإصلاح وصيانة القاطرات والمقطورات والآليات المتوسطة شامل</t>
        </is>
      </c>
      <c r="E91" s="11"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91" s="11"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91" s="12" t="inlineStr">
        <is>
          <t>عام</t>
        </is>
      </c>
      <c r="H91" s="12" t="inlineStr">
        <is>
          <t>15.0%</t>
        </is>
      </c>
      <c r="I91" s="12" t="inlineStr">
        <is>
          <t>government</t>
        </is>
      </c>
      <c r="J91" s="12" t="inlineStr">
        <is>
          <t>2026-09-06</t>
        </is>
      </c>
      <c r="K91" s="12" t="inlineStr">
        <is>
          <t>2026-10-04</t>
        </is>
      </c>
      <c r="L91" s="12" t="inlineStr">
        <is>
          <t>2.0</t>
        </is>
      </c>
      <c r="M91" s="12" t="inlineStr">
        <is>
          <t>1000.0</t>
        </is>
      </c>
      <c r="N91" s="21" t="inlineStr">
        <is>
          <t>NEW</t>
        </is>
      </c>
      <c r="O91" s="12" t="inlineStr">
        <is>
          <t>غير متوافقة مع اختصاصات KBM</t>
        </is>
      </c>
      <c r="P91" s="23">
        <f>HYPERLINK("https://kuwaitalyawm.media.gov.kw/Online/ViewAdsHTML?id=169152&amp;no=1", "عرض المصدر")</f>
        <v/>
      </c>
    </row>
    <row r="92">
      <c r="A92" s="13" t="inlineStr">
        <is>
          <t>1092925</t>
        </is>
      </c>
      <c r="B92" s="13" t="inlineStr">
        <is>
          <t>وزارة الدفاع</t>
        </is>
      </c>
      <c r="C92" s="13" t="inlineStr">
        <is>
          <t>Eiman Ashkanani</t>
        </is>
      </c>
      <c r="D92" s="13" t="inlineStr">
        <is>
          <t>مناقصة رقم 1092925: أعمال صيانة شاملة للمعسكرات التابعة لمراقبة لواء مبارك 15</t>
        </is>
      </c>
      <c r="E92" s="13"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2" s="14" t="inlineStr">
        <is>
          <t>عام</t>
        </is>
      </c>
      <c r="H92" s="14" t="inlineStr">
        <is>
          <t>15.0%</t>
        </is>
      </c>
      <c r="I92" s="14" t="inlineStr">
        <is>
          <t>government</t>
        </is>
      </c>
      <c r="J92" s="14" t="inlineStr">
        <is>
          <t>2026-08-30</t>
        </is>
      </c>
      <c r="K92" s="14" t="inlineStr">
        <is>
          <t>-</t>
        </is>
      </c>
      <c r="L92" s="14" t="inlineStr">
        <is>
          <t>23000.0</t>
        </is>
      </c>
      <c r="M92" s="14" t="inlineStr">
        <is>
          <t>1000.0</t>
        </is>
      </c>
      <c r="N92" s="21" t="inlineStr">
        <is>
          <t>NEW</t>
        </is>
      </c>
      <c r="O92" s="14" t="inlineStr">
        <is>
          <t>غير متوافقة مع اختصاصات KBM</t>
        </is>
      </c>
      <c r="P92" s="22">
        <f>HYPERLINK("https://kuwaitalyawm.media.gov.kw/Online/ViewAdsHTML?id=168278&amp;no=1", "عرض المصدر")</f>
        <v/>
      </c>
    </row>
    <row r="93">
      <c r="A93" s="11" t="inlineStr">
        <is>
          <t>1042826</t>
        </is>
      </c>
      <c r="B93" s="11" t="inlineStr">
        <is>
          <t>وزارة الدفاع</t>
        </is>
      </c>
      <c r="C93" s="11" t="inlineStr">
        <is>
          <t>Eiman Ashkanani</t>
        </is>
      </c>
      <c r="D93" s="11" t="inlineStr">
        <is>
          <t>مناقصة رقم 1042826: تشغيل وصيانة وإصلاح لمحطات الوقود بمعسكرات</t>
        </is>
      </c>
      <c r="E93" s="11" t="inlineStr">
        <is>
          <t>أعمال وتوريدات تشغيل وصيانة وإصلاح لمحطات الوقود بمعسكرات لصالح وزارة الدفاع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24" t="inlineStr">
        <is>
          <t>قطاع العمليات المدارة والدعم الفني متعدد الموردين</t>
        </is>
      </c>
      <c r="H93" s="12" t="inlineStr">
        <is>
          <t>64.0%</t>
        </is>
      </c>
      <c r="I93" s="12" t="inlineStr">
        <is>
          <t>government</t>
        </is>
      </c>
      <c r="J93" s="12" t="inlineStr">
        <is>
          <t>2026-08-30</t>
        </is>
      </c>
      <c r="K93" s="12" t="inlineStr">
        <is>
          <t>2026-10-27</t>
        </is>
      </c>
      <c r="L93" s="12" t="inlineStr">
        <is>
          <t>15000.0</t>
        </is>
      </c>
      <c r="M93" s="12" t="inlineStr">
        <is>
          <t>1000.0</t>
        </is>
      </c>
      <c r="N93" s="21" t="inlineStr">
        <is>
          <t>NEW</t>
        </is>
      </c>
      <c r="O93" s="12" t="inlineStr">
        <is>
          <t>فرصة ICT متوافقة مع قدرات KBM</t>
        </is>
      </c>
      <c r="P93" s="23">
        <f>HYPERLINK("https://kuwaitalyawm.media.gov.kw/Online/ViewAdsHTML?id=168279&amp;no=1", "عرض المصدر")</f>
        <v/>
      </c>
    </row>
    <row r="94">
      <c r="A94" s="13" t="inlineStr">
        <is>
          <t>و ش ج 8/2025/2026</t>
        </is>
      </c>
      <c r="B94" s="13" t="inlineStr">
        <is>
          <t>وزارة الشئون الاجتماعية</t>
        </is>
      </c>
      <c r="C94" s="13" t="inlineStr">
        <is>
          <t>Eiman Ashkanani</t>
        </is>
      </c>
      <c r="D94" s="13" t="inlineStr">
        <is>
          <t>أعمال اصلاح وتشغيل وصيانة معدات التكييف والتبريد والتدفئة والتهوية الخاصة بصالات الأفراح التابعة للوزارة</t>
        </is>
      </c>
      <c r="E94" s="13" t="inlineStr">
        <is>
          <t>أعمال صيانة وتشغيل وإصلاح وحدات ومحطات التكييف المركزي والمبردات وضواغط الهواء وشبكات مجاري الهواء.</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24.0%</t>
        </is>
      </c>
      <c r="I94" s="14" t="inlineStr">
        <is>
          <t>government</t>
        </is>
      </c>
      <c r="J94" s="14" t="inlineStr">
        <is>
          <t>2026-10-04</t>
        </is>
      </c>
      <c r="K94" s="14" t="inlineStr">
        <is>
          <t>2026-12-29</t>
        </is>
      </c>
      <c r="L94" s="14" t="inlineStr">
        <is>
          <t>23000.000 KWD</t>
        </is>
      </c>
      <c r="M94" s="14" t="inlineStr">
        <is>
          <t>1000.000 KWD</t>
        </is>
      </c>
      <c r="N94" s="21" t="inlineStr">
        <is>
          <t>NEW</t>
        </is>
      </c>
      <c r="O94" s="14" t="inlineStr">
        <is>
          <t>غير متوافقة مع اختصاصات KBM</t>
        </is>
      </c>
      <c r="P94" s="22">
        <f>HYPERLINK("https://capt.gov.kw/ar/tenders/opening-tenders/#card-3", "عرض المصدر")</f>
        <v/>
      </c>
    </row>
    <row r="95">
      <c r="A95" s="11" t="inlineStr">
        <is>
          <t>و ش ج 12/2024/2025</t>
        </is>
      </c>
      <c r="B95" s="11" t="inlineStr">
        <is>
          <t>وزارة الشئون الاجتماعية</t>
        </is>
      </c>
      <c r="C95" s="11" t="inlineStr">
        <is>
          <t>Eiman Ashkanani</t>
        </is>
      </c>
      <c r="D95" s="11" t="inlineStr">
        <is>
          <t>اصلاح و تشغيل و صيانة و توريد و تركيب معدات التكييف و التبريد و التهوية و التدفئه لقطاع الرعاية الاجتماعيه و المباني التابعه له</t>
        </is>
      </c>
      <c r="E95" s="11" t="inlineStr">
        <is>
          <t>أعمال صيانة وتشغيل وإصلاح وحدات ومحطات التكييف المركزي والمبردات وضواغط الهواء وشبكات مجاري الهواء.</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0.0%</t>
        </is>
      </c>
      <c r="I95" s="12" t="inlineStr">
        <is>
          <t>government</t>
        </is>
      </c>
      <c r="J95" s="12" t="inlineStr">
        <is>
          <t>2026-08-23</t>
        </is>
      </c>
      <c r="K95" s="12" t="inlineStr">
        <is>
          <t>2026-11-22</t>
        </is>
      </c>
      <c r="L95" s="12" t="inlineStr">
        <is>
          <t>6000.000 KWD</t>
        </is>
      </c>
      <c r="M95" s="12" t="inlineStr">
        <is>
          <t>300.000 KWD</t>
        </is>
      </c>
      <c r="N95" s="21" t="inlineStr">
        <is>
          <t>NEW</t>
        </is>
      </c>
      <c r="O95" s="12" t="inlineStr">
        <is>
          <t>غير متوافقة مع اختصاصات KBM</t>
        </is>
      </c>
      <c r="P95" s="23">
        <f>HYPERLINK("https://capt.gov.kw/ar/tenders/opening-tenders/#card-4", "عرض المصدر")</f>
        <v/>
      </c>
    </row>
    <row r="96">
      <c r="A96" s="13" t="inlineStr">
        <is>
          <t>و ش ج 3/2025/2026</t>
        </is>
      </c>
      <c r="B96" s="13" t="inlineStr">
        <is>
          <t>وزارة الشئون الاجتماعية</t>
        </is>
      </c>
      <c r="C96" s="13" t="inlineStr">
        <is>
          <t>Eiman Ashkanani</t>
        </is>
      </c>
      <c r="D96" s="13" t="inlineStr">
        <is>
          <t>اعمال خدمة النزيل في قطاع الرعاية الأجتماعية</t>
        </is>
      </c>
      <c r="E96"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2026-09-13</t>
        </is>
      </c>
      <c r="K96" s="14" t="inlineStr">
        <is>
          <t>2026-12-08</t>
        </is>
      </c>
      <c r="L96" s="14" t="inlineStr">
        <is>
          <t>45000.000 KWD</t>
        </is>
      </c>
      <c r="M96" s="14" t="inlineStr">
        <is>
          <t>1000.000 KWD</t>
        </is>
      </c>
      <c r="N96" s="21" t="inlineStr">
        <is>
          <t>NEW</t>
        </is>
      </c>
      <c r="O96" s="14" t="inlineStr">
        <is>
          <t>غير متوافقة مع اختصاصات KBM</t>
        </is>
      </c>
      <c r="P96" s="22">
        <f>HYPERLINK("https://capt.gov.kw/ar/tenders/opening-tenders/#card-2", "عرض المصدر")</f>
        <v/>
      </c>
    </row>
    <row r="97">
      <c r="A97" s="11" t="inlineStr">
        <is>
          <t>و ش ج /4/2025/2026</t>
        </is>
      </c>
      <c r="B97" s="11" t="inlineStr">
        <is>
          <t>وزارة الشئون الاجتماعية</t>
        </is>
      </c>
      <c r="C97" s="11" t="inlineStr">
        <is>
          <t>Eiman Ashkanani</t>
        </is>
      </c>
      <c r="D97" s="11" t="inlineStr">
        <is>
          <t>اعداد الدراسات الاستشارية لأعمال منتجع صباح الأحمد لرعاية المسنين التابع لوزارة الشئون الاجتماعية</t>
        </is>
      </c>
      <c r="E97"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2026-09-13</t>
        </is>
      </c>
      <c r="K97" s="12" t="inlineStr">
        <is>
          <t>2026-12-08</t>
        </is>
      </c>
      <c r="L97" s="12" t="inlineStr">
        <is>
          <t>6000.000 KWD</t>
        </is>
      </c>
      <c r="M97" s="12" t="inlineStr">
        <is>
          <t>300.000 KWD</t>
        </is>
      </c>
      <c r="N97" s="21" t="inlineStr">
        <is>
          <t>NEW</t>
        </is>
      </c>
      <c r="O97" s="12" t="inlineStr">
        <is>
          <t>غير متوافقة مع اختصاصات KBM</t>
        </is>
      </c>
      <c r="P97" s="23">
        <f>HYPERLINK("https://capt.gov.kw/ar/tenders/opening-tenders/#card-1", "عرض المصدر")</f>
        <v/>
      </c>
    </row>
    <row r="98">
      <c r="A98" s="13" t="inlineStr">
        <is>
          <t>2/2025/2026</t>
        </is>
      </c>
      <c r="B98" s="13" t="inlineStr">
        <is>
          <t>وزارة الشئون الاجتماعية</t>
        </is>
      </c>
      <c r="C98" s="13" t="inlineStr">
        <is>
          <t>Eiman Ashkanani</t>
        </is>
      </c>
      <c r="D98" s="13" t="inlineStr">
        <is>
          <t>أعمال توريد الحفاظات لكبار السن المقيدين في وزارة الشئون الإجتماعية</t>
        </is>
      </c>
      <c r="E98"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2026-09-20</t>
        </is>
      </c>
      <c r="K98" s="14" t="inlineStr">
        <is>
          <t>2026-12-15</t>
        </is>
      </c>
      <c r="L98" s="14" t="inlineStr">
        <is>
          <t>23000.000 KWD</t>
        </is>
      </c>
      <c r="M98" s="14" t="inlineStr">
        <is>
          <t>1000.000 KWD</t>
        </is>
      </c>
      <c r="N98" s="21" t="inlineStr">
        <is>
          <t>NEW</t>
        </is>
      </c>
      <c r="O98" s="14" t="inlineStr">
        <is>
          <t>غير متوافقة مع اختصاصات KBM</t>
        </is>
      </c>
      <c r="P98" s="22">
        <f>HYPERLINK("https://capt.gov.kw/ar/tenders/opening-tenders/#card-7", "عرض المصدر")</f>
        <v/>
      </c>
    </row>
    <row r="99">
      <c r="A99" s="11" t="inlineStr">
        <is>
          <t>و ش ج / 2/2025/2026</t>
        </is>
      </c>
      <c r="B99" s="11" t="inlineStr">
        <is>
          <t>وزارة الشئون الاجتماعية</t>
        </is>
      </c>
      <c r="C99" s="11" t="inlineStr">
        <is>
          <t>Eiman Ashkanani</t>
        </is>
      </c>
      <c r="D99" s="11" t="inlineStr">
        <is>
          <t>أعمال توريد الحفاظات لكبار السن المقيدين في وزارة الشئون الإجتماعية</t>
        </is>
      </c>
      <c r="E99"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0.0%</t>
        </is>
      </c>
      <c r="I99" s="12" t="inlineStr">
        <is>
          <t>government</t>
        </is>
      </c>
      <c r="J99" s="12" t="inlineStr">
        <is>
          <t>2026-09-20</t>
        </is>
      </c>
      <c r="K99" s="12" t="inlineStr">
        <is>
          <t>2026-12-15</t>
        </is>
      </c>
      <c r="L99" s="12" t="inlineStr">
        <is>
          <t>23000.000 KWD</t>
        </is>
      </c>
      <c r="M99" s="12" t="inlineStr">
        <is>
          <t>1000.000 KWD</t>
        </is>
      </c>
      <c r="N99" s="26" t="inlineStr">
        <is>
          <t>UNCHANGED</t>
        </is>
      </c>
      <c r="O99" s="12" t="inlineStr">
        <is>
          <t>غير متوافقة مع اختصاصات KBM</t>
        </is>
      </c>
      <c r="P99" s="23">
        <f>HYPERLINK("https://capt.gov.kw/ar/tenders/opening-tenders/#card-4", "عرض المصدر")</f>
        <v/>
      </c>
    </row>
    <row r="100">
      <c r="A100" s="13" t="inlineStr">
        <is>
          <t>9-51</t>
        </is>
      </c>
      <c r="B100" s="13" t="inlineStr">
        <is>
          <t>وزارة الصحة</t>
        </is>
      </c>
      <c r="C100" s="13" t="inlineStr">
        <is>
          <t>Jana Al-Obaid</t>
        </is>
      </c>
      <c r="D100" s="13" t="inlineStr">
        <is>
          <t>ممارسة رقم 9-51 - وزارة الصحة</t>
        </is>
      </c>
      <c r="E100" s="13" t="inlineStr">
        <is>
          <t>أعمال وتوريدات ممارسة رقم 9-51 لصالح وزارة الصحة وفقاً للشروط والمواصفات المعتمدة في وثائق الطرح.</t>
        </is>
      </c>
      <c r="F10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0" s="14" t="inlineStr">
        <is>
          <t>عام</t>
        </is>
      </c>
      <c r="H100" s="14" t="inlineStr">
        <is>
          <t>0.0%</t>
        </is>
      </c>
      <c r="I100" s="14" t="inlineStr">
        <is>
          <t>government</t>
        </is>
      </c>
      <c r="J100" s="14" t="inlineStr">
        <is>
          <t>2026-09-27</t>
        </is>
      </c>
      <c r="K100" s="14" t="inlineStr">
        <is>
          <t>2026-10-26</t>
        </is>
      </c>
      <c r="L100" s="14" t="inlineStr">
        <is>
          <t>-</t>
        </is>
      </c>
      <c r="M100" s="14" t="inlineStr">
        <is>
          <t>1000.0</t>
        </is>
      </c>
      <c r="N100" s="21" t="inlineStr">
        <is>
          <t>NEW</t>
        </is>
      </c>
      <c r="O100" s="14" t="inlineStr">
        <is>
          <t>غير متوافقة مع اختصاصات KBM</t>
        </is>
      </c>
      <c r="P100" s="22">
        <f>HYPERLINK("https://kuwaitalyawm.media.gov.kw/Online/ViewAdsHTML?id=171551&amp;no=1", "عرض المصدر")</f>
        <v/>
      </c>
    </row>
    <row r="101">
      <c r="A101" s="11" t="inlineStr">
        <is>
          <t>217-57</t>
        </is>
      </c>
      <c r="B101" s="11" t="inlineStr">
        <is>
          <t>وزارة الصحة</t>
        </is>
      </c>
      <c r="C101" s="11" t="inlineStr">
        <is>
          <t>Jana Al-Obaid</t>
        </is>
      </c>
      <c r="D101" s="11" t="inlineStr">
        <is>
          <t>ممارسة رقم 217-57 - وزارة الصحة</t>
        </is>
      </c>
      <c r="E101" s="11" t="inlineStr">
        <is>
          <t>أعمال وتوريدات ممارسة رقم 217-57 لصالح وزارة الصحة وفقاً للشروط والمواصفات المعتمدة في وثائق الطرح.</t>
        </is>
      </c>
      <c r="F101"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1" s="12" t="inlineStr">
        <is>
          <t>عام</t>
        </is>
      </c>
      <c r="H101" s="12" t="inlineStr">
        <is>
          <t>0.0%</t>
        </is>
      </c>
      <c r="I101" s="12" t="inlineStr">
        <is>
          <t>government</t>
        </is>
      </c>
      <c r="J101" s="12" t="inlineStr">
        <is>
          <t>2026-09-27</t>
        </is>
      </c>
      <c r="K101" s="18" t="inlineStr">
        <is>
          <t>2026-10-12</t>
        </is>
      </c>
      <c r="L101" s="12" t="inlineStr">
        <is>
          <t>-</t>
        </is>
      </c>
      <c r="M101" s="12" t="inlineStr">
        <is>
          <t>75.0</t>
        </is>
      </c>
      <c r="N101" s="21" t="inlineStr">
        <is>
          <t>NEW</t>
        </is>
      </c>
      <c r="O101" s="12" t="inlineStr">
        <is>
          <t>غير متوافقة مع اختصاصات KBM</t>
        </is>
      </c>
      <c r="P101" s="23">
        <f>HYPERLINK("https://kuwaitalyawm.media.gov.kw/Online/ViewAdsHTML?id=171552&amp;no=1", "عرض المصدر")</f>
        <v/>
      </c>
    </row>
    <row r="102">
      <c r="A102" s="13" t="inlineStr">
        <is>
          <t>2027/2026/74</t>
        </is>
      </c>
      <c r="B102" s="13" t="inlineStr">
        <is>
          <t>وزارة الصحة</t>
        </is>
      </c>
      <c r="C102" s="13" t="inlineStr">
        <is>
          <t>Jana Al-Obaid</t>
        </is>
      </c>
      <c r="D102" s="13" t="inlineStr">
        <is>
          <t>ممارسة رقم 2027/2026/74: توريد وتركيب وتشغيل شاشات تليفزيون لمركز الصليبية وتحويلة لمركز علاج الإدمان</t>
        </is>
      </c>
      <c r="E102" s="13" t="inlineStr">
        <is>
          <t>توريد المستلزمات والمواد والمستهلكات الطبية أو المخبرية المتخصصة لصالح المرافق الصحية.</t>
        </is>
      </c>
      <c r="F1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2" s="14" t="inlineStr">
        <is>
          <t>عام</t>
        </is>
      </c>
      <c r="H102" s="14" t="inlineStr">
        <is>
          <t>15.0%</t>
        </is>
      </c>
      <c r="I102" s="14" t="inlineStr">
        <is>
          <t>government</t>
        </is>
      </c>
      <c r="J102" s="14" t="inlineStr">
        <is>
          <t>2026-09-27</t>
        </is>
      </c>
      <c r="K102" s="14" t="inlineStr">
        <is>
          <t>-</t>
        </is>
      </c>
      <c r="L102" s="14" t="inlineStr">
        <is>
          <t>-</t>
        </is>
      </c>
      <c r="M102" s="14" t="inlineStr">
        <is>
          <t>-</t>
        </is>
      </c>
      <c r="N102" s="21" t="inlineStr">
        <is>
          <t>NEW</t>
        </is>
      </c>
      <c r="O102" s="14" t="inlineStr">
        <is>
          <t>غير متوافقة مع اختصاصات KBM</t>
        </is>
      </c>
      <c r="P102" s="22">
        <f>HYPERLINK("https://kuwaitalyawm.media.gov.kw/Online/ViewAdsHTML?id=171553&amp;no=1", "عرض المصدر")</f>
        <v/>
      </c>
    </row>
    <row r="103">
      <c r="A103" s="11" t="inlineStr">
        <is>
          <t>281</t>
        </is>
      </c>
      <c r="B103" s="11" t="inlineStr">
        <is>
          <t>وزارة الصحة</t>
        </is>
      </c>
      <c r="C103" s="11" t="inlineStr">
        <is>
          <t>Jana Al-Obaid</t>
        </is>
      </c>
      <c r="D103" s="11" t="inlineStr">
        <is>
          <t>ممارسة رقم 281 - وزارة الصحة</t>
        </is>
      </c>
      <c r="E103" s="11" t="inlineStr">
        <is>
          <t>أعمال وتوريدات ممارسة رقم 281 لصالح وزارة الصحة وفقاً للشروط والمواصفات المعتمدة في وثائق الطرح.</t>
        </is>
      </c>
      <c r="F103"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3" s="12" t="inlineStr">
        <is>
          <t>عام</t>
        </is>
      </c>
      <c r="H103" s="12" t="inlineStr">
        <is>
          <t>0.0%</t>
        </is>
      </c>
      <c r="I103" s="12" t="inlineStr">
        <is>
          <t>government</t>
        </is>
      </c>
      <c r="J103" s="12" t="inlineStr">
        <is>
          <t>2026-09-27</t>
        </is>
      </c>
      <c r="K103" s="18" t="inlineStr">
        <is>
          <t>2026-10-05</t>
        </is>
      </c>
      <c r="L103" s="12" t="inlineStr">
        <is>
          <t>-</t>
        </is>
      </c>
      <c r="M103" s="12" t="inlineStr">
        <is>
          <t>1000.0</t>
        </is>
      </c>
      <c r="N103" s="21" t="inlineStr">
        <is>
          <t>NEW</t>
        </is>
      </c>
      <c r="O103" s="12" t="inlineStr">
        <is>
          <t>غير متوافقة مع اختصاصات KBM</t>
        </is>
      </c>
      <c r="P103" s="23">
        <f>HYPERLINK("https://kuwaitalyawm.media.gov.kw/Online/ViewAdsHTML?id=171554&amp;no=1", "عرض المصدر")</f>
        <v/>
      </c>
    </row>
    <row r="104">
      <c r="A104" s="13" t="inlineStr">
        <is>
          <t>321</t>
        </is>
      </c>
      <c r="B104" s="13" t="inlineStr">
        <is>
          <t>وزارة الصحة</t>
        </is>
      </c>
      <c r="C104" s="13" t="inlineStr">
        <is>
          <t>Jana Al-Obaid</t>
        </is>
      </c>
      <c r="D104" s="13" t="inlineStr">
        <is>
          <t>ممارسة رقم 321 - وزارة الصحة</t>
        </is>
      </c>
      <c r="E104" s="13" t="inlineStr">
        <is>
          <t>أعمال وتوريدات ممارسة رقم 321 لصالح وزارة الصحة وفقاً للشروط والمواصفات المعتمدة في وثائق الطرح.</t>
        </is>
      </c>
      <c r="F10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04" s="14" t="inlineStr">
        <is>
          <t>عام</t>
        </is>
      </c>
      <c r="H104" s="14" t="inlineStr">
        <is>
          <t>15.0%</t>
        </is>
      </c>
      <c r="I104" s="14" t="inlineStr">
        <is>
          <t>government</t>
        </is>
      </c>
      <c r="J104" s="14" t="inlineStr">
        <is>
          <t>2026-09-27</t>
        </is>
      </c>
      <c r="K104" s="14" t="inlineStr">
        <is>
          <t>2026-10-28</t>
        </is>
      </c>
      <c r="L104" s="14" t="inlineStr">
        <is>
          <t>-</t>
        </is>
      </c>
      <c r="M104" s="14" t="inlineStr">
        <is>
          <t>75.0</t>
        </is>
      </c>
      <c r="N104" s="21" t="inlineStr">
        <is>
          <t>NEW</t>
        </is>
      </c>
      <c r="O104" s="14" t="inlineStr">
        <is>
          <t>غير متوافقة مع اختصاصات KBM</t>
        </is>
      </c>
      <c r="P104" s="22">
        <f>HYPERLINK("https://kuwaitalyawm.media.gov.kw/Online/ViewAdsHTML?id=171555&amp;no=1", "عرض المصدر")</f>
        <v/>
      </c>
    </row>
    <row r="105">
      <c r="A105" s="11" t="inlineStr">
        <is>
          <t>16-5</t>
        </is>
      </c>
      <c r="B105" s="11" t="inlineStr">
        <is>
          <t>وزارة الصحة</t>
        </is>
      </c>
      <c r="C105" s="11" t="inlineStr">
        <is>
          <t>Jana Al-Obaid</t>
        </is>
      </c>
      <c r="D105" s="11" t="inlineStr">
        <is>
          <t>ممارسة رقم 16-5 - وزارة الصحة</t>
        </is>
      </c>
      <c r="E105" s="11" t="inlineStr">
        <is>
          <t>أعمال وتوريدات ممارسة رقم 16-5 لصالح وزارة الصحة وفقاً للشروط والمواصفات المعتمدة في وثائق الطرح.</t>
        </is>
      </c>
      <c r="F10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5" s="12" t="inlineStr">
        <is>
          <t>عام</t>
        </is>
      </c>
      <c r="H105" s="12" t="inlineStr">
        <is>
          <t>15.0%</t>
        </is>
      </c>
      <c r="I105" s="12" t="inlineStr">
        <is>
          <t>government</t>
        </is>
      </c>
      <c r="J105" s="12" t="inlineStr">
        <is>
          <t>2026-09-20</t>
        </is>
      </c>
      <c r="K105" s="12" t="inlineStr">
        <is>
          <t>2026-10-14</t>
        </is>
      </c>
      <c r="L105" s="12" t="inlineStr">
        <is>
          <t>-</t>
        </is>
      </c>
      <c r="M105" s="12" t="inlineStr">
        <is>
          <t>300.0</t>
        </is>
      </c>
      <c r="N105" s="21" t="inlineStr">
        <is>
          <t>NEW</t>
        </is>
      </c>
      <c r="O105" s="12" t="inlineStr">
        <is>
          <t>غير متوافقة مع اختصاصات KBM</t>
        </is>
      </c>
      <c r="P105" s="23">
        <f>HYPERLINK("https://kuwaitalyawm.media.gov.kw/Online/ViewAdsHTML?id=170980&amp;no=1", "عرض المصدر")</f>
        <v/>
      </c>
    </row>
    <row r="106">
      <c r="A106" s="13" t="inlineStr">
        <is>
          <t>370-278</t>
        </is>
      </c>
      <c r="B106" s="13" t="inlineStr">
        <is>
          <t>وزارة الصحة</t>
        </is>
      </c>
      <c r="C106" s="13" t="inlineStr">
        <is>
          <t>Jana Al-Obaid</t>
        </is>
      </c>
      <c r="D106" s="13" t="inlineStr">
        <is>
          <t>ممارسة رقم 370-278 - وزارة الصحة</t>
        </is>
      </c>
      <c r="E106" s="13" t="inlineStr">
        <is>
          <t>أعمال وتوريدات ممارسة رقم 370-278 لصالح وزارة الصحة وفقاً للشروط والمواصفات المعتمدة في وثائق الطرح.</t>
        </is>
      </c>
      <c r="F106"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06" s="14" t="inlineStr">
        <is>
          <t>قطاع الأمن السيبراني والدفاع الرقمي</t>
        </is>
      </c>
      <c r="H106" s="14" t="inlineStr">
        <is>
          <t>47.0%</t>
        </is>
      </c>
      <c r="I106" s="14" t="inlineStr">
        <is>
          <t>government</t>
        </is>
      </c>
      <c r="J106" s="14" t="inlineStr">
        <is>
          <t>2026-09-20</t>
        </is>
      </c>
      <c r="K106" s="18" t="inlineStr">
        <is>
          <t>2026-10-12</t>
        </is>
      </c>
      <c r="L106" s="14" t="inlineStr">
        <is>
          <t>-</t>
        </is>
      </c>
      <c r="M106" s="14" t="inlineStr">
        <is>
          <t>75.0</t>
        </is>
      </c>
      <c r="N106" s="21" t="inlineStr">
        <is>
          <t>NEW</t>
        </is>
      </c>
      <c r="O106" s="14" t="inlineStr">
        <is>
          <t>فرصة تتطلب شراكة أو دراسة نطاق</t>
        </is>
      </c>
      <c r="P106" s="22">
        <f>HYPERLINK("https://kuwaitalyawm.media.gov.kw/Online/ViewAdsHTML?id=170981&amp;no=1", "عرض المصدر")</f>
        <v/>
      </c>
    </row>
    <row r="107">
      <c r="A107" s="11" t="inlineStr">
        <is>
          <t>223-396</t>
        </is>
      </c>
      <c r="B107" s="11" t="inlineStr">
        <is>
          <t>وزارة الصحة</t>
        </is>
      </c>
      <c r="C107" s="11" t="inlineStr">
        <is>
          <t>Jana Al-Obaid</t>
        </is>
      </c>
      <c r="D107" s="11" t="inlineStr">
        <is>
          <t>ممارسة رقم 223-396 - وزارة الصحة</t>
        </is>
      </c>
      <c r="E107" s="11" t="inlineStr">
        <is>
          <t>أعمال وتوريدات ممارسة رقم 223-396 لصالح وزارة الصحة وفقاً للشروط والمواصفات المعتمدة في وثائق الطرح.</t>
        </is>
      </c>
      <c r="F107"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07" s="12" t="inlineStr">
        <is>
          <t>عام</t>
        </is>
      </c>
      <c r="H107" s="12" t="inlineStr">
        <is>
          <t>15.0%</t>
        </is>
      </c>
      <c r="I107" s="12" t="inlineStr">
        <is>
          <t>government</t>
        </is>
      </c>
      <c r="J107" s="12" t="inlineStr">
        <is>
          <t>2026-09-20</t>
        </is>
      </c>
      <c r="K107" s="18" t="inlineStr">
        <is>
          <t>2026-10-12</t>
        </is>
      </c>
      <c r="L107" s="12" t="inlineStr">
        <is>
          <t>-</t>
        </is>
      </c>
      <c r="M107" s="12" t="inlineStr">
        <is>
          <t>75.0</t>
        </is>
      </c>
      <c r="N107" s="21" t="inlineStr">
        <is>
          <t>NEW</t>
        </is>
      </c>
      <c r="O107" s="12" t="inlineStr">
        <is>
          <t>غير متوافقة مع اختصاصات KBM</t>
        </is>
      </c>
      <c r="P107" s="23">
        <f>HYPERLINK("https://kuwaitalyawm.media.gov.kw/Online/ViewAdsHTML?id=170982&amp;no=1", "عرض المصدر")</f>
        <v/>
      </c>
    </row>
    <row r="108">
      <c r="A108" s="13" t="inlineStr">
        <is>
          <t>294-293</t>
        </is>
      </c>
      <c r="B108" s="13" t="inlineStr">
        <is>
          <t>وزارة الصحة</t>
        </is>
      </c>
      <c r="C108" s="13" t="inlineStr">
        <is>
          <t>Jana Al-Obaid</t>
        </is>
      </c>
      <c r="D108" s="13" t="inlineStr">
        <is>
          <t>ممارسة رقم 294-293 - وزارة الصحة</t>
        </is>
      </c>
      <c r="E108" s="13" t="inlineStr">
        <is>
          <t>أعمال وتوريدات ممارسة رقم 294-293 لصالح وزارة الصحة وفقاً للشروط والمواصفات المعتمدة في وثائق الطرح.</t>
        </is>
      </c>
      <c r="F10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8" s="14" t="inlineStr">
        <is>
          <t>عام</t>
        </is>
      </c>
      <c r="H108" s="14" t="inlineStr">
        <is>
          <t>15.0%</t>
        </is>
      </c>
      <c r="I108" s="14" t="inlineStr">
        <is>
          <t>government</t>
        </is>
      </c>
      <c r="J108" s="14" t="inlineStr">
        <is>
          <t>2026-09-20</t>
        </is>
      </c>
      <c r="K108" s="14" t="inlineStr">
        <is>
          <t>2026-10-21</t>
        </is>
      </c>
      <c r="L108" s="14" t="inlineStr">
        <is>
          <t>-</t>
        </is>
      </c>
      <c r="M108" s="14" t="inlineStr">
        <is>
          <t>75.0</t>
        </is>
      </c>
      <c r="N108" s="21" t="inlineStr">
        <is>
          <t>NEW</t>
        </is>
      </c>
      <c r="O108" s="14" t="inlineStr">
        <is>
          <t>غير متوافقة مع اختصاصات KBM</t>
        </is>
      </c>
      <c r="P108" s="22">
        <f>HYPERLINK("https://kuwaitalyawm.media.gov.kw/Online/ViewAdsHTML?id=170983&amp;no=1", "عرض المصدر")</f>
        <v/>
      </c>
    </row>
    <row r="109">
      <c r="A109" s="11" t="inlineStr">
        <is>
          <t>115-214</t>
        </is>
      </c>
      <c r="B109" s="11" t="inlineStr">
        <is>
          <t>وزارة الصحة</t>
        </is>
      </c>
      <c r="C109" s="11" t="inlineStr">
        <is>
          <t>Jana Al-Obaid</t>
        </is>
      </c>
      <c r="D109" s="11" t="inlineStr">
        <is>
          <t>ممارسة رقم 115-214 - وزارة الصحة</t>
        </is>
      </c>
      <c r="E109" s="11" t="inlineStr">
        <is>
          <t>أعمال وتوريدات ممارسة رقم 115-214 لصالح وزارة الصحة وفقاً للشروط والمواصفات المعتمدة في وثائق الطرح.</t>
        </is>
      </c>
      <c r="F109"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09" s="12" t="inlineStr">
        <is>
          <t>عام</t>
        </is>
      </c>
      <c r="H109" s="12" t="inlineStr">
        <is>
          <t>15.0%</t>
        </is>
      </c>
      <c r="I109" s="12" t="inlineStr">
        <is>
          <t>government</t>
        </is>
      </c>
      <c r="J109" s="12" t="inlineStr">
        <is>
          <t>2026-09-20</t>
        </is>
      </c>
      <c r="K109" s="18" t="inlineStr">
        <is>
          <t>2026-10-12</t>
        </is>
      </c>
      <c r="L109" s="12" t="inlineStr">
        <is>
          <t>-</t>
        </is>
      </c>
      <c r="M109" s="12" t="inlineStr">
        <is>
          <t>75.0</t>
        </is>
      </c>
      <c r="N109" s="21" t="inlineStr">
        <is>
          <t>NEW</t>
        </is>
      </c>
      <c r="O109" s="12" t="inlineStr">
        <is>
          <t>غير متوافقة مع اختصاصات KBM</t>
        </is>
      </c>
      <c r="P109" s="23">
        <f>HYPERLINK("https://kuwaitalyawm.media.gov.kw/Online/ViewAdsHTML?id=170984&amp;no=1", "عرض المصدر")</f>
        <v/>
      </c>
    </row>
    <row r="110">
      <c r="A110" s="13" t="inlineStr">
        <is>
          <t>331-16</t>
        </is>
      </c>
      <c r="B110" s="13" t="inlineStr">
        <is>
          <t>وزارة الصحة</t>
        </is>
      </c>
      <c r="C110" s="13" t="inlineStr">
        <is>
          <t>Jana Al-Obaid</t>
        </is>
      </c>
      <c r="D110" s="13" t="inlineStr">
        <is>
          <t>ممارسة رقم 331-16 - وزارة الصحة</t>
        </is>
      </c>
      <c r="E110" s="13" t="inlineStr">
        <is>
          <t>أعمال وتوريدات ممارسة رقم 331-16 لصالح وزارة الصحة وفقاً للشروط والمواصفات المعتمدة في وثائق الطرح.</t>
        </is>
      </c>
      <c r="F11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10" s="14" t="inlineStr">
        <is>
          <t>عام</t>
        </is>
      </c>
      <c r="H110" s="14" t="inlineStr">
        <is>
          <t>0.0%</t>
        </is>
      </c>
      <c r="I110" s="14" t="inlineStr">
        <is>
          <t>government</t>
        </is>
      </c>
      <c r="J110" s="14" t="inlineStr">
        <is>
          <t>2026-09-20</t>
        </is>
      </c>
      <c r="K110" s="18" t="inlineStr">
        <is>
          <t>2026-10-12</t>
        </is>
      </c>
      <c r="L110" s="14" t="inlineStr">
        <is>
          <t>-</t>
        </is>
      </c>
      <c r="M110" s="14" t="inlineStr">
        <is>
          <t>75.0</t>
        </is>
      </c>
      <c r="N110" s="21" t="inlineStr">
        <is>
          <t>NEW</t>
        </is>
      </c>
      <c r="O110" s="14" t="inlineStr">
        <is>
          <t>غير متوافقة مع اختصاصات KBM</t>
        </is>
      </c>
      <c r="P110" s="22">
        <f>HYPERLINK("https://kuwaitalyawm.media.gov.kw/Online/ViewAdsHTML?id=170985&amp;no=1", "عرض المصدر")</f>
        <v/>
      </c>
    </row>
    <row r="111">
      <c r="A111" s="11" t="inlineStr">
        <is>
          <t>221-127</t>
        </is>
      </c>
      <c r="B111" s="11" t="inlineStr">
        <is>
          <t>وزارة الصحة</t>
        </is>
      </c>
      <c r="C111" s="11" t="inlineStr">
        <is>
          <t>Jana Al-Obaid</t>
        </is>
      </c>
      <c r="D111" s="11" t="inlineStr">
        <is>
          <t>ممارسة رقم 221-127 - وزارة الصحة</t>
        </is>
      </c>
      <c r="E111" s="11" t="inlineStr">
        <is>
          <t>أعمال وتوريدات ممارسة رقم 221-127 لصالح وزارة الصحة وفقاً للشروط والمواصفات المعتمدة في وثائق الطرح.</t>
        </is>
      </c>
      <c r="F111" s="11" t="inlineStr">
        <is>
          <t>• الشركة المحلية يجب أن تكون مسجلة لدى إدارة المستودعات الطبية بسجل الموردين
• الشركة المحلية يجب أن تكون متخصصة في المجال الطبي وموثق بشهادة معتمدة من غرفة التجارة والصناعة
• عند تقديم عرضين يجب شراء كراستين بوصلين مختلفين
•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تقديم عينات للمواد الجديدة سواءً كان منتج جديد يطلب لأول مرة أو من شركة مصنعة جديدة للمراقبة المختصة ( الأدوية – اللوازم الطبية)
• ارفاق شهادة نسبة دعم العمالة الوطنية
• يمكن الحصول على وثائق الممارسات في الموقع الإلكتروني الخاص بوزارة الصحة
• يمكن دفع رسوم شراء الكراسة من الموقع الإلكتروني لإرفاقه مع وثائق الممارسة
• تقديم عروض الأسعار بظرف مقفل شامل مع وثائق الممارسة حسب تاريخ الإقفال المحدد في الموقع الإلكتروني الخاص بوزارة الصحة</t>
        </is>
      </c>
      <c r="G111" s="12" t="inlineStr">
        <is>
          <t>عام</t>
        </is>
      </c>
      <c r="H111" s="12" t="inlineStr">
        <is>
          <t>0.0%</t>
        </is>
      </c>
      <c r="I111" s="12" t="inlineStr">
        <is>
          <t>government</t>
        </is>
      </c>
      <c r="J111" s="12" t="inlineStr">
        <is>
          <t>2026-09-20</t>
        </is>
      </c>
      <c r="K111" s="18" t="inlineStr">
        <is>
          <t>2026-10-05</t>
        </is>
      </c>
      <c r="L111" s="12" t="inlineStr">
        <is>
          <t>-</t>
        </is>
      </c>
      <c r="M111" s="12" t="inlineStr">
        <is>
          <t>1000.0</t>
        </is>
      </c>
      <c r="N111" s="21" t="inlineStr">
        <is>
          <t>NEW</t>
        </is>
      </c>
      <c r="O111" s="12" t="inlineStr">
        <is>
          <t>غير متوافقة مع اختصاصات KBM</t>
        </is>
      </c>
      <c r="P111" s="23">
        <f>HYPERLINK("https://kuwaitalyawm.media.gov.kw/Online/ViewAdsHTML?id=170986&amp;no=1", "عرض المصدر")</f>
        <v/>
      </c>
    </row>
    <row r="112">
      <c r="A112" s="13" t="inlineStr">
        <is>
          <t>41-40</t>
        </is>
      </c>
      <c r="B112" s="13" t="inlineStr">
        <is>
          <t>وزارة الصحة</t>
        </is>
      </c>
      <c r="C112" s="13" t="inlineStr">
        <is>
          <t>Jana Al-Obaid</t>
        </is>
      </c>
      <c r="D112" s="13" t="inlineStr">
        <is>
          <t>ممارسة رقم 41-40 - وزارة الصحة</t>
        </is>
      </c>
      <c r="E112" s="13" t="inlineStr">
        <is>
          <t>أعمال وتوريدات ممارسة رقم 41-40 لصالح وزارة الصحة وفقاً للشروط والمواصفات المعتمدة في وثائق الطرح.</t>
        </is>
      </c>
      <c r="F11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12" s="14" t="inlineStr">
        <is>
          <t>عام</t>
        </is>
      </c>
      <c r="H112" s="14" t="inlineStr">
        <is>
          <t>0.0%</t>
        </is>
      </c>
      <c r="I112" s="14" t="inlineStr">
        <is>
          <t>government</t>
        </is>
      </c>
      <c r="J112" s="14" t="inlineStr">
        <is>
          <t>2026-09-20</t>
        </is>
      </c>
      <c r="K112" s="18" t="inlineStr">
        <is>
          <t>2026-10-05</t>
        </is>
      </c>
      <c r="L112" s="14" t="inlineStr">
        <is>
          <t>-</t>
        </is>
      </c>
      <c r="M112" s="14" t="inlineStr">
        <is>
          <t>300.0</t>
        </is>
      </c>
      <c r="N112" s="21" t="inlineStr">
        <is>
          <t>NEW</t>
        </is>
      </c>
      <c r="O112" s="14" t="inlineStr">
        <is>
          <t>غير متوافقة مع اختصاصات KBM</t>
        </is>
      </c>
      <c r="P112" s="22">
        <f>HYPERLINK("https://kuwaitalyawm.media.gov.kw/Online/ViewAdsHTML?id=170987&amp;no=1", "عرض المصدر")</f>
        <v/>
      </c>
    </row>
    <row r="113">
      <c r="A113" s="11" t="inlineStr">
        <is>
          <t>61-16</t>
        </is>
      </c>
      <c r="B113" s="11" t="inlineStr">
        <is>
          <t>وزارة الصحة</t>
        </is>
      </c>
      <c r="C113" s="11" t="inlineStr">
        <is>
          <t>Jana Al-Obaid</t>
        </is>
      </c>
      <c r="D113" s="11" t="inlineStr">
        <is>
          <t>ممارسة رقم 61-16 - وزارة الصحة</t>
        </is>
      </c>
      <c r="E113" s="11" t="inlineStr">
        <is>
          <t>أعمال وتوريدات ممارسة رقم 61-16 لصالح وزارة الصحة وفقاً للشروط والمواصفات المعتمدة في وثائق الطرح.</t>
        </is>
      </c>
      <c r="F11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13" s="12" t="inlineStr">
        <is>
          <t>عام</t>
        </is>
      </c>
      <c r="H113" s="12" t="inlineStr">
        <is>
          <t>0.0%</t>
        </is>
      </c>
      <c r="I113" s="12" t="inlineStr">
        <is>
          <t>government</t>
        </is>
      </c>
      <c r="J113" s="12" t="inlineStr">
        <is>
          <t>2026-09-20</t>
        </is>
      </c>
      <c r="K113" s="12" t="inlineStr">
        <is>
          <t>2026-10-21</t>
        </is>
      </c>
      <c r="L113" s="12" t="inlineStr">
        <is>
          <t>-</t>
        </is>
      </c>
      <c r="M113" s="12" t="inlineStr">
        <is>
          <t>75.0</t>
        </is>
      </c>
      <c r="N113" s="21" t="inlineStr">
        <is>
          <t>NEW</t>
        </is>
      </c>
      <c r="O113" s="12" t="inlineStr">
        <is>
          <t>غير متوافقة مع اختصاصات KBM</t>
        </is>
      </c>
      <c r="P113" s="23">
        <f>HYPERLINK("https://kuwaitalyawm.media.gov.kw/Online/ViewAdsHTML?id=170988&amp;no=1", "عرض المصدر")</f>
        <v/>
      </c>
    </row>
    <row r="114">
      <c r="A114" s="13" t="inlineStr">
        <is>
          <t>41-15</t>
        </is>
      </c>
      <c r="B114" s="13" t="inlineStr">
        <is>
          <t>وزارة الصحة</t>
        </is>
      </c>
      <c r="C114" s="13" t="inlineStr">
        <is>
          <t>Jana Al-Obaid</t>
        </is>
      </c>
      <c r="D114" s="13" t="inlineStr">
        <is>
          <t>ممارسة رقم 41-15 - وزارة الصحة</t>
        </is>
      </c>
      <c r="E114" s="13" t="inlineStr">
        <is>
          <t>أعمال وتوريدات ممارسة رقم 41-15 لصالح وزارة الصحة وفقاً للشروط والمواصفات المعتمدة في وثائق الطرح.</t>
        </is>
      </c>
      <c r="F114"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4" s="14" t="inlineStr">
        <is>
          <t>عام</t>
        </is>
      </c>
      <c r="H114" s="14" t="inlineStr">
        <is>
          <t>0.0%</t>
        </is>
      </c>
      <c r="I114" s="14" t="inlineStr">
        <is>
          <t>government</t>
        </is>
      </c>
      <c r="J114" s="14" t="inlineStr">
        <is>
          <t>2026-09-20</t>
        </is>
      </c>
      <c r="K114" s="18" t="inlineStr">
        <is>
          <t>2026-10-07</t>
        </is>
      </c>
      <c r="L114" s="14" t="inlineStr">
        <is>
          <t>-</t>
        </is>
      </c>
      <c r="M114" s="14" t="inlineStr">
        <is>
          <t>75.0</t>
        </is>
      </c>
      <c r="N114" s="21" t="inlineStr">
        <is>
          <t>NEW</t>
        </is>
      </c>
      <c r="O114" s="14" t="inlineStr">
        <is>
          <t>غير متوافقة مع اختصاصات KBM</t>
        </is>
      </c>
      <c r="P114" s="22">
        <f>HYPERLINK("https://kuwaitalyawm.media.gov.kw/Online/ViewAdsHTML?id=170989&amp;no=1", "عرض المصدر")</f>
        <v/>
      </c>
    </row>
    <row r="115">
      <c r="A115" s="11" t="inlineStr">
        <is>
          <t>4-6</t>
        </is>
      </c>
      <c r="B115" s="11" t="inlineStr">
        <is>
          <t>وزارة الصحة</t>
        </is>
      </c>
      <c r="C115" s="11" t="inlineStr">
        <is>
          <t>Jana Al-Obaid</t>
        </is>
      </c>
      <c r="D115" s="11" t="inlineStr">
        <is>
          <t>ممارسة رقم 4-6 - وزارة الصحة</t>
        </is>
      </c>
      <c r="E115" s="11" t="inlineStr">
        <is>
          <t>أعمال وتوريدات ممارسة رقم 4-6 لصالح وزارة الصحة وفقاً للشروط والمواصفات المعتمدة في وثائق الطرح.</t>
        </is>
      </c>
      <c r="F11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5" s="12" t="inlineStr">
        <is>
          <t>عام</t>
        </is>
      </c>
      <c r="H115" s="12" t="inlineStr">
        <is>
          <t>0.0%</t>
        </is>
      </c>
      <c r="I115" s="12" t="inlineStr">
        <is>
          <t>government</t>
        </is>
      </c>
      <c r="J115" s="12" t="inlineStr">
        <is>
          <t>2026-09-20</t>
        </is>
      </c>
      <c r="K115" s="12" t="inlineStr">
        <is>
          <t>2026-10-14</t>
        </is>
      </c>
      <c r="L115" s="12" t="inlineStr">
        <is>
          <t>-</t>
        </is>
      </c>
      <c r="M115" s="12" t="inlineStr">
        <is>
          <t>75.0</t>
        </is>
      </c>
      <c r="N115" s="21" t="inlineStr">
        <is>
          <t>NEW</t>
        </is>
      </c>
      <c r="O115" s="12" t="inlineStr">
        <is>
          <t>غير متوافقة مع اختصاصات KBM</t>
        </is>
      </c>
      <c r="P115" s="23">
        <f>HYPERLINK("https://kuwaitalyawm.media.gov.kw/Online/ViewAdsHTML?id=170990&amp;no=1", "عرض المصدر")</f>
        <v/>
      </c>
    </row>
    <row r="116">
      <c r="A116" s="13" t="inlineStr">
        <is>
          <t>2027/2026/72</t>
        </is>
      </c>
      <c r="B116" s="13" t="inlineStr">
        <is>
          <t>وزارة الصحة</t>
        </is>
      </c>
      <c r="C116" s="13" t="inlineStr">
        <is>
          <t>Jana Al-Obaid</t>
        </is>
      </c>
      <c r="D116"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16"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14" t="inlineStr">
        <is>
          <t>عام</t>
        </is>
      </c>
      <c r="H116" s="14" t="inlineStr">
        <is>
          <t>15.0%</t>
        </is>
      </c>
      <c r="I116" s="14" t="inlineStr">
        <is>
          <t>government</t>
        </is>
      </c>
      <c r="J116" s="14" t="inlineStr">
        <is>
          <t>2026-09-20</t>
        </is>
      </c>
      <c r="K116" s="14" t="inlineStr">
        <is>
          <t>-</t>
        </is>
      </c>
      <c r="L116" s="14" t="inlineStr">
        <is>
          <t>-</t>
        </is>
      </c>
      <c r="M116" s="14" t="inlineStr">
        <is>
          <t>-</t>
        </is>
      </c>
      <c r="N116" s="21" t="inlineStr">
        <is>
          <t>NEW</t>
        </is>
      </c>
      <c r="O116" s="14" t="inlineStr">
        <is>
          <t>غير متوافقة مع اختصاصات KBM</t>
        </is>
      </c>
      <c r="P116" s="22">
        <f>HYPERLINK("https://kuwaitalyawm.media.gov.kw/Online/ViewAdsHTML?id=170991&amp;no=1", "عرض المصدر")</f>
        <v/>
      </c>
    </row>
    <row r="117">
      <c r="A117" s="11" t="inlineStr">
        <is>
          <t>126-320</t>
        </is>
      </c>
      <c r="B117" s="11" t="inlineStr">
        <is>
          <t>وزارة الصحة</t>
        </is>
      </c>
      <c r="C117" s="11" t="inlineStr">
        <is>
          <t>Jana Al-Obaid</t>
        </is>
      </c>
      <c r="D117" s="11" t="inlineStr">
        <is>
          <t>ممارسة رقم 126-320 - وزارة الصحة</t>
        </is>
      </c>
      <c r="E117" s="11" t="inlineStr">
        <is>
          <t>أعمال وتوريدات ممارسة رقم 126-320 لصالح وزارة الصحة وفقاً للشروط والمواصفات المعتمدة في وثائق الطرح.</t>
        </is>
      </c>
      <c r="F117"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7" s="12" t="inlineStr">
        <is>
          <t>عام</t>
        </is>
      </c>
      <c r="H117" s="12" t="inlineStr">
        <is>
          <t>15.0%</t>
        </is>
      </c>
      <c r="I117" s="12" t="inlineStr">
        <is>
          <t>government</t>
        </is>
      </c>
      <c r="J117" s="12" t="inlineStr">
        <is>
          <t>2026-09-13</t>
        </is>
      </c>
      <c r="K117" s="12" t="inlineStr">
        <is>
          <t>2026-10-14</t>
        </is>
      </c>
      <c r="L117" s="12" t="inlineStr">
        <is>
          <t>-</t>
        </is>
      </c>
      <c r="M117" s="12" t="inlineStr">
        <is>
          <t>75.0</t>
        </is>
      </c>
      <c r="N117" s="21" t="inlineStr">
        <is>
          <t>NEW</t>
        </is>
      </c>
      <c r="O117" s="12" t="inlineStr">
        <is>
          <t>غير متوافقة مع اختصاصات KBM</t>
        </is>
      </c>
      <c r="P117" s="23">
        <f>HYPERLINK("https://kuwaitalyawm.media.gov.kw/Online/ViewAdsHTML?id=169860&amp;no=1", "عرض المصدر")</f>
        <v/>
      </c>
    </row>
    <row r="118">
      <c r="A118" s="13" t="inlineStr">
        <is>
          <t>703-280</t>
        </is>
      </c>
      <c r="B118" s="13" t="inlineStr">
        <is>
          <t>وزارة الصحة</t>
        </is>
      </c>
      <c r="C118" s="13" t="inlineStr">
        <is>
          <t>Jana Al-Obaid</t>
        </is>
      </c>
      <c r="D118" s="13" t="inlineStr">
        <is>
          <t>ممارسة رقم 703-280 - وزارة الصحة</t>
        </is>
      </c>
      <c r="E118" s="13" t="inlineStr">
        <is>
          <t>أعمال وتوريدات ممارسة رقم 703-280 لصالح وزارة الصحة وفقاً للشروط والمواصفات المعتمدة في وثائق الطرح.</t>
        </is>
      </c>
      <c r="F11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8" s="14" t="inlineStr">
        <is>
          <t>عام</t>
        </is>
      </c>
      <c r="H118" s="14" t="inlineStr">
        <is>
          <t>15.0%</t>
        </is>
      </c>
      <c r="I118" s="14" t="inlineStr">
        <is>
          <t>government</t>
        </is>
      </c>
      <c r="J118" s="14" t="inlineStr">
        <is>
          <t>2026-09-13</t>
        </is>
      </c>
      <c r="K118" s="14" t="inlineStr">
        <is>
          <t>2026-10-14</t>
        </is>
      </c>
      <c r="L118" s="14" t="inlineStr">
        <is>
          <t>-</t>
        </is>
      </c>
      <c r="M118" s="14" t="inlineStr">
        <is>
          <t>75.0</t>
        </is>
      </c>
      <c r="N118" s="21" t="inlineStr">
        <is>
          <t>NEW</t>
        </is>
      </c>
      <c r="O118" s="14" t="inlineStr">
        <is>
          <t>غير متوافقة مع اختصاصات KBM</t>
        </is>
      </c>
      <c r="P118" s="22">
        <f>HYPERLINK("https://kuwaitalyawm.media.gov.kw/Online/ViewAdsHTML?id=169861&amp;no=1", "عرض المصدر")</f>
        <v/>
      </c>
    </row>
    <row r="119">
      <c r="A119" s="11" t="inlineStr">
        <is>
          <t>5-3</t>
        </is>
      </c>
      <c r="B119" s="11" t="inlineStr">
        <is>
          <t>وزارة الصحة</t>
        </is>
      </c>
      <c r="C119" s="11" t="inlineStr">
        <is>
          <t>Jana Al-Obaid</t>
        </is>
      </c>
      <c r="D119" s="11" t="inlineStr">
        <is>
          <t>ممارسة رقم 5-3 - وزارة الصحة</t>
        </is>
      </c>
      <c r="E119" s="11" t="inlineStr">
        <is>
          <t>أعمال وتوريدات ممارسة رقم 5-3 لصالح وزارة الصحة وفقاً للشروط والمواصفات المعتمدة في وثائق الطرح.</t>
        </is>
      </c>
      <c r="F119"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9" s="12" t="inlineStr">
        <is>
          <t>عام</t>
        </is>
      </c>
      <c r="H119" s="12" t="inlineStr">
        <is>
          <t>0.0%</t>
        </is>
      </c>
      <c r="I119" s="12" t="inlineStr">
        <is>
          <t>government</t>
        </is>
      </c>
      <c r="J119" s="12" t="inlineStr">
        <is>
          <t>2026-09-13</t>
        </is>
      </c>
      <c r="K119" s="18" t="inlineStr">
        <is>
          <t>2026-10-12</t>
        </is>
      </c>
      <c r="L119" s="12" t="inlineStr">
        <is>
          <t>-</t>
        </is>
      </c>
      <c r="M119" s="12" t="inlineStr">
        <is>
          <t>75.0</t>
        </is>
      </c>
      <c r="N119" s="21" t="inlineStr">
        <is>
          <t>NEW</t>
        </is>
      </c>
      <c r="O119" s="12" t="inlineStr">
        <is>
          <t>غير متوافقة مع اختصاصات KBM</t>
        </is>
      </c>
      <c r="P119" s="23">
        <f>HYPERLINK("https://kuwaitalyawm.media.gov.kw/Online/ViewAdsHTML?id=169862&amp;no=1", "عرض المصدر")</f>
        <v/>
      </c>
    </row>
    <row r="120">
      <c r="A120" s="13" t="inlineStr">
        <is>
          <t>13-4</t>
        </is>
      </c>
      <c r="B120" s="13" t="inlineStr">
        <is>
          <t>وزارة الصحة</t>
        </is>
      </c>
      <c r="C120" s="13" t="inlineStr">
        <is>
          <t>Jana Al-Obaid</t>
        </is>
      </c>
      <c r="D120" s="13" t="inlineStr">
        <is>
          <t>ممارسة رقم 13-4 - وزارة الصحة</t>
        </is>
      </c>
      <c r="E120" s="13" t="inlineStr">
        <is>
          <t>أعمال وتوريدات ممارسة رقم 13-4 لصالح وزارة الصحة وفقاً للشروط والمواصفات المعتمدة في وثائق الطرح.</t>
        </is>
      </c>
      <c r="F12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20" s="14" t="inlineStr">
        <is>
          <t>عام</t>
        </is>
      </c>
      <c r="H120" s="14" t="inlineStr">
        <is>
          <t>15.0%</t>
        </is>
      </c>
      <c r="I120" s="14" t="inlineStr">
        <is>
          <t>government</t>
        </is>
      </c>
      <c r="J120" s="14" t="inlineStr">
        <is>
          <t>2026-09-13</t>
        </is>
      </c>
      <c r="K120" s="18" t="inlineStr">
        <is>
          <t>2026-10-05</t>
        </is>
      </c>
      <c r="L120" s="14" t="inlineStr">
        <is>
          <t>-</t>
        </is>
      </c>
      <c r="M120" s="14" t="inlineStr">
        <is>
          <t>75.0</t>
        </is>
      </c>
      <c r="N120" s="21" t="inlineStr">
        <is>
          <t>NEW</t>
        </is>
      </c>
      <c r="O120" s="14" t="inlineStr">
        <is>
          <t>غير متوافقة مع اختصاصات KBM</t>
        </is>
      </c>
      <c r="P120" s="22">
        <f>HYPERLINK("https://kuwaitalyawm.media.gov.kw/Online/ViewAdsHTML?id=169863&amp;no=1", "عرض المصدر")</f>
        <v/>
      </c>
    </row>
    <row r="121">
      <c r="A121" s="11" t="inlineStr">
        <is>
          <t>1-5</t>
        </is>
      </c>
      <c r="B121" s="11" t="inlineStr">
        <is>
          <t>وزارة الصحة</t>
        </is>
      </c>
      <c r="C121" s="11" t="inlineStr">
        <is>
          <t>Jana Al-Obaid</t>
        </is>
      </c>
      <c r="D121" s="11" t="inlineStr">
        <is>
          <t>ممارسة رقم 1-5 - وزارة الصحة</t>
        </is>
      </c>
      <c r="E121" s="11" t="inlineStr">
        <is>
          <t>أعمال وتوريدات ممارسة رقم 1-5 لصالح وزارة الصحة وفقاً للشروط والمواصفات المعتمدة في وثائق الطرح.</t>
        </is>
      </c>
      <c r="F12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21" s="12" t="inlineStr">
        <is>
          <t>عام</t>
        </is>
      </c>
      <c r="H121" s="12" t="inlineStr">
        <is>
          <t>15.0%</t>
        </is>
      </c>
      <c r="I121" s="12" t="inlineStr">
        <is>
          <t>government</t>
        </is>
      </c>
      <c r="J121" s="12" t="inlineStr">
        <is>
          <t>2026-09-13</t>
        </is>
      </c>
      <c r="K121" s="18" t="inlineStr">
        <is>
          <t>2026-10-07</t>
        </is>
      </c>
      <c r="L121" s="12" t="inlineStr">
        <is>
          <t>-</t>
        </is>
      </c>
      <c r="M121" s="12" t="inlineStr">
        <is>
          <t>75.0</t>
        </is>
      </c>
      <c r="N121" s="21" t="inlineStr">
        <is>
          <t>NEW</t>
        </is>
      </c>
      <c r="O121" s="12" t="inlineStr">
        <is>
          <t>غير متوافقة مع اختصاصات KBM</t>
        </is>
      </c>
      <c r="P121" s="23">
        <f>HYPERLINK("https://kuwaitalyawm.media.gov.kw/Online/ViewAdsHTML?id=169864&amp;no=1", "عرض المصدر")</f>
        <v/>
      </c>
    </row>
    <row r="122">
      <c r="A122" s="13" t="inlineStr">
        <is>
          <t>1-8</t>
        </is>
      </c>
      <c r="B122" s="13" t="inlineStr">
        <is>
          <t>وزارة الصحة</t>
        </is>
      </c>
      <c r="C122" s="13" t="inlineStr">
        <is>
          <t>Jana Al-Obaid</t>
        </is>
      </c>
      <c r="D122" s="13" t="inlineStr">
        <is>
          <t>ممارسة رقم 1-8 - وزارة الصحة</t>
        </is>
      </c>
      <c r="E122" s="13" t="inlineStr">
        <is>
          <t>أعمال وتوريدات ممارسة رقم 1-8 لصالح وزارة الصحة وفقاً للشروط والمواصفات المعتمدة في وثائق الطرح.</t>
        </is>
      </c>
      <c r="F12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22" s="14" t="inlineStr">
        <is>
          <t>عام</t>
        </is>
      </c>
      <c r="H122" s="14" t="inlineStr">
        <is>
          <t>15.0%</t>
        </is>
      </c>
      <c r="I122" s="14" t="inlineStr">
        <is>
          <t>government</t>
        </is>
      </c>
      <c r="J122" s="14" t="inlineStr">
        <is>
          <t>2026-09-13</t>
        </is>
      </c>
      <c r="K122" s="14" t="inlineStr">
        <is>
          <t>2026-09-21</t>
        </is>
      </c>
      <c r="L122" s="14" t="inlineStr">
        <is>
          <t>-</t>
        </is>
      </c>
      <c r="M122" s="14" t="inlineStr">
        <is>
          <t>75.0</t>
        </is>
      </c>
      <c r="N122" s="21" t="inlineStr">
        <is>
          <t>NEW</t>
        </is>
      </c>
      <c r="O122" s="14" t="inlineStr">
        <is>
          <t>غير متوافقة مع اختصاصات KBM</t>
        </is>
      </c>
      <c r="P122" s="22">
        <f>HYPERLINK("https://kuwaitalyawm.media.gov.kw/Online/ViewAdsHTML?id=169865&amp;no=1", "عرض المصدر")</f>
        <v/>
      </c>
    </row>
    <row r="123">
      <c r="A123" s="11" t="inlineStr">
        <is>
          <t>274-20</t>
        </is>
      </c>
      <c r="B123" s="11" t="inlineStr">
        <is>
          <t>وزارة الصحة</t>
        </is>
      </c>
      <c r="C123" s="11" t="inlineStr">
        <is>
          <t>Jana Al-Obaid</t>
        </is>
      </c>
      <c r="D123" s="11" t="inlineStr">
        <is>
          <t>ممارسة رقم 274-20 - وزارة الصحة</t>
        </is>
      </c>
      <c r="E123" s="11" t="inlineStr">
        <is>
          <t>أعمال وتوريدات ممارسة رقم 274-20 لصالح وزارة الصحة وفقاً للشروط والمواصفات المعتمدة في وثائق الطرح.</t>
        </is>
      </c>
      <c r="F12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23" s="12" t="inlineStr">
        <is>
          <t>عام</t>
        </is>
      </c>
      <c r="H123" s="12" t="inlineStr">
        <is>
          <t>0.0%</t>
        </is>
      </c>
      <c r="I123" s="12" t="inlineStr">
        <is>
          <t>government</t>
        </is>
      </c>
      <c r="J123" s="12" t="inlineStr">
        <is>
          <t>2026-09-13</t>
        </is>
      </c>
      <c r="K123" s="12" t="inlineStr">
        <is>
          <t>2026-09-28</t>
        </is>
      </c>
      <c r="L123" s="12" t="inlineStr">
        <is>
          <t>-</t>
        </is>
      </c>
      <c r="M123" s="12" t="inlineStr">
        <is>
          <t>1000.0</t>
        </is>
      </c>
      <c r="N123" s="21" t="inlineStr">
        <is>
          <t>NEW</t>
        </is>
      </c>
      <c r="O123" s="12" t="inlineStr">
        <is>
          <t>غير متوافقة مع اختصاصات KBM</t>
        </is>
      </c>
      <c r="P123" s="23">
        <f>HYPERLINK("https://kuwaitalyawm.media.gov.kw/Online/ViewAdsHTML?id=169866&amp;no=1", "عرض المصدر")</f>
        <v/>
      </c>
    </row>
    <row r="124">
      <c r="A124" s="13" t="inlineStr">
        <is>
          <t>334-331</t>
        </is>
      </c>
      <c r="B124" s="13" t="inlineStr">
        <is>
          <t>وزارة الصحة</t>
        </is>
      </c>
      <c r="C124" s="13" t="inlineStr">
        <is>
          <t>Jana Al-Obaid</t>
        </is>
      </c>
      <c r="D124" s="13" t="inlineStr">
        <is>
          <t>ممارسة رقم 334-331 - وزارة الصحة</t>
        </is>
      </c>
      <c r="E124" s="13" t="inlineStr">
        <is>
          <t>أعمال وتوريدات ممارسة رقم 334-331 لصالح وزارة الصحة وفقاً للشروط والمواصفات المعتمدة في وثائق الطرح.</t>
        </is>
      </c>
      <c r="F124"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24" s="14" t="inlineStr">
        <is>
          <t>عام</t>
        </is>
      </c>
      <c r="H124" s="14" t="inlineStr">
        <is>
          <t>0.0%</t>
        </is>
      </c>
      <c r="I124" s="14" t="inlineStr">
        <is>
          <t>government</t>
        </is>
      </c>
      <c r="J124" s="14" t="inlineStr">
        <is>
          <t>2026-09-13</t>
        </is>
      </c>
      <c r="K124" s="14" t="inlineStr">
        <is>
          <t>2026-10-14</t>
        </is>
      </c>
      <c r="L124" s="14" t="inlineStr">
        <is>
          <t>-</t>
        </is>
      </c>
      <c r="M124" s="14" t="inlineStr">
        <is>
          <t>75.0</t>
        </is>
      </c>
      <c r="N124" s="21" t="inlineStr">
        <is>
          <t>NEW</t>
        </is>
      </c>
      <c r="O124" s="14" t="inlineStr">
        <is>
          <t>غير متوافقة مع اختصاصات KBM</t>
        </is>
      </c>
      <c r="P124" s="22">
        <f>HYPERLINK("https://kuwaitalyawm.media.gov.kw/Online/ViewAdsHTML?id=169867&amp;no=1", "عرض المصدر")</f>
        <v/>
      </c>
    </row>
    <row r="125">
      <c r="A125" s="11" t="inlineStr">
        <is>
          <t>و ع / 3/2026/2027</t>
        </is>
      </c>
      <c r="B125" s="11" t="inlineStr">
        <is>
          <t>وزارة العدل</t>
        </is>
      </c>
      <c r="C125" s="11" t="inlineStr">
        <is>
          <t>Eiman Ashkanani</t>
        </is>
      </c>
      <c r="D125" s="11" t="inlineStr">
        <is>
          <t>اعمال تنظيف شاملة لمباني وزارة العدل بمحافظات ( العاصمة - حولي - الأحمدي - مبارك الكبير ) مجزئة على مجموعتين</t>
        </is>
      </c>
      <c r="E125" s="11" t="inlineStr">
        <is>
          <t>توفير خدمات وأعمال النظافة العامة والشاملة للمباني والمرافق وتوفير العمالة والمعدات والمستهلكات اللازمة.</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2026-09-27</t>
        </is>
      </c>
      <c r="K125" s="12" t="inlineStr">
        <is>
          <t>2026-12-22</t>
        </is>
      </c>
      <c r="L125" s="12" t="inlineStr">
        <is>
          <t>0.000 KWD</t>
        </is>
      </c>
      <c r="M125" s="12" t="inlineStr">
        <is>
          <t>250.000 KWD</t>
        </is>
      </c>
      <c r="N125" s="26" t="inlineStr">
        <is>
          <t>UNCHANGED</t>
        </is>
      </c>
      <c r="O125" s="12" t="inlineStr">
        <is>
          <t>غير متوافقة مع اختصاصات KBM</t>
        </is>
      </c>
      <c r="P125" s="23">
        <f>HYPERLINK("https://capt.gov.kw/ar/tenders/opening-tenders/#card-8", "عرض المصدر")</f>
        <v/>
      </c>
    </row>
    <row r="126">
      <c r="A126" s="13" t="inlineStr">
        <is>
          <t>2027/2026/7</t>
        </is>
      </c>
      <c r="B126" s="13" t="inlineStr">
        <is>
          <t>وزارة الــعدل</t>
        </is>
      </c>
      <c r="C126" s="13" t="inlineStr">
        <is>
          <t>Eiman Ashkanani</t>
        </is>
      </c>
      <c r="D126" s="13" t="inlineStr">
        <is>
          <t>ممارسة رقم 2027/2026/7: عن الممارسة رقم (وع/7-2026/2027) توريد وتركيب زجاج سيكوريت بمباني وزارة العدل</t>
        </is>
      </c>
      <c r="E126" s="13" t="inlineStr">
        <is>
          <t>أعمال وتوريدات عن الممارسة رقم (وع/7-2026/2027) توريد وتركيب زجاج سيكوريت بمباني وزارة العدل لصالح وزارة الــعدل وفقاً للشروط والمواصفات المعتمدة في وثائق الطرح.</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15.0%</t>
        </is>
      </c>
      <c r="I126" s="14" t="inlineStr">
        <is>
          <t>government</t>
        </is>
      </c>
      <c r="J126" s="14" t="inlineStr">
        <is>
          <t>2026-09-27</t>
        </is>
      </c>
      <c r="K126" s="14" t="inlineStr">
        <is>
          <t>2026-10-28</t>
        </is>
      </c>
      <c r="L126" s="14" t="inlineStr">
        <is>
          <t>300 KWD</t>
        </is>
      </c>
      <c r="M126" s="14" t="inlineStr">
        <is>
          <t>75.0</t>
        </is>
      </c>
      <c r="N126" s="21" t="inlineStr">
        <is>
          <t>NEW</t>
        </is>
      </c>
      <c r="O126" s="14" t="inlineStr">
        <is>
          <t>غير متوافقة مع اختصاصات KBM</t>
        </is>
      </c>
      <c r="P126" s="22">
        <f>HYPERLINK("https://kuwaitalyawm.media.gov.kw/Online/ViewAdsHTML?id=171533&amp;no=1", "عرض المصدر")</f>
        <v/>
      </c>
    </row>
    <row r="127">
      <c r="A127" s="11" t="inlineStr">
        <is>
          <t>15140/15567</t>
        </is>
      </c>
      <c r="B127" s="11" t="inlineStr">
        <is>
          <t>وزارة الكهرباء والماء</t>
        </is>
      </c>
      <c r="C127" s="11" t="inlineStr">
        <is>
          <t>Raed Obeid</t>
        </is>
      </c>
      <c r="D127"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2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15.0%</t>
        </is>
      </c>
      <c r="I127" s="12" t="inlineStr">
        <is>
          <t>government</t>
        </is>
      </c>
      <c r="J127" s="12" t="inlineStr">
        <is>
          <t>2026-09-27</t>
        </is>
      </c>
      <c r="K127" s="12" t="inlineStr">
        <is>
          <t>2026-10-20</t>
        </is>
      </c>
      <c r="L127" s="12" t="inlineStr">
        <is>
          <t>-</t>
        </is>
      </c>
      <c r="M127" s="12" t="inlineStr">
        <is>
          <t>10.0</t>
        </is>
      </c>
      <c r="N127" s="21" t="inlineStr">
        <is>
          <t>NEW</t>
        </is>
      </c>
      <c r="O127" s="12" t="inlineStr">
        <is>
          <t>غير متوافقة مع اختصاصات KBM</t>
        </is>
      </c>
      <c r="P127" s="23">
        <f>HYPERLINK("https://kuwaitalyawm.media.gov.kw/Online/ViewAdsHTML?id=171669&amp;no=1", "عرض المصدر")</f>
        <v/>
      </c>
    </row>
    <row r="128">
      <c r="A128" s="13" t="inlineStr">
        <is>
          <t>15353/15580</t>
        </is>
      </c>
      <c r="B128" s="13" t="inlineStr">
        <is>
          <t>وزارة الكهرباء والماء</t>
        </is>
      </c>
      <c r="C128" s="13" t="inlineStr">
        <is>
          <t>Raed Obeid</t>
        </is>
      </c>
      <c r="D128"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2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15.0%</t>
        </is>
      </c>
      <c r="I128" s="14" t="inlineStr">
        <is>
          <t>government</t>
        </is>
      </c>
      <c r="J128" s="14" t="inlineStr">
        <is>
          <t>2026-09-27</t>
        </is>
      </c>
      <c r="K128" s="14" t="inlineStr">
        <is>
          <t>-</t>
        </is>
      </c>
      <c r="L128" s="14" t="inlineStr">
        <is>
          <t>-</t>
        </is>
      </c>
      <c r="M128" s="14" t="inlineStr">
        <is>
          <t>7.0</t>
        </is>
      </c>
      <c r="N128" s="21" t="inlineStr">
        <is>
          <t>NEW</t>
        </is>
      </c>
      <c r="O128" s="14" t="inlineStr">
        <is>
          <t>غير متوافقة مع اختصاصات KBM</t>
        </is>
      </c>
      <c r="P128" s="22">
        <f>HYPERLINK("https://kuwaitalyawm.media.gov.kw/Online/ViewAdsHTML?id=171670&amp;no=1", "عرض المصدر")</f>
        <v/>
      </c>
    </row>
    <row r="129">
      <c r="A129" s="11" t="inlineStr">
        <is>
          <t>2027/2026/1</t>
        </is>
      </c>
      <c r="B129" s="11" t="inlineStr">
        <is>
          <t>وزارة الكهرباء والماء</t>
        </is>
      </c>
      <c r="C129" s="11" t="inlineStr">
        <is>
          <t>Raed Obeid</t>
        </is>
      </c>
      <c r="D129" s="11" t="inlineStr">
        <is>
          <t>ممارسة رقم 2027/2026/1: صيانة جهاز تحليل وقياس الكربون العضوي في الماء</t>
        </is>
      </c>
      <c r="E129"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9" s="12" t="inlineStr">
        <is>
          <t>عام</t>
        </is>
      </c>
      <c r="H129" s="12" t="inlineStr">
        <is>
          <t>15.0%</t>
        </is>
      </c>
      <c r="I129" s="12" t="inlineStr">
        <is>
          <t>government</t>
        </is>
      </c>
      <c r="J129" s="12" t="inlineStr">
        <is>
          <t>2026-09-27</t>
        </is>
      </c>
      <c r="K129" s="12" t="inlineStr">
        <is>
          <t>2026-10-25</t>
        </is>
      </c>
      <c r="L129" s="12" t="inlineStr">
        <is>
          <t>600.0</t>
        </is>
      </c>
      <c r="M129" s="12" t="inlineStr">
        <is>
          <t>15.0</t>
        </is>
      </c>
      <c r="N129" s="21" t="inlineStr">
        <is>
          <t>NEW</t>
        </is>
      </c>
      <c r="O129" s="12" t="inlineStr">
        <is>
          <t>غير متوافقة مع اختصاصات KBM</t>
        </is>
      </c>
      <c r="P129" s="23">
        <f>HYPERLINK("https://kuwaitalyawm.media.gov.kw/Online/ViewAdsHTML?id=171671&amp;no=1", "عرض المصدر")</f>
        <v/>
      </c>
    </row>
    <row r="130">
      <c r="A130" s="13" t="inlineStr">
        <is>
          <t>7 / 2025-2026</t>
        </is>
      </c>
      <c r="B130" s="13" t="inlineStr">
        <is>
          <t>وزارة المالية</t>
        </is>
      </c>
      <c r="C130" s="13" t="inlineStr">
        <is>
          <t>Eiman Ashkanani</t>
        </is>
      </c>
      <c r="D130" s="13" t="inlineStr">
        <is>
          <t>توفير خدمات مراسلين وسفرجية لوزارة المالية</t>
        </is>
      </c>
      <c r="E130" s="13" t="inlineStr">
        <is>
          <t>أعمال وتوريدات توفير خدمات مراسلين وسفرجية لوزارة المالية لصالح وزارة المالية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15.0%</t>
        </is>
      </c>
      <c r="I130" s="14" t="inlineStr">
        <is>
          <t>government</t>
        </is>
      </c>
      <c r="J130" s="14" t="inlineStr">
        <is>
          <t>2026-09-13</t>
        </is>
      </c>
      <c r="K130" s="14" t="inlineStr">
        <is>
          <t>2026-12-08</t>
        </is>
      </c>
      <c r="L130" s="14" t="inlineStr">
        <is>
          <t>15000.000 KWD</t>
        </is>
      </c>
      <c r="M130" s="14" t="inlineStr">
        <is>
          <t>1000.000 KWD</t>
        </is>
      </c>
      <c r="N130" s="21" t="inlineStr">
        <is>
          <t>NEW</t>
        </is>
      </c>
      <c r="O130" s="14" t="inlineStr">
        <is>
          <t>غير متوافقة مع اختصاصات KBM</t>
        </is>
      </c>
      <c r="P130" s="22">
        <f>HYPERLINK("https://capt.gov.kw/ar/tenders/opening-tenders/#card-8", "عرض المصدر")</f>
        <v/>
      </c>
    </row>
    <row r="131">
      <c r="A131" s="11" t="inlineStr">
        <is>
          <t>3 / 2025-2026</t>
        </is>
      </c>
      <c r="B131" s="11" t="inlineStr">
        <is>
          <t>وزارة المالية</t>
        </is>
      </c>
      <c r="C131" s="11" t="inlineStr">
        <is>
          <t>Eiman Ashkanani</t>
        </is>
      </c>
      <c r="D131" s="11" t="inlineStr">
        <is>
          <t>توفير خدمات الامن والحراسة البشرية لمبنى مجمع الوزارات ومباني المواقف التابعة له</t>
        </is>
      </c>
      <c r="E131" s="11" t="inlineStr">
        <is>
          <t>توفير خدمات الحراسة والأمن والسلامة للمباني والمنشآت وتأمين المداخل وتوفير الكوادر الأمنية المدربة.</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15.0%</t>
        </is>
      </c>
      <c r="I131" s="12" t="inlineStr">
        <is>
          <t>government</t>
        </is>
      </c>
      <c r="J131" s="12" t="inlineStr">
        <is>
          <t>2026-09-27</t>
        </is>
      </c>
      <c r="K131" s="12" t="inlineStr">
        <is>
          <t>2026-12-22</t>
        </is>
      </c>
      <c r="L131" s="12" t="inlineStr">
        <is>
          <t>23000.000 KWD</t>
        </is>
      </c>
      <c r="M131" s="12" t="inlineStr">
        <is>
          <t>1000.000 KWD</t>
        </is>
      </c>
      <c r="N131" s="26" t="inlineStr">
        <is>
          <t>UNCHANGED</t>
        </is>
      </c>
      <c r="O131" s="12" t="inlineStr">
        <is>
          <t>غير متوافقة مع اختصاصات KBM</t>
        </is>
      </c>
      <c r="P131" s="23">
        <f>HYPERLINK("https://capt.gov.kw/ar/tenders/opening-tenders/#card-3", "عرض المصدر")</f>
        <v/>
      </c>
    </row>
    <row r="132">
      <c r="A132" s="13" t="inlineStr">
        <is>
          <t>4-65</t>
        </is>
      </c>
      <c r="B132" s="13" t="inlineStr">
        <is>
          <t>وزارة الصحة</t>
        </is>
      </c>
      <c r="C132" s="13" t="inlineStr">
        <is>
          <t>Jana Al-Obaid</t>
        </is>
      </c>
      <c r="D132" s="13" t="inlineStr">
        <is>
          <t>ممارسة رقم 4-65 - وزارة الصحة</t>
        </is>
      </c>
      <c r="E132" s="13" t="inlineStr">
        <is>
          <t>أعمال وتوريدات ممارسة رقم 4-65 لصالح وزارة الصحة وفقاً للشروط والمواصفات المعتمدة في وثائق الطرح.</t>
        </is>
      </c>
      <c r="F13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2" s="14" t="inlineStr">
        <is>
          <t>عام</t>
        </is>
      </c>
      <c r="H132" s="14" t="inlineStr">
        <is>
          <t>15.0%</t>
        </is>
      </c>
      <c r="I132" s="14" t="inlineStr">
        <is>
          <t>healthcare</t>
        </is>
      </c>
      <c r="J132" s="14" t="inlineStr">
        <is>
          <t>2026-09-27</t>
        </is>
      </c>
      <c r="K132" s="18" t="inlineStr">
        <is>
          <t>2026-10-12</t>
        </is>
      </c>
      <c r="L132" s="14" t="inlineStr">
        <is>
          <t>-</t>
        </is>
      </c>
      <c r="M132" s="14" t="inlineStr">
        <is>
          <t>75.0</t>
        </is>
      </c>
      <c r="N132" s="21" t="inlineStr">
        <is>
          <t>NEW</t>
        </is>
      </c>
      <c r="O132" s="14" t="inlineStr">
        <is>
          <t>غير متوافقة مع اختصاصات KBM</t>
        </is>
      </c>
      <c r="P132" s="22">
        <f>HYPERLINK("https://kuwaitalyawm.media.gov.kw/Online/ViewAdsHTML?id=171550&amp;no=1", "عرض المصدر")</f>
        <v/>
      </c>
    </row>
    <row r="133">
      <c r="A133" s="11" t="inlineStr">
        <is>
          <t>32-8</t>
        </is>
      </c>
      <c r="B133" s="11" t="inlineStr">
        <is>
          <t>وزارة الصحة</t>
        </is>
      </c>
      <c r="C133" s="11" t="inlineStr">
        <is>
          <t>Jana Al-Obaid</t>
        </is>
      </c>
      <c r="D133" s="11" t="inlineStr">
        <is>
          <t>ممارسة رقم 32-8 - وزارة الصحة</t>
        </is>
      </c>
      <c r="E133" s="11" t="inlineStr">
        <is>
          <t>أعمال وتوريدات ممارسة رقم 32-8 لصالح وزارة الصحة وفقاً للشروط والمواصفات المعتمدة في وثائق الطرح.</t>
        </is>
      </c>
      <c r="F133"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3" s="12" t="inlineStr">
        <is>
          <t>عام</t>
        </is>
      </c>
      <c r="H133" s="12" t="inlineStr">
        <is>
          <t>0.0%</t>
        </is>
      </c>
      <c r="I133" s="12" t="inlineStr">
        <is>
          <t>healthcare</t>
        </is>
      </c>
      <c r="J133" s="12" t="inlineStr">
        <is>
          <t>2026-09-27</t>
        </is>
      </c>
      <c r="K133" s="18" t="inlineStr">
        <is>
          <t>2026-10-12</t>
        </is>
      </c>
      <c r="L133" s="12" t="inlineStr">
        <is>
          <t>-</t>
        </is>
      </c>
      <c r="M133" s="12" t="inlineStr">
        <is>
          <t>150.0</t>
        </is>
      </c>
      <c r="N133" s="21" t="inlineStr">
        <is>
          <t>NEW</t>
        </is>
      </c>
      <c r="O133" s="12" t="inlineStr">
        <is>
          <t>غير متوافقة مع اختصاصات KBM</t>
        </is>
      </c>
      <c r="P133" s="23">
        <f>HYPERLINK("https://kuwaitalyawm.media.gov.kw/Online/ViewAdsHTML?id=171549&amp;no=1", "عرض المصدر")</f>
        <v/>
      </c>
    </row>
    <row r="134">
      <c r="A134" s="13" t="inlineStr">
        <is>
          <t>268-274</t>
        </is>
      </c>
      <c r="B134" s="13" t="inlineStr">
        <is>
          <t>وزارة الصحة</t>
        </is>
      </c>
      <c r="C134" s="13" t="inlineStr">
        <is>
          <t>Jana Al-Obaid</t>
        </is>
      </c>
      <c r="D134" s="13" t="inlineStr">
        <is>
          <t>ممارسة رقم 268-274 - وزارة الصحة</t>
        </is>
      </c>
      <c r="E134" s="13" t="inlineStr">
        <is>
          <t>أعمال وتوريدات ممارسة رقم 268-274 لصالح وزارة الصحة وفقاً للشروط والمواصفات المعتمدة في وثائق الطرح.</t>
        </is>
      </c>
      <c r="F13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34" s="14" t="inlineStr">
        <is>
          <t>عام</t>
        </is>
      </c>
      <c r="H134" s="14" t="inlineStr">
        <is>
          <t>15.0%</t>
        </is>
      </c>
      <c r="I134" s="14" t="inlineStr">
        <is>
          <t>healthcare</t>
        </is>
      </c>
      <c r="J134" s="14" t="inlineStr">
        <is>
          <t>2026-09-27</t>
        </is>
      </c>
      <c r="K134" s="14" t="inlineStr">
        <is>
          <t>-</t>
        </is>
      </c>
      <c r="L134" s="14" t="inlineStr">
        <is>
          <t>-</t>
        </is>
      </c>
      <c r="M134" s="14" t="inlineStr">
        <is>
          <t>75.0</t>
        </is>
      </c>
      <c r="N134" s="21" t="inlineStr">
        <is>
          <t>NEW</t>
        </is>
      </c>
      <c r="O134" s="14" t="inlineStr">
        <is>
          <t>غير متوافقة مع اختصاصات KBM</t>
        </is>
      </c>
      <c r="P134" s="22">
        <f>HYPERLINK("https://kuwaitalyawm.media.gov.kw/Online/ViewAdsHTML?id=171548&amp;no=1", "عرض المصدر")</f>
        <v/>
      </c>
    </row>
    <row r="135">
      <c r="A135" s="11" t="inlineStr">
        <is>
          <t>313-225</t>
        </is>
      </c>
      <c r="B135" s="11" t="inlineStr">
        <is>
          <t>وزارة الصحة</t>
        </is>
      </c>
      <c r="C135" s="11" t="inlineStr">
        <is>
          <t>Jana Al-Obaid</t>
        </is>
      </c>
      <c r="D135" s="11" t="inlineStr">
        <is>
          <t>ممارسة رقم 313-225: توريد WASTE DISPOSAL SYSTEM MACERATOR</t>
        </is>
      </c>
      <c r="E135" s="11" t="inlineStr">
        <is>
          <t>أعمال وتوريدات توريد WASTE DISPOSAL SYSTEM MACERATOR لصالح وزارة الصحة وفقاً للشروط والمواصفات المعتمدة في وثائق الطرح.</t>
        </is>
      </c>
      <c r="F13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35" s="12" t="inlineStr">
        <is>
          <t>عام</t>
        </is>
      </c>
      <c r="H135" s="12" t="inlineStr">
        <is>
          <t>15.0%</t>
        </is>
      </c>
      <c r="I135" s="12" t="inlineStr">
        <is>
          <t>healthcare</t>
        </is>
      </c>
      <c r="J135" s="12" t="inlineStr">
        <is>
          <t>2026-09-27</t>
        </is>
      </c>
      <c r="K135" s="12" t="inlineStr">
        <is>
          <t>2026-10-28</t>
        </is>
      </c>
      <c r="L135" s="12" t="inlineStr">
        <is>
          <t>-</t>
        </is>
      </c>
      <c r="M135" s="12" t="inlineStr">
        <is>
          <t>150.0</t>
        </is>
      </c>
      <c r="N135" s="21" t="inlineStr">
        <is>
          <t>NEW</t>
        </is>
      </c>
      <c r="O135" s="12" t="inlineStr">
        <is>
          <t>غير متوافقة مع اختصاصات KBM</t>
        </is>
      </c>
      <c r="P135" s="23">
        <f>HYPERLINK("https://kuwaitalyawm.media.gov.kw/Online/ViewAdsHTML?id=171547&amp;no=1", "عرض المصدر")</f>
        <v/>
      </c>
    </row>
    <row r="136">
      <c r="A136" s="13" t="inlineStr">
        <is>
          <t>36-40</t>
        </is>
      </c>
      <c r="B136" s="13" t="inlineStr">
        <is>
          <t>وزارة الصحة</t>
        </is>
      </c>
      <c r="C136" s="13" t="inlineStr">
        <is>
          <t>Jana Al-Obaid</t>
        </is>
      </c>
      <c r="D136" s="13" t="inlineStr">
        <is>
          <t>ممارسة رقم 36-40 - وزارة الصحة</t>
        </is>
      </c>
      <c r="E136" s="13" t="inlineStr">
        <is>
          <t>أعمال وتوريدات ممارسة رقم 36-40 لصالح وزارة الصحة وفقاً للشروط والمواصفات المعتمدة في وثائق الطرح.</t>
        </is>
      </c>
      <c r="F13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36" s="14" t="inlineStr">
        <is>
          <t>عام</t>
        </is>
      </c>
      <c r="H136" s="14" t="inlineStr">
        <is>
          <t>15.0%</t>
        </is>
      </c>
      <c r="I136" s="14" t="inlineStr">
        <is>
          <t>healthcare</t>
        </is>
      </c>
      <c r="J136" s="14" t="inlineStr">
        <is>
          <t>2026-09-27</t>
        </is>
      </c>
      <c r="K136" s="14" t="inlineStr">
        <is>
          <t>2026-10-14</t>
        </is>
      </c>
      <c r="L136" s="14" t="inlineStr">
        <is>
          <t>-</t>
        </is>
      </c>
      <c r="M136" s="14" t="inlineStr">
        <is>
          <t>75.0</t>
        </is>
      </c>
      <c r="N136" s="21" t="inlineStr">
        <is>
          <t>NEW</t>
        </is>
      </c>
      <c r="O136" s="14" t="inlineStr">
        <is>
          <t>غير متوافقة مع اختصاصات KBM</t>
        </is>
      </c>
      <c r="P136" s="22">
        <f>HYPERLINK("https://kuwaitalyawm.media.gov.kw/Online/ViewAdsHTML?id=171546&amp;no=1", "عرض المصدر")</f>
        <v/>
      </c>
    </row>
    <row r="137">
      <c r="A137" s="11" t="inlineStr">
        <is>
          <t>430-190</t>
        </is>
      </c>
      <c r="B137" s="11" t="inlineStr">
        <is>
          <t>وزارة الصحة</t>
        </is>
      </c>
      <c r="C137" s="11" t="inlineStr">
        <is>
          <t>Jana Al-Obaid</t>
        </is>
      </c>
      <c r="D137" s="11" t="inlineStr">
        <is>
          <t>ممارسة رقم 430-190 - وزارة الصحة</t>
        </is>
      </c>
      <c r="E137" s="11" t="inlineStr">
        <is>
          <t>أعمال وتوريدات ممارسة رقم 430-190 لصالح وزارة الصحة وفقاً للشروط والمواصفات المعتمدة في وثائق الطرح.</t>
        </is>
      </c>
      <c r="F137"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7" s="12" t="inlineStr">
        <is>
          <t>عام</t>
        </is>
      </c>
      <c r="H137" s="12" t="inlineStr">
        <is>
          <t>15.0%</t>
        </is>
      </c>
      <c r="I137" s="12" t="inlineStr">
        <is>
          <t>healthcare</t>
        </is>
      </c>
      <c r="J137" s="12" t="inlineStr">
        <is>
          <t>2026-09-27</t>
        </is>
      </c>
      <c r="K137" s="12" t="inlineStr">
        <is>
          <t>2026-10-28</t>
        </is>
      </c>
      <c r="L137" s="12" t="inlineStr">
        <is>
          <t>-</t>
        </is>
      </c>
      <c r="M137" s="12" t="inlineStr">
        <is>
          <t>150.0</t>
        </is>
      </c>
      <c r="N137" s="21" t="inlineStr">
        <is>
          <t>NEW</t>
        </is>
      </c>
      <c r="O137" s="12" t="inlineStr">
        <is>
          <t>غير متوافقة مع اختصاصات KBM</t>
        </is>
      </c>
      <c r="P137" s="23">
        <f>HYPERLINK("https://kuwaitalyawm.media.gov.kw/Online/ViewAdsHTML?id=171545&amp;no=1", "عرض المصدر")</f>
        <v/>
      </c>
    </row>
    <row r="138">
      <c r="A138" s="13" t="inlineStr">
        <is>
          <t>33/32</t>
        </is>
      </c>
      <c r="B138" s="13" t="inlineStr">
        <is>
          <t>وزارة الصحة</t>
        </is>
      </c>
      <c r="C138" s="13" t="inlineStr">
        <is>
          <t>Jana Al-Obaid</t>
        </is>
      </c>
      <c r="D138" s="13" t="inlineStr">
        <is>
          <t>ممارسة رقم 33/32: توريد وتركيب وتشغيل وصيانة نظام كاميرات المراقبة الأمنية بمستشفى الأميري الجديد والقديم والمباني التابعة لها</t>
        </is>
      </c>
      <c r="E138"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24" t="inlineStr">
        <is>
          <t>قطاع العمليات المدارة والدعم الفني متعدد الموردين</t>
        </is>
      </c>
      <c r="H138" s="14" t="inlineStr">
        <is>
          <t>64.0%</t>
        </is>
      </c>
      <c r="I138" s="14" t="inlineStr">
        <is>
          <t>healthcare</t>
        </is>
      </c>
      <c r="J138" s="14" t="inlineStr">
        <is>
          <t>2026-09-27</t>
        </is>
      </c>
      <c r="K138" s="14" t="inlineStr">
        <is>
          <t>-</t>
        </is>
      </c>
      <c r="L138" s="14" t="inlineStr">
        <is>
          <t>-</t>
        </is>
      </c>
      <c r="M138" s="14" t="inlineStr">
        <is>
          <t>-</t>
        </is>
      </c>
      <c r="N138" s="21" t="inlineStr">
        <is>
          <t>NEW</t>
        </is>
      </c>
      <c r="O138" s="14" t="inlineStr">
        <is>
          <t>فرصة ICT متوافقة مع قدرات KBM</t>
        </is>
      </c>
      <c r="P138" s="22">
        <f>HYPERLINK("https://kuwaitalyawm.media.gov.kw/Online/ViewAdsHTML?id=171544&amp;no=1", "عرض المصدر")</f>
        <v/>
      </c>
    </row>
    <row r="139">
      <c r="A139" s="11" t="inlineStr">
        <is>
          <t>364-294</t>
        </is>
      </c>
      <c r="B139" s="11" t="inlineStr">
        <is>
          <t>وزارة الصحة</t>
        </is>
      </c>
      <c r="C139" s="11" t="inlineStr">
        <is>
          <t>Jana Al-Obaid</t>
        </is>
      </c>
      <c r="D139" s="11" t="inlineStr">
        <is>
          <t>ممارسة رقم 364-294 - وزارة الصحة</t>
        </is>
      </c>
      <c r="E139" s="11" t="inlineStr">
        <is>
          <t>أعمال وتوريدات ممارسة رقم 364-294 لصالح وزارة الصحة وفقاً للشروط والمواصفات المعتمدة في وثائق الطرح.</t>
        </is>
      </c>
      <c r="F139"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9" s="12" t="inlineStr">
        <is>
          <t>عام</t>
        </is>
      </c>
      <c r="H139" s="12" t="inlineStr">
        <is>
          <t>0.0%</t>
        </is>
      </c>
      <c r="I139" s="12" t="inlineStr">
        <is>
          <t>healthcare</t>
        </is>
      </c>
      <c r="J139" s="12" t="inlineStr">
        <is>
          <t>2026-09-27</t>
        </is>
      </c>
      <c r="K139" s="12" t="inlineStr">
        <is>
          <t>-</t>
        </is>
      </c>
      <c r="L139" s="12" t="inlineStr">
        <is>
          <t>-</t>
        </is>
      </c>
      <c r="M139" s="12" t="inlineStr">
        <is>
          <t>75.0</t>
        </is>
      </c>
      <c r="N139" s="21" t="inlineStr">
        <is>
          <t>NEW</t>
        </is>
      </c>
      <c r="O139" s="12" t="inlineStr">
        <is>
          <t>غير متوافقة مع اختصاصات KBM</t>
        </is>
      </c>
      <c r="P139" s="23">
        <f>HYPERLINK("https://kuwaitalyawm.media.gov.kw/Online/ViewAdsHTML?id=171543&amp;no=1", "عرض المصدر")</f>
        <v/>
      </c>
    </row>
    <row r="140">
      <c r="A140" s="13" t="inlineStr">
        <is>
          <t>ص / م خ ع / 11/2025/2026</t>
        </is>
      </c>
      <c r="B140" s="13" t="inlineStr">
        <is>
          <t>وزارة الصحة</t>
        </is>
      </c>
      <c r="C140" s="13" t="inlineStr">
        <is>
          <t>Jana Al-Obaid</t>
        </is>
      </c>
      <c r="D140" s="13" t="inlineStr">
        <is>
          <t>زيادة سعة بدالة مستشفى الاميري الجديد وربط المباني الملحقة بها بنظام اتصالات مركزي موحد</t>
        </is>
      </c>
      <c r="E140"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24" t="inlineStr">
        <is>
          <t>عام</t>
        </is>
      </c>
      <c r="H140" s="14" t="inlineStr">
        <is>
          <t>24.0%</t>
        </is>
      </c>
      <c r="I140" s="14" t="inlineStr">
        <is>
          <t>healthcare</t>
        </is>
      </c>
      <c r="J140" s="14" t="inlineStr">
        <is>
          <t>2026-10-04</t>
        </is>
      </c>
      <c r="K140" s="14" t="inlineStr">
        <is>
          <t>2026-11-03</t>
        </is>
      </c>
      <c r="L140" s="14" t="inlineStr">
        <is>
          <t>6000.000 KWD</t>
        </is>
      </c>
      <c r="M140" s="14" t="inlineStr">
        <is>
          <t>300.000 KWD</t>
        </is>
      </c>
      <c r="N140" s="21" t="inlineStr">
        <is>
          <t>NEW</t>
        </is>
      </c>
      <c r="O140" s="14" t="inlineStr">
        <is>
          <t>غير متوافقة مع اختصاصات KBM</t>
        </is>
      </c>
      <c r="P140" s="22">
        <f>HYPERLINK("https://capt.gov.kw/ar/tenders/opening-tenders/#card-2", "عرض المصدر")</f>
        <v/>
      </c>
    </row>
    <row r="141">
      <c r="A141" s="11" t="inlineStr">
        <is>
          <t>ص/م خ ع/2/2025/2026</t>
        </is>
      </c>
      <c r="B141" s="11" t="inlineStr">
        <is>
          <t>وزارة الصحة</t>
        </is>
      </c>
      <c r="C141" s="11" t="inlineStr">
        <is>
          <t>Jana Al-Obaid</t>
        </is>
      </c>
      <c r="D141" s="11" t="inlineStr">
        <is>
          <t>الانشاء و التجهيز و التأثيث و الصيانة لمشروع انشاء المطبخ المركزي لمستشفى الفروانية الجديد</t>
        </is>
      </c>
      <c r="E141"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healthcare</t>
        </is>
      </c>
      <c r="J141" s="12" t="inlineStr">
        <is>
          <t>2026-08-16</t>
        </is>
      </c>
      <c r="K141" s="12" t="inlineStr">
        <is>
          <t>2026-11-03</t>
        </is>
      </c>
      <c r="L141" s="12" t="inlineStr">
        <is>
          <t>62000.000 KWD</t>
        </is>
      </c>
      <c r="M141" s="12" t="inlineStr">
        <is>
          <t>1000.000 KWD</t>
        </is>
      </c>
      <c r="N141" s="21" t="inlineStr">
        <is>
          <t>NEW</t>
        </is>
      </c>
      <c r="O141" s="12" t="inlineStr">
        <is>
          <t>غير متوافقة مع اختصاصات KBM</t>
        </is>
      </c>
      <c r="P141" s="23">
        <f>HYPERLINK("https://capt.gov.kw/ar/tenders/opening-tenders/#card-8", "عرض المصدر")</f>
        <v/>
      </c>
    </row>
    <row r="142">
      <c r="A142" s="13" t="inlineStr">
        <is>
          <t>ص/ م خ ع / 9/2026/2027</t>
        </is>
      </c>
      <c r="B142" s="13" t="inlineStr">
        <is>
          <t>وزارة الصحة</t>
        </is>
      </c>
      <c r="C142" s="13" t="inlineStr">
        <is>
          <t>Jana Al-Obaid</t>
        </is>
      </c>
      <c r="D142" s="13" t="inlineStr">
        <is>
          <t>خدمات الإشراف على التنفيذ لإنشاء وتجهيز وتأثيث والصيانة لمشروع المطبخ المركزي لمستشفى الفروانية الجديد</t>
        </is>
      </c>
      <c r="E142" s="13" t="inlineStr">
        <is>
          <t>تنفيذ الأعمال المدنية والإنشائية والترميم والصيانة العامة للمباني والمنشآت والمرافق التابعة للجهة.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0.0%</t>
        </is>
      </c>
      <c r="I142" s="14" t="inlineStr">
        <is>
          <t>healthcare</t>
        </is>
      </c>
      <c r="J142" s="14" t="inlineStr">
        <is>
          <t>2026-08-30</t>
        </is>
      </c>
      <c r="K142" s="14" t="inlineStr">
        <is>
          <t>2026-11-24</t>
        </is>
      </c>
      <c r="L142" s="14" t="inlineStr">
        <is>
          <t>7500.000 KWD</t>
        </is>
      </c>
      <c r="M142" s="14" t="inlineStr">
        <is>
          <t>1000.000 KWD</t>
        </is>
      </c>
      <c r="N142" s="21" t="inlineStr">
        <is>
          <t>NEW</t>
        </is>
      </c>
      <c r="O142" s="14" t="inlineStr">
        <is>
          <t>غير متوافقة مع اختصاصات KBM</t>
        </is>
      </c>
      <c r="P142" s="22">
        <f>HYPERLINK("https://capt.gov.kw/ar/tenders/opening-tenders/#card-6", "عرض المصدر")</f>
        <v/>
      </c>
    </row>
    <row r="143">
      <c r="A143" s="11" t="inlineStr">
        <is>
          <t>ص / م خ ع / 3/2026/2027</t>
        </is>
      </c>
      <c r="B143" s="11" t="inlineStr">
        <is>
          <t>وزارة الصحة</t>
        </is>
      </c>
      <c r="C143" s="11" t="inlineStr">
        <is>
          <t>Jana Al-Obaid</t>
        </is>
      </c>
      <c r="D143" s="11" t="inlineStr">
        <is>
          <t>حراسة وامن مرافق الوزارة منطقتي ( الصباح الطبية التخصصية - منطقة الأحمدي الصحية ) و الادارات المركزية</t>
        </is>
      </c>
      <c r="E143" s="11" t="inlineStr">
        <is>
          <t>توفير خدمات الحراسة والأمن والسلامة للمباني والمنشآت وتأمين المداخل وتوفير الكوادر الأمنية المدربة.</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healthcare</t>
        </is>
      </c>
      <c r="J143" s="12" t="inlineStr">
        <is>
          <t>2026-08-30</t>
        </is>
      </c>
      <c r="K143" s="12" t="inlineStr">
        <is>
          <t>2026-10-20</t>
        </is>
      </c>
      <c r="L143" s="12" t="inlineStr">
        <is>
          <t>100000.000 KWD</t>
        </is>
      </c>
      <c r="M143" s="12" t="inlineStr">
        <is>
          <t>3500.000 KWD</t>
        </is>
      </c>
      <c r="N143" s="21" t="inlineStr">
        <is>
          <t>NEW</t>
        </is>
      </c>
      <c r="O143" s="12" t="inlineStr">
        <is>
          <t>غير متوافقة مع اختصاصات KBM</t>
        </is>
      </c>
      <c r="P143" s="23">
        <f>HYPERLINK("https://capt.gov.kw/ar/tenders/opening-tenders/#card-5", "عرض المصدر")</f>
        <v/>
      </c>
    </row>
    <row r="144">
      <c r="A144" s="13" t="inlineStr">
        <is>
          <t>ص / م خ ع /18/2026/2027</t>
        </is>
      </c>
      <c r="B144" s="13" t="inlineStr">
        <is>
          <t>وزارة الصحة</t>
        </is>
      </c>
      <c r="C144" s="13" t="inlineStr">
        <is>
          <t>Jana Al-Obaid</t>
        </is>
      </c>
      <c r="D144" s="13" t="inlineStr">
        <is>
          <t>توريد محارم ورق التنشيف</t>
        </is>
      </c>
      <c r="E144" s="13" t="inlineStr">
        <is>
          <t>أعمال وتوريدات توريد محارم ورق التنشيف لصالح وزارة الصحة وفقاً للشروط والمواصفات المعتمدة في وثائق الطرح.</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healthcare</t>
        </is>
      </c>
      <c r="J144" s="14" t="inlineStr">
        <is>
          <t>2026-09-06</t>
        </is>
      </c>
      <c r="K144" s="14" t="inlineStr">
        <is>
          <t>2026-11-01</t>
        </is>
      </c>
      <c r="L144" s="14" t="inlineStr">
        <is>
          <t>6000.000 KWD</t>
        </is>
      </c>
      <c r="M144" s="14" t="inlineStr">
        <is>
          <t>300.000 KWD</t>
        </is>
      </c>
      <c r="N144" s="21" t="inlineStr">
        <is>
          <t>NEW</t>
        </is>
      </c>
      <c r="O144" s="14" t="inlineStr">
        <is>
          <t>غير متوافقة مع اختصاصات KBM</t>
        </is>
      </c>
      <c r="P144" s="22">
        <f>HYPERLINK("https://capt.gov.kw/ar/tenders/opening-tenders/#card-6", "عرض المصدر")</f>
        <v/>
      </c>
    </row>
    <row r="145">
      <c r="A145" s="11" t="inlineStr">
        <is>
          <t>ص/م خ ع/13/2026/2027</t>
        </is>
      </c>
      <c r="B145" s="11" t="inlineStr">
        <is>
          <t>وزارة الصحة</t>
        </is>
      </c>
      <c r="C145" s="11" t="inlineStr">
        <is>
          <t>Jana Al-Obaid</t>
        </is>
      </c>
      <c r="D145" s="11" t="inlineStr">
        <is>
          <t>اعداد الدراسة و التصميم و الاشراف على تنفيذ مشروع مباني المحور الخدمي لمدينة صباح الاحمد الصحية</t>
        </is>
      </c>
      <c r="E145"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0.0%</t>
        </is>
      </c>
      <c r="I145" s="12" t="inlineStr">
        <is>
          <t>healthcare</t>
        </is>
      </c>
      <c r="J145" s="12" t="inlineStr">
        <is>
          <t>2026-09-20</t>
        </is>
      </c>
      <c r="K145" s="12" t="inlineStr">
        <is>
          <t>2026-10-20</t>
        </is>
      </c>
      <c r="L145" s="12" t="inlineStr">
        <is>
          <t>45000.000 KWD</t>
        </is>
      </c>
      <c r="M145" s="12" t="inlineStr">
        <is>
          <t>1000.000 KWD</t>
        </is>
      </c>
      <c r="N145" s="26" t="inlineStr">
        <is>
          <t>UNCHANGED</t>
        </is>
      </c>
      <c r="O145" s="12" t="inlineStr">
        <is>
          <t>غير متوافقة مع اختصاصات KBM</t>
        </is>
      </c>
      <c r="P145" s="23">
        <f>HYPERLINK("https://capt.gov.kw/ar/tenders/opening-tenders/#card-1", "عرض المصدر")</f>
        <v/>
      </c>
    </row>
    <row r="146">
      <c r="A146" s="13" t="inlineStr">
        <is>
          <t>CZ/LNGI/MP/012</t>
        </is>
      </c>
      <c r="B146" s="13" t="inlineStr">
        <is>
          <t>الشركة الكويتية للصناعات البترولية المتكاملة</t>
        </is>
      </c>
      <c r="C146" s="13" t="inlineStr">
        <is>
          <t>Eiman Ashkanani</t>
        </is>
      </c>
      <c r="D146"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46" s="13" t="inlineStr">
        <is>
          <t>توريد المستلزمات والمواد والمستهلكات الطبية أو المخبرية المتخصصة لصالح المرافق الصحية.</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oil_and_gas</t>
        </is>
      </c>
      <c r="J146" s="14" t="inlineStr">
        <is>
          <t>2026-09-27</t>
        </is>
      </c>
      <c r="K146" s="14" t="inlineStr">
        <is>
          <t>2026-12-22</t>
        </is>
      </c>
      <c r="L146" s="14" t="inlineStr">
        <is>
          <t>450000.000 KWD</t>
        </is>
      </c>
      <c r="M146" s="14" t="inlineStr">
        <is>
          <t>5000.000 KWD</t>
        </is>
      </c>
      <c r="N146" s="26" t="inlineStr">
        <is>
          <t>UNCHANGED</t>
        </is>
      </c>
      <c r="O146" s="14" t="inlineStr">
        <is>
          <t>غير متوافقة مع اختصاصات KBM</t>
        </is>
      </c>
      <c r="P146" s="22">
        <f>HYPERLINK("https://capt.gov.kw/ar/tenders/opening-tenders/#card-4", "عرض المصدر")</f>
        <v/>
      </c>
    </row>
    <row r="147">
      <c r="A147" s="11" t="inlineStr">
        <is>
          <t>RFQ/1063554</t>
        </is>
      </c>
      <c r="B147" s="11" t="inlineStr">
        <is>
          <t>شركة البترول الوطنية الكويتية</t>
        </is>
      </c>
      <c r="C147" s="11" t="inlineStr">
        <is>
          <t>Abrar Al-Qallaf</t>
        </is>
      </c>
      <c r="D147" s="11" t="inlineStr">
        <is>
          <t>ممارسة رقم RFQ/1063554: توريد العوامل المساعدة لوحدة نزع الكبريت (OCR Catalyst for ARDS Unit-12 Tr-2 - MAB) - شركة البترول الوطنية الكويتية</t>
        </is>
      </c>
      <c r="E147" s="11" t="inlineStr">
        <is>
          <t>توريد مواد كيميائية وعوامل مساعدة تكريرية (Catalyst) لوحدة نزع الكبريت بمصفاة ميناء الأحمدي.</t>
        </is>
      </c>
      <c r="F147" s="11" t="inlineStr">
        <is>
          <t>وفقاً لشروط وإجراءات المناقصات والتوريد لدى شركة البترول الوطنية الكويتية (KNPC) عبر منصة K-Tendering.</t>
        </is>
      </c>
      <c r="G147" s="12" t="inlineStr">
        <is>
          <t>عام</t>
        </is>
      </c>
      <c r="H147" s="12" t="inlineStr">
        <is>
          <t>15.0%</t>
        </is>
      </c>
      <c r="I147" s="12" t="inlineStr">
        <is>
          <t>oil_and_gas</t>
        </is>
      </c>
      <c r="J147" s="12" t="inlineStr">
        <is>
          <t>2026-09-27</t>
        </is>
      </c>
      <c r="K147" s="12" t="inlineStr">
        <is>
          <t>2026-10-22</t>
        </is>
      </c>
      <c r="L147" s="12" t="inlineStr">
        <is>
          <t>50000.0</t>
        </is>
      </c>
      <c r="M147" s="12" t="inlineStr">
        <is>
          <t>500.0</t>
        </is>
      </c>
      <c r="N147" s="21" t="inlineStr">
        <is>
          <t>NEW</t>
        </is>
      </c>
      <c r="O147" s="12" t="inlineStr">
        <is>
          <t>غير متوافقة</t>
        </is>
      </c>
      <c r="P147" s="23">
        <f>HYPERLINK("https://kuwaitalyawm.media.gov.kw/Online/ViewAdsHTML?id=171724&amp;no=1", "عرض المصدر")</f>
        <v/>
      </c>
    </row>
    <row r="148">
      <c r="A148" s="13" t="inlineStr">
        <is>
          <t>RFQ/1063825</t>
        </is>
      </c>
      <c r="B148" s="13" t="inlineStr">
        <is>
          <t>شركة البترول الوطنية الكويتية</t>
        </is>
      </c>
      <c r="C148" s="13" t="inlineStr">
        <is>
          <t>Abrar Al-Qallaf</t>
        </is>
      </c>
      <c r="D148" s="13" t="inlineStr">
        <is>
          <t>ممارسة رقم RFQ/1063825: توريد قطع غيار أنظمة الاتصالات (Spares for the Telecommunication System - LBP) - شركة البترول الوطنية الكويتية</t>
        </is>
      </c>
      <c r="E148" s="13" t="inlineStr">
        <is>
          <t>توريد قطع غيار ومعدات شبكات الاتصالات وأنظمة التراسل السلكي واللاسلكي لمصفاة ميناء عبد الله (LBP).</t>
        </is>
      </c>
      <c r="F148" s="13" t="inlineStr">
        <is>
          <t>وفقاً لشروط وإجراءات المناقصات والتوريد لدى شركة البترول الوطنية الكويتية (KNPC) عبر منصة K-Tendering.</t>
        </is>
      </c>
      <c r="G148" s="24" t="inlineStr">
        <is>
          <t>قطاع العمليات المدارة والدعم الفني متعدد الموردين</t>
        </is>
      </c>
      <c r="H148" s="14" t="inlineStr">
        <is>
          <t>75.0%</t>
        </is>
      </c>
      <c r="I148" s="14" t="inlineStr">
        <is>
          <t>oil_and_gas</t>
        </is>
      </c>
      <c r="J148" s="14" t="inlineStr">
        <is>
          <t>2026-09-27</t>
        </is>
      </c>
      <c r="K148" s="14" t="inlineStr">
        <is>
          <t>2026-10-22</t>
        </is>
      </c>
      <c r="L148" s="14" t="inlineStr">
        <is>
          <t>1000.0</t>
        </is>
      </c>
      <c r="M148" s="14" t="inlineStr">
        <is>
          <t>-</t>
        </is>
      </c>
      <c r="N148" s="21" t="inlineStr">
        <is>
          <t>NEW</t>
        </is>
      </c>
      <c r="O148" s="14" t="inlineStr">
        <is>
          <t>موصى بالتقديم</t>
        </is>
      </c>
      <c r="P148" s="22">
        <f>HYPERLINK("https://kuwaitalyawm.media.gov.kw/Online/ViewAdsHTML?id=171725&amp;no=1", "عرض المصدر")</f>
        <v/>
      </c>
    </row>
    <row r="149">
      <c r="A149" s="11" t="inlineStr">
        <is>
          <t>RFQ/1064135</t>
        </is>
      </c>
      <c r="B149" s="11" t="inlineStr">
        <is>
          <t>شركة البترول الوطنية الكويتية</t>
        </is>
      </c>
      <c r="C149" s="11" t="inlineStr">
        <is>
          <t>Abrar Al-Qallaf</t>
        </is>
      </c>
      <c r="D149" s="11" t="inlineStr">
        <is>
          <t>ممارسة رقم RFQ/1064135: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RFQ/1064135 عبر منصة K-Tendering.</t>
        </is>
      </c>
      <c r="F149" s="11" t="inlineStr">
        <is>
          <t>وفقاً لشروط وإجراءات المناقصات والتوريد لدى شركة البترول الوطنية الكويتية (KNPC) عبر منصة K-Tendering.</t>
        </is>
      </c>
      <c r="G149" s="12" t="inlineStr">
        <is>
          <t>عام</t>
        </is>
      </c>
      <c r="H149" s="12" t="inlineStr">
        <is>
          <t>15.0%</t>
        </is>
      </c>
      <c r="I149" s="12" t="inlineStr">
        <is>
          <t>oil_and_gas</t>
        </is>
      </c>
      <c r="J149" s="12" t="inlineStr">
        <is>
          <t>2026-09-27</t>
        </is>
      </c>
      <c r="K149" s="12" t="inlineStr">
        <is>
          <t>2026-10-22</t>
        </is>
      </c>
      <c r="L149" s="12" t="inlineStr">
        <is>
          <t>1000.0</t>
        </is>
      </c>
      <c r="M149" s="12" t="inlineStr">
        <is>
          <t>-</t>
        </is>
      </c>
      <c r="N149" s="21" t="inlineStr">
        <is>
          <t>NEW</t>
        </is>
      </c>
      <c r="O149" s="12" t="inlineStr">
        <is>
          <t>غير متوافقة</t>
        </is>
      </c>
      <c r="P149" s="23">
        <f>HYPERLINK("https://kuwaitalyawm.media.gov.kw/Online/ViewAdsHTML?id=171726&amp;no=1", "عرض المصدر")</f>
        <v/>
      </c>
    </row>
    <row r="150">
      <c r="A150" s="13" t="inlineStr">
        <is>
          <t>RFQ/1063478</t>
        </is>
      </c>
      <c r="B150" s="13" t="inlineStr">
        <is>
          <t>شركة البترول الوطنية الكويتية</t>
        </is>
      </c>
      <c r="C150" s="13" t="inlineStr">
        <is>
          <t>Abrar Al-Qallaf</t>
        </is>
      </c>
      <c r="D150" s="13" t="inlineStr">
        <is>
          <t>ممارسة رقم RFQ/1063478: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RFQ/1063478 عبر منصة K-Tendering.</t>
        </is>
      </c>
      <c r="F150" s="13" t="inlineStr">
        <is>
          <t>وفقاً لشروط وإجراءات المناقصات والتوريد لدى شركة البترول الوطنية الكويتية (KNPC) عبر منصة K-Tendering.</t>
        </is>
      </c>
      <c r="G150" s="14" t="inlineStr">
        <is>
          <t>عام</t>
        </is>
      </c>
      <c r="H150" s="14" t="inlineStr">
        <is>
          <t>15.0%</t>
        </is>
      </c>
      <c r="I150" s="14" t="inlineStr">
        <is>
          <t>oil_and_gas</t>
        </is>
      </c>
      <c r="J150" s="14" t="inlineStr">
        <is>
          <t>2026-09-27</t>
        </is>
      </c>
      <c r="K150" s="14" t="inlineStr">
        <is>
          <t>2026-10-22</t>
        </is>
      </c>
      <c r="L150" s="14" t="inlineStr">
        <is>
          <t>1000.0</t>
        </is>
      </c>
      <c r="M150" s="14" t="inlineStr">
        <is>
          <t>-</t>
        </is>
      </c>
      <c r="N150" s="21" t="inlineStr">
        <is>
          <t>NEW</t>
        </is>
      </c>
      <c r="O150" s="14" t="inlineStr">
        <is>
          <t>غير متوافقة</t>
        </is>
      </c>
      <c r="P150" s="22">
        <f>HYPERLINK("https://kuwaitalyawm.media.gov.kw/Online/ViewAdsHTML?id=171727&amp;no=1", "عرض المصدر")</f>
        <v/>
      </c>
    </row>
    <row r="151">
      <c r="A151" s="11" t="inlineStr">
        <is>
          <t>CB/CPC/2564/CNSL</t>
        </is>
      </c>
      <c r="B151" s="11" t="inlineStr">
        <is>
          <t>شركة البترول الوطنية الكويتية</t>
        </is>
      </c>
      <c r="C151" s="11" t="inlineStr">
        <is>
          <t>Abrar Al-Qallaf</t>
        </is>
      </c>
      <c r="D151" s="11" t="inlineStr">
        <is>
          <t>ممارسة رقم CB/CPC/2564/CNSL: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CB/CPC/2564/CNSL عبر منصة K-Tendering.</t>
        </is>
      </c>
      <c r="F151" s="11" t="inlineStr">
        <is>
          <t>وفقاً لشروط وإجراءات المناقصات والتوريد لدى شركة البترول الوطنية الكويتية (KNPC) عبر منصة K-Tendering.</t>
        </is>
      </c>
      <c r="G151" s="12" t="inlineStr">
        <is>
          <t>عام</t>
        </is>
      </c>
      <c r="H151" s="12" t="inlineStr">
        <is>
          <t>15.0%</t>
        </is>
      </c>
      <c r="I151" s="12" t="inlineStr">
        <is>
          <t>oil_and_gas</t>
        </is>
      </c>
      <c r="J151" s="12" t="inlineStr">
        <is>
          <t>2026-09-27</t>
        </is>
      </c>
      <c r="K151" s="12" t="inlineStr">
        <is>
          <t>-</t>
        </is>
      </c>
      <c r="L151" s="12" t="inlineStr">
        <is>
          <t>-</t>
        </is>
      </c>
      <c r="M151" s="12" t="inlineStr">
        <is>
          <t>-</t>
        </is>
      </c>
      <c r="N151" s="21" t="inlineStr">
        <is>
          <t>NEW</t>
        </is>
      </c>
      <c r="O151" s="12" t="inlineStr">
        <is>
          <t>غير متوافقة</t>
        </is>
      </c>
      <c r="P151" s="23">
        <f>HYPERLINK("https://kuwaitalyawm.media.gov.kw/Online/ViewAdsHTML?id=171728&amp;no=1", "عرض المصدر")</f>
        <v/>
      </c>
    </row>
    <row r="152">
      <c r="A152" s="13" t="inlineStr">
        <is>
          <t>RFQ/1063250</t>
        </is>
      </c>
      <c r="B152" s="13" t="inlineStr">
        <is>
          <t>شركة البترول الوطنية الكويتية</t>
        </is>
      </c>
      <c r="C152" s="13" t="inlineStr">
        <is>
          <t>Abrar Al-Qallaf</t>
        </is>
      </c>
      <c r="D152" s="13" t="inlineStr">
        <is>
          <t>ممارسة رقم RFQ/1063250: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RFQ/1063250 عبر منصة K-Tendering.</t>
        </is>
      </c>
      <c r="F152" s="13" t="inlineStr">
        <is>
          <t>وفقاً لشروط وإجراءات المناقصات والتوريد لدى شركة البترول الوطنية الكويتية (KNPC) عبر منصة K-Tendering.</t>
        </is>
      </c>
      <c r="G152" s="14" t="inlineStr">
        <is>
          <t>عام</t>
        </is>
      </c>
      <c r="H152" s="14" t="inlineStr">
        <is>
          <t>15.0%</t>
        </is>
      </c>
      <c r="I152" s="14" t="inlineStr">
        <is>
          <t>oil_and_gas</t>
        </is>
      </c>
      <c r="J152" s="14" t="inlineStr">
        <is>
          <t>2026-09-27</t>
        </is>
      </c>
      <c r="K152" s="14" t="inlineStr">
        <is>
          <t>2026-10-15</t>
        </is>
      </c>
      <c r="L152" s="14" t="inlineStr">
        <is>
          <t>1000.0</t>
        </is>
      </c>
      <c r="M152" s="14" t="inlineStr">
        <is>
          <t>-</t>
        </is>
      </c>
      <c r="N152" s="21" t="inlineStr">
        <is>
          <t>NEW</t>
        </is>
      </c>
      <c r="O152" s="14" t="inlineStr">
        <is>
          <t>غير متوافقة</t>
        </is>
      </c>
      <c r="P152" s="22">
        <f>HYPERLINK("https://kuwaitalyawm.media.gov.kw/Online/ViewAdsHTML?id=171729&amp;no=1", "عرض المصدر")</f>
        <v/>
      </c>
    </row>
    <row r="153">
      <c r="A153" s="11" t="inlineStr">
        <is>
          <t>CA/CPC/0964</t>
        </is>
      </c>
      <c r="B153" s="11" t="inlineStr">
        <is>
          <t>شركة البترول الوطنية الكويتية</t>
        </is>
      </c>
      <c r="C153" s="11" t="inlineStr">
        <is>
          <t>Abrar Al-Qallaf</t>
        </is>
      </c>
      <c r="D153" s="11" t="inlineStr">
        <is>
          <t>ممارسة رقم CA/CPC/0964: توريد مواد ومهمات تشغيلية لزوم شركة البترول الوطنية الكويتية - شركة البترول الوطنية الكويتية</t>
        </is>
      </c>
      <c r="E153" s="11" t="inlineStr">
        <is>
          <t>أعمال وتوريدات تخصصية لزوم شركة البترول الوطنية الكويتية حسب وثائق الممارسة رقم CA/CPC/0964 عبر منصة K-Tendering.</t>
        </is>
      </c>
      <c r="F153" s="11" t="inlineStr">
        <is>
          <t>وفقاً لشروط وإجراءات المناقصات والتوريد لدى شركة البترول الوطنية الكويتية (KNPC) عبر منصة K-Tendering.</t>
        </is>
      </c>
      <c r="G153" s="12" t="inlineStr">
        <is>
          <t>عام</t>
        </is>
      </c>
      <c r="H153" s="12" t="inlineStr">
        <is>
          <t>15.0%</t>
        </is>
      </c>
      <c r="I153" s="12" t="inlineStr">
        <is>
          <t>oil_and_gas</t>
        </is>
      </c>
      <c r="J153" s="12" t="inlineStr">
        <is>
          <t>2026-09-06</t>
        </is>
      </c>
      <c r="K153" s="12" t="inlineStr">
        <is>
          <t>-</t>
        </is>
      </c>
      <c r="L153" s="12" t="inlineStr">
        <is>
          <t>-</t>
        </is>
      </c>
      <c r="M153" s="12" t="inlineStr">
        <is>
          <t>-</t>
        </is>
      </c>
      <c r="N153" s="21" t="inlineStr">
        <is>
          <t>NEW</t>
        </is>
      </c>
      <c r="O153" s="12" t="inlineStr">
        <is>
          <t>غير متوافقة</t>
        </is>
      </c>
      <c r="P153" s="23">
        <f>HYPERLINK("https://kuwaitalyawm.media.gov.kw/Online/ViewAdsHTML?id=171736&amp;no=1", "عرض المصدر")</f>
        <v/>
      </c>
    </row>
    <row r="154">
      <c r="A154" s="13" t="inlineStr">
        <is>
          <t>RFQ/2167273</t>
        </is>
      </c>
      <c r="B154" s="13" t="inlineStr">
        <is>
          <t>شركة البترول الوطنية الكويتية</t>
        </is>
      </c>
      <c r="C154" s="13" t="inlineStr">
        <is>
          <t>Abrar Al-Qallaf</t>
        </is>
      </c>
      <c r="D154" s="13" t="inlineStr">
        <is>
          <t>ممارسة رقم RFQ/2167273: توريد مواد ومهمات تشغيلية لزوم شركة البترول الوطنية الكويتية - شركة البترول الوطنية الكويتية</t>
        </is>
      </c>
      <c r="E154" s="13" t="inlineStr">
        <is>
          <t>أعمال وتوريدات تخصصية لزوم شركة البترول الوطنية الكويتية حسب وثائق الممارسة رقم RFQ/2167273 عبر منصة K-Tendering.</t>
        </is>
      </c>
      <c r="F154" s="13" t="inlineStr">
        <is>
          <t>وفقاً لشروط وإجراءات المناقصات والتوريد لدى شركة البترول الوطنية الكويتية (KNPC) عبر منصة K-Tendering.</t>
        </is>
      </c>
      <c r="G154" s="14" t="inlineStr">
        <is>
          <t>عام</t>
        </is>
      </c>
      <c r="H154" s="14" t="inlineStr">
        <is>
          <t>15.0%</t>
        </is>
      </c>
      <c r="I154" s="14" t="inlineStr">
        <is>
          <t>oil_and_gas</t>
        </is>
      </c>
      <c r="J154" s="14" t="inlineStr">
        <is>
          <t>2026-09-27</t>
        </is>
      </c>
      <c r="K154" s="14" t="inlineStr">
        <is>
          <t>2026-09-27</t>
        </is>
      </c>
      <c r="L154" s="14" t="inlineStr">
        <is>
          <t>5000.0</t>
        </is>
      </c>
      <c r="M154" s="14" t="inlineStr">
        <is>
          <t>-</t>
        </is>
      </c>
      <c r="N154" s="21" t="inlineStr">
        <is>
          <t>NEW</t>
        </is>
      </c>
      <c r="O154" s="14" t="inlineStr">
        <is>
          <t>غير متوافقة</t>
        </is>
      </c>
      <c r="P154" s="22">
        <f>HYPERLINK("https://kuwaitalyawm.media.gov.kw/Online/ViewAdsHTML?id=171743&amp;no=1", "عرض المصدر")</f>
        <v/>
      </c>
    </row>
    <row r="155">
      <c r="A155" s="11" t="inlineStr">
        <is>
          <t>RFQ/2167277</t>
        </is>
      </c>
      <c r="B155" s="11" t="inlineStr">
        <is>
          <t>شركة البترول الوطنية الكويتية</t>
        </is>
      </c>
      <c r="C155" s="11" t="inlineStr">
        <is>
          <t>Abrar Al-Qallaf</t>
        </is>
      </c>
      <c r="D155" s="11" t="inlineStr">
        <is>
          <t>ممارسة رقم RFQ/2167277: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RFQ/2167277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2026-09-27</t>
        </is>
      </c>
      <c r="K155" s="12" t="inlineStr">
        <is>
          <t>2026-12-28</t>
        </is>
      </c>
      <c r="L155" s="12" t="inlineStr">
        <is>
          <t>1000.0</t>
        </is>
      </c>
      <c r="M155" s="12" t="inlineStr">
        <is>
          <t>100.0</t>
        </is>
      </c>
      <c r="N155" s="21" t="inlineStr">
        <is>
          <t>NEW</t>
        </is>
      </c>
      <c r="O155" s="12" t="inlineStr">
        <is>
          <t>غير متوافقة</t>
        </is>
      </c>
      <c r="P155" s="23">
        <f>HYPERLINK("https://kuwaitalyawm.media.gov.kw/Online/ViewAdsHTML?id=171744&amp;no=1", "عرض المصدر")</f>
        <v/>
      </c>
    </row>
    <row r="156">
      <c r="A156" s="13" t="inlineStr">
        <is>
          <t>RFQ/2163705</t>
        </is>
      </c>
      <c r="B156" s="13" t="inlineStr">
        <is>
          <t>شركة البترول الوطنية الكويتية</t>
        </is>
      </c>
      <c r="C156" s="13" t="inlineStr">
        <is>
          <t>Abrar Al-Qallaf</t>
        </is>
      </c>
      <c r="D156" s="13" t="inlineStr">
        <is>
          <t>ممارسة رقم RFQ/2163705: 2163705 - شركة البترول الوطنية الكويتية</t>
        </is>
      </c>
      <c r="E156" s="13" t="inlineStr">
        <is>
          <t>أعمال وتوريدات تخصصية لزوم شركة البترول الوطنية الكويتية حسب وثائق الممارسة رقم RFQ/2163705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2026-08-30</t>
        </is>
      </c>
      <c r="K156" s="18" t="inlineStr">
        <is>
          <t>2026-10-05</t>
        </is>
      </c>
      <c r="L156" s="14" t="inlineStr">
        <is>
          <t>-</t>
        </is>
      </c>
      <c r="M156" s="14" t="inlineStr">
        <is>
          <t>-</t>
        </is>
      </c>
      <c r="N156" s="21" t="inlineStr">
        <is>
          <t>NEW</t>
        </is>
      </c>
      <c r="O156" s="14" t="inlineStr">
        <is>
          <t>غير متوافقة</t>
        </is>
      </c>
      <c r="P156" s="22">
        <f>HYPERLINK("https://kuwaitalyawm.media.gov.kw/Online/ViewAdsHTML?id=171745&amp;no=1", "عرض المصدر")</f>
        <v/>
      </c>
    </row>
    <row r="157">
      <c r="A157" s="11" t="inlineStr">
        <is>
          <t>CA CPC 4780</t>
        </is>
      </c>
      <c r="B157" s="11" t="inlineStr">
        <is>
          <t>شركة البترول الوطنية الكويتية</t>
        </is>
      </c>
      <c r="C157" s="11" t="inlineStr">
        <is>
          <t>Abrar Al-Qallaf</t>
        </is>
      </c>
      <c r="D157" s="11" t="inlineStr">
        <is>
          <t>ممارسة رقم CA CPC 4780: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CA CPC 4780 عبر منصة K-Tendering.</t>
        </is>
      </c>
      <c r="F157" s="11" t="inlineStr">
        <is>
          <t>وفقاً لشروط وإجراءات المناقصات والتوريد لدى شركة البترول الوطنية الكويتية (KNPC) عبر منصة K-Tendering.</t>
        </is>
      </c>
      <c r="G157" s="12" t="inlineStr">
        <is>
          <t>عام</t>
        </is>
      </c>
      <c r="H157" s="12" t="inlineStr">
        <is>
          <t>15.0%</t>
        </is>
      </c>
      <c r="I157" s="12" t="inlineStr">
        <is>
          <t>oil_and_gas</t>
        </is>
      </c>
      <c r="J157" s="12" t="inlineStr">
        <is>
          <t>2026-09-13</t>
        </is>
      </c>
      <c r="K157" s="12" t="inlineStr">
        <is>
          <t>2026-12-17</t>
        </is>
      </c>
      <c r="L157" s="12" t="inlineStr">
        <is>
          <t>50000.0</t>
        </is>
      </c>
      <c r="M157" s="12" t="inlineStr">
        <is>
          <t>500.0</t>
        </is>
      </c>
      <c r="N157" s="21" t="inlineStr">
        <is>
          <t>NEW</t>
        </is>
      </c>
      <c r="O157" s="12" t="inlineStr">
        <is>
          <t>غير متوافقة</t>
        </is>
      </c>
      <c r="P157" s="23">
        <f>HYPERLINK("https://kuwaitalyawm.media.gov.kw/Online/ViewAdsHTML?id=170511&amp;no=1", "عرض المصدر")</f>
        <v/>
      </c>
    </row>
    <row r="158">
      <c r="A158" s="13" t="inlineStr">
        <is>
          <t>RFQ 1060201</t>
        </is>
      </c>
      <c r="B158" s="13" t="inlineStr">
        <is>
          <t>شركة البترول الوطنية الكويتية</t>
        </is>
      </c>
      <c r="C158" s="13" t="inlineStr">
        <is>
          <t>Abrar Al-Qallaf</t>
        </is>
      </c>
      <c r="D158" s="13" t="inlineStr">
        <is>
          <t>ممارسة رقم RFQ 1060201: Tendering) - شركة البترول الوطنية الكويتية</t>
        </is>
      </c>
      <c r="E158" s="13" t="inlineStr">
        <is>
          <t>أعمال وتوريدات تخصصية لزوم شركة البترول الوطنية الكويتية حسب وثائق الممارسة رقم RFQ 1060201 عبر منصة K-Tendering.</t>
        </is>
      </c>
      <c r="F158" s="13" t="inlineStr">
        <is>
          <t>وفقاً لشروط وإجراءات المناقصات والتوريد لدى شركة البترول الوطنية الكويتية (KNPC) عبر منصة K-Tendering.</t>
        </is>
      </c>
      <c r="G158" s="14" t="inlineStr">
        <is>
          <t>عام</t>
        </is>
      </c>
      <c r="H158" s="14" t="inlineStr">
        <is>
          <t>15.0%</t>
        </is>
      </c>
      <c r="I158" s="14" t="inlineStr">
        <is>
          <t>oil_and_gas</t>
        </is>
      </c>
      <c r="J158" s="14" t="inlineStr">
        <is>
          <t>2026-09-13</t>
        </is>
      </c>
      <c r="K158" s="14" t="inlineStr">
        <is>
          <t>2026-12-17</t>
        </is>
      </c>
      <c r="L158" s="14" t="inlineStr">
        <is>
          <t>1000.0</t>
        </is>
      </c>
      <c r="M158" s="14" t="inlineStr">
        <is>
          <t>100.0</t>
        </is>
      </c>
      <c r="N158" s="21" t="inlineStr">
        <is>
          <t>NEW</t>
        </is>
      </c>
      <c r="O158" s="14" t="inlineStr">
        <is>
          <t>غير متوافقة</t>
        </is>
      </c>
      <c r="P158" s="22">
        <f>HYPERLINK("https://kuwaitalyawm.media.gov.kw/Online/ViewAdsHTML?id=170512&amp;no=1", "عرض المصدر")</f>
        <v/>
      </c>
    </row>
    <row r="159">
      <c r="A159" s="11" t="inlineStr">
        <is>
          <t>RFQ 1063791</t>
        </is>
      </c>
      <c r="B159" s="11" t="inlineStr">
        <is>
          <t>شركة البترول الوطنية الكويتية</t>
        </is>
      </c>
      <c r="C159" s="11" t="inlineStr">
        <is>
          <t>Abrar Al-Qallaf</t>
        </is>
      </c>
      <c r="D159" s="11" t="inlineStr">
        <is>
          <t>ممارسة رقم RFQ 1063791: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 1063791 عبر منصة K-Tendering.</t>
        </is>
      </c>
      <c r="F159" s="11" t="inlineStr">
        <is>
          <t>وفقاً لشروط وإجراءات المناقصات والتوريد لدى شركة البترول الوطنية الكويتية (KNPC) عبر منصة K-Tendering.</t>
        </is>
      </c>
      <c r="G159" s="12" t="inlineStr">
        <is>
          <t>عام</t>
        </is>
      </c>
      <c r="H159" s="12" t="inlineStr">
        <is>
          <t>15.0%</t>
        </is>
      </c>
      <c r="I159" s="12" t="inlineStr">
        <is>
          <t>oil_and_gas</t>
        </is>
      </c>
      <c r="J159" s="12" t="inlineStr">
        <is>
          <t>2026-09-13</t>
        </is>
      </c>
      <c r="K159" s="12" t="inlineStr">
        <is>
          <t>2026-12-17</t>
        </is>
      </c>
      <c r="L159" s="12" t="inlineStr">
        <is>
          <t>1000.0</t>
        </is>
      </c>
      <c r="M159" s="12" t="inlineStr">
        <is>
          <t>100.0</t>
        </is>
      </c>
      <c r="N159" s="21" t="inlineStr">
        <is>
          <t>NEW</t>
        </is>
      </c>
      <c r="O159" s="12" t="inlineStr">
        <is>
          <t>غير متوافقة</t>
        </is>
      </c>
      <c r="P159" s="23">
        <f>HYPERLINK("https://kuwaitalyawm.media.gov.kw/Online/ViewAdsHTML?id=170513&amp;no=1", "عرض المصدر")</f>
        <v/>
      </c>
    </row>
    <row r="160">
      <c r="A160" s="13" t="inlineStr">
        <is>
          <t>RFQ/2163185</t>
        </is>
      </c>
      <c r="B160" s="13" t="inlineStr">
        <is>
          <t>شركة البترول الوطنية الكويتية</t>
        </is>
      </c>
      <c r="C160" s="13" t="inlineStr">
        <is>
          <t>Abrar Al-Qallaf</t>
        </is>
      </c>
      <c r="D160" s="13" t="inlineStr">
        <is>
          <t>ممارسة رقم RFQ/2163185: 2163185 - شركة البترول الوطنية الكويتية</t>
        </is>
      </c>
      <c r="E160" s="13" t="inlineStr">
        <is>
          <t>أعمال وتوريدات تخصصية لزوم شركة البترول الوطنية الكويتية حسب وثائق الممارسة رقم RFQ/2163185 عبر منصة K-Tendering.</t>
        </is>
      </c>
      <c r="F160" s="13" t="inlineStr">
        <is>
          <t>وفقاً لشروط وإجراءات المناقصات والتوريد لدى شركة البترول الوطنية الكويتية (KNPC) عبر منصة K-Tendering.</t>
        </is>
      </c>
      <c r="G160" s="14" t="inlineStr">
        <is>
          <t>عام</t>
        </is>
      </c>
      <c r="H160" s="14" t="inlineStr">
        <is>
          <t>15.0%</t>
        </is>
      </c>
      <c r="I160" s="14" t="inlineStr">
        <is>
          <t>oil_and_gas</t>
        </is>
      </c>
      <c r="J160" s="14" t="inlineStr">
        <is>
          <t>2026-09-13</t>
        </is>
      </c>
      <c r="K160" s="14" t="inlineStr">
        <is>
          <t>-</t>
        </is>
      </c>
      <c r="L160" s="14" t="inlineStr">
        <is>
          <t>-</t>
        </is>
      </c>
      <c r="M160" s="14" t="inlineStr">
        <is>
          <t>-</t>
        </is>
      </c>
      <c r="N160" s="21" t="inlineStr">
        <is>
          <t>NEW</t>
        </is>
      </c>
      <c r="O160" s="14" t="inlineStr">
        <is>
          <t>غير متوافقة</t>
        </is>
      </c>
      <c r="P160" s="22">
        <f>HYPERLINK("https://kuwaitalyawm.media.gov.kw/Online/ViewAdsHTML?id=170525&amp;no=1", "عرض المصدر")</f>
        <v/>
      </c>
    </row>
    <row r="161">
      <c r="A161" s="11" t="inlineStr">
        <is>
          <t>RFQ/2163729</t>
        </is>
      </c>
      <c r="B161" s="11" t="inlineStr">
        <is>
          <t>شركة البترول الوطنية الكويتية</t>
        </is>
      </c>
      <c r="C161" s="11" t="inlineStr">
        <is>
          <t>Abrar Al-Qallaf</t>
        </is>
      </c>
      <c r="D161" s="11" t="inlineStr">
        <is>
          <t>ممارسة رقم RFQ/2163729: 2163729 - شركة البترول الوطنية الكويتية</t>
        </is>
      </c>
      <c r="E161" s="11" t="inlineStr">
        <is>
          <t>أعمال وتوريدات تخصصية لزوم شركة البترول الوطنية الكويتية حسب وثائق الممارسة رقم RFQ/2163729 عبر منصة K-Tendering.</t>
        </is>
      </c>
      <c r="F161" s="11" t="inlineStr">
        <is>
          <t>وفقاً لشروط وإجراءات المناقصات والتوريد لدى شركة البترول الوطنية الكويتية (KNPC) عبر منصة K-Tendering.</t>
        </is>
      </c>
      <c r="G161" s="12" t="inlineStr">
        <is>
          <t>عام</t>
        </is>
      </c>
      <c r="H161" s="12" t="inlineStr">
        <is>
          <t>15.0%</t>
        </is>
      </c>
      <c r="I161" s="12" t="inlineStr">
        <is>
          <t>oil_and_gas</t>
        </is>
      </c>
      <c r="J161" s="12" t="inlineStr">
        <is>
          <t>2026-09-13</t>
        </is>
      </c>
      <c r="K161" s="12" t="inlineStr">
        <is>
          <t>-</t>
        </is>
      </c>
      <c r="L161" s="12" t="inlineStr">
        <is>
          <t>-</t>
        </is>
      </c>
      <c r="M161" s="12" t="inlineStr">
        <is>
          <t>-</t>
        </is>
      </c>
      <c r="N161" s="21" t="inlineStr">
        <is>
          <t>NEW</t>
        </is>
      </c>
      <c r="O161" s="12" t="inlineStr">
        <is>
          <t>غير متوافقة</t>
        </is>
      </c>
      <c r="P161" s="23">
        <f>HYPERLINK("https://kuwaitalyawm.media.gov.kw/Online/ViewAdsHTML?id=170526&amp;no=1", "عرض المصدر")</f>
        <v/>
      </c>
    </row>
    <row r="162">
      <c r="A162" s="13" t="inlineStr">
        <is>
          <t>RFQ/2160171</t>
        </is>
      </c>
      <c r="B162" s="13" t="inlineStr">
        <is>
          <t>شركة البترول الوطنية الكويتية</t>
        </is>
      </c>
      <c r="C162" s="13" t="inlineStr">
        <is>
          <t>Abrar Al-Qallaf</t>
        </is>
      </c>
      <c r="D162" s="13" t="inlineStr">
        <is>
          <t>ممارسة رقم RFQ/2160171: توريد مواد ومهمات تشغيلية لزوم شركة البترول الوطنية الكويتية - شركة البترول الوطنية الكويتية</t>
        </is>
      </c>
      <c r="E162" s="13" t="inlineStr">
        <is>
          <t>أعمال وتوريدات تخصصية لزوم شركة البترول الوطنية الكويتية حسب وثائق الممارسة رقم RFQ/2160171 عبر منصة K-Tendering.</t>
        </is>
      </c>
      <c r="F162" s="13" t="inlineStr">
        <is>
          <t>وفقاً لشروط وإجراءات المناقصات والتوريد لدى شركة البترول الوطنية الكويتية (KNPC) عبر منصة K-Tendering.</t>
        </is>
      </c>
      <c r="G162" s="14" t="inlineStr">
        <is>
          <t>عام</t>
        </is>
      </c>
      <c r="H162" s="14" t="inlineStr">
        <is>
          <t>15.0%</t>
        </is>
      </c>
      <c r="I162" s="14" t="inlineStr">
        <is>
          <t>oil_and_gas</t>
        </is>
      </c>
      <c r="J162" s="14" t="inlineStr">
        <is>
          <t>2026-08-30</t>
        </is>
      </c>
      <c r="K162" s="18" t="inlineStr">
        <is>
          <t>2026-10-05</t>
        </is>
      </c>
      <c r="L162" s="14" t="inlineStr">
        <is>
          <t>-</t>
        </is>
      </c>
      <c r="M162" s="14" t="inlineStr">
        <is>
          <t>-</t>
        </is>
      </c>
      <c r="N162" s="21" t="inlineStr">
        <is>
          <t>NEW</t>
        </is>
      </c>
      <c r="O162" s="14" t="inlineStr">
        <is>
          <t>غير متوافقة</t>
        </is>
      </c>
      <c r="P162" s="22">
        <f>HYPERLINK("https://kuwaitalyawm.media.gov.kw/Online/ViewAdsHTML?id=170527&amp;no=1", "عرض المصدر")</f>
        <v/>
      </c>
    </row>
    <row r="163">
      <c r="A163" s="11" t="inlineStr">
        <is>
          <t>RFQ/2162788</t>
        </is>
      </c>
      <c r="B163" s="11" t="inlineStr">
        <is>
          <t>شركة البترول الوطنية الكويتية</t>
        </is>
      </c>
      <c r="C163" s="11" t="inlineStr">
        <is>
          <t>Abrar Al-Qallaf</t>
        </is>
      </c>
      <c r="D163" s="11" t="inlineStr">
        <is>
          <t>ممارسة رقم RFQ/2162788: 2162788 - شركة البترول الوطنية الكويتية</t>
        </is>
      </c>
      <c r="E163" s="11" t="inlineStr">
        <is>
          <t>أعمال وتوريدات تخصصية لزوم شركة البترول الوطنية الكويتية حسب وثائق الممارسة رقم RFQ/2162788 عبر منصة K-Tendering.</t>
        </is>
      </c>
      <c r="F163" s="11" t="inlineStr">
        <is>
          <t>وفقاً لشروط وإجراءات المناقصات والتوريد لدى شركة البترول الوطنية الكويتية (KNPC) عبر منصة K-Tendering.</t>
        </is>
      </c>
      <c r="G163" s="12" t="inlineStr">
        <is>
          <t>عام</t>
        </is>
      </c>
      <c r="H163" s="12" t="inlineStr">
        <is>
          <t>15.0%</t>
        </is>
      </c>
      <c r="I163" s="12" t="inlineStr">
        <is>
          <t>oil_and_gas</t>
        </is>
      </c>
      <c r="J163" s="12" t="inlineStr">
        <is>
          <t>2026-08-30</t>
        </is>
      </c>
      <c r="K163" s="12" t="inlineStr">
        <is>
          <t>-</t>
        </is>
      </c>
      <c r="L163" s="12" t="inlineStr">
        <is>
          <t>-</t>
        </is>
      </c>
      <c r="M163" s="12" t="inlineStr">
        <is>
          <t>-</t>
        </is>
      </c>
      <c r="N163" s="21" t="inlineStr">
        <is>
          <t>NEW</t>
        </is>
      </c>
      <c r="O163" s="12" t="inlineStr">
        <is>
          <t>غير متوافقة</t>
        </is>
      </c>
      <c r="P163" s="23">
        <f>HYPERLINK("https://kuwaitalyawm.media.gov.kw/Online/ViewAdsHTML?id=170528&amp;no=1", "عرض المصدر")</f>
        <v/>
      </c>
    </row>
    <row r="164">
      <c r="A164" s="13" t="inlineStr">
        <is>
          <t>RFQ/2161574</t>
        </is>
      </c>
      <c r="B164" s="13" t="inlineStr">
        <is>
          <t>شركة البترول الوطنية الكويتية</t>
        </is>
      </c>
      <c r="C164" s="13" t="inlineStr">
        <is>
          <t>Abrar Al-Qallaf</t>
        </is>
      </c>
      <c r="D164" s="13" t="inlineStr">
        <is>
          <t>ممارسة رقم RFQ/2161574: توريد مواد ومهمات تشغيلية لزوم شركة البترول الوطنية الكويتية - شركة البترول الوطنية الكويتية</t>
        </is>
      </c>
      <c r="E164" s="13" t="inlineStr">
        <is>
          <t>أعمال وتوريدات تخصصية لزوم شركة البترول الوطنية الكويتية حسب وثائق الممارسة رقم RFQ/2161574 عبر منصة K-Tendering.</t>
        </is>
      </c>
      <c r="F164" s="13" t="inlineStr">
        <is>
          <t>وفقاً لشروط وإجراءات المناقصات والتوريد لدى شركة البترول الوطنية الكويتية (KNPC) عبر منصة K-Tendering.</t>
        </is>
      </c>
      <c r="G164" s="14" t="inlineStr">
        <is>
          <t>عام</t>
        </is>
      </c>
      <c r="H164" s="14" t="inlineStr">
        <is>
          <t>15.0%</t>
        </is>
      </c>
      <c r="I164" s="14" t="inlineStr">
        <is>
          <t>oil_and_gas</t>
        </is>
      </c>
      <c r="J164" s="14" t="inlineStr">
        <is>
          <t>2026-09-13</t>
        </is>
      </c>
      <c r="K164" s="14" t="inlineStr">
        <is>
          <t>2026-09-14</t>
        </is>
      </c>
      <c r="L164" s="14" t="inlineStr">
        <is>
          <t>-</t>
        </is>
      </c>
      <c r="M164" s="14" t="inlineStr">
        <is>
          <t>-</t>
        </is>
      </c>
      <c r="N164" s="21" t="inlineStr">
        <is>
          <t>NEW</t>
        </is>
      </c>
      <c r="O164" s="14" t="inlineStr">
        <is>
          <t>غير متوافقة</t>
        </is>
      </c>
      <c r="P164" s="22">
        <f>HYPERLINK("https://kuwaitalyawm.media.gov.kw/Online/ViewAdsHTML?id=170529&amp;no=1", "عرض المصدر")</f>
        <v/>
      </c>
    </row>
    <row r="165">
      <c r="A165" s="11" t="inlineStr">
        <is>
          <t>RFQ/2163773</t>
        </is>
      </c>
      <c r="B165" s="11" t="inlineStr">
        <is>
          <t>شركة البترول الوطنية الكويتية</t>
        </is>
      </c>
      <c r="C165" s="11" t="inlineStr">
        <is>
          <t>Abrar Al-Qallaf</t>
        </is>
      </c>
      <c r="D165" s="11" t="inlineStr">
        <is>
          <t>ممارسة رقم RFQ/2163773: 2163773 - شركة البترول الوطنية الكويتية</t>
        </is>
      </c>
      <c r="E165" s="11" t="inlineStr">
        <is>
          <t>أعمال وتوريدات تخصصية لزوم شركة البترول الوطنية الكويتية حسب وثائق الممارسة رقم RFQ/2163773 عبر منصة K-Tendering.</t>
        </is>
      </c>
      <c r="F165" s="11" t="inlineStr">
        <is>
          <t>وفقاً لشروط وإجراءات المناقصات والتوريد لدى شركة البترول الوطنية الكويتية (KNPC) عبر منصة K-Tendering.</t>
        </is>
      </c>
      <c r="G165" s="12" t="inlineStr">
        <is>
          <t>عام</t>
        </is>
      </c>
      <c r="H165" s="12" t="inlineStr">
        <is>
          <t>15.0%</t>
        </is>
      </c>
      <c r="I165" s="12" t="inlineStr">
        <is>
          <t>oil_and_gas</t>
        </is>
      </c>
      <c r="J165" s="12" t="inlineStr">
        <is>
          <t>2026-09-13</t>
        </is>
      </c>
      <c r="K165" s="12" t="inlineStr">
        <is>
          <t>-</t>
        </is>
      </c>
      <c r="L165" s="12" t="inlineStr">
        <is>
          <t>-</t>
        </is>
      </c>
      <c r="M165" s="12" t="inlineStr">
        <is>
          <t>-</t>
        </is>
      </c>
      <c r="N165" s="21" t="inlineStr">
        <is>
          <t>NEW</t>
        </is>
      </c>
      <c r="O165" s="12" t="inlineStr">
        <is>
          <t>غير متوافقة</t>
        </is>
      </c>
      <c r="P165" s="23">
        <f>HYPERLINK("https://kuwaitalyawm.media.gov.kw/Online/ViewAdsHTML?id=170530&amp;no=1", "عرض المصدر")</f>
        <v/>
      </c>
    </row>
    <row r="166">
      <c r="A166" s="13" t="inlineStr">
        <is>
          <t>RFQ/2166412</t>
        </is>
      </c>
      <c r="B166" s="13" t="inlineStr">
        <is>
          <t>شركة البترول الوطنية الكويتية</t>
        </is>
      </c>
      <c r="C166" s="13" t="inlineStr">
        <is>
          <t>Abrar Al-Qallaf</t>
        </is>
      </c>
      <c r="D166" s="13" t="inlineStr">
        <is>
          <t>ممارسة رقم RFQ/2166412: توريد مواد ومهمات تشغيلية لزوم شركة البترول الوطنية الكويتية - شركة البترول الوطنية الكويتية</t>
        </is>
      </c>
      <c r="E166" s="13" t="inlineStr">
        <is>
          <t>أعمال وتوريدات تخصصية لزوم شركة البترول الوطنية الكويتية حسب وثائق الممارسة رقم RFQ/2166412 عبر منصة K-Tendering.</t>
        </is>
      </c>
      <c r="F166" s="13" t="inlineStr">
        <is>
          <t>وفقاً لشروط وإجراءات المناقصات والتوريد لدى شركة البترول الوطنية الكويتية (KNPC) عبر منصة K-Tendering.</t>
        </is>
      </c>
      <c r="G166" s="14" t="inlineStr">
        <is>
          <t>عام</t>
        </is>
      </c>
      <c r="H166" s="14" t="inlineStr">
        <is>
          <t>15.0%</t>
        </is>
      </c>
      <c r="I166" s="14" t="inlineStr">
        <is>
          <t>oil_and_gas</t>
        </is>
      </c>
      <c r="J166" s="14" t="inlineStr">
        <is>
          <t>2026-09-13</t>
        </is>
      </c>
      <c r="K166" s="14" t="inlineStr">
        <is>
          <t>2026-12-14</t>
        </is>
      </c>
      <c r="L166" s="14" t="inlineStr">
        <is>
          <t>15000.0</t>
        </is>
      </c>
      <c r="M166" s="14" t="inlineStr">
        <is>
          <t>-</t>
        </is>
      </c>
      <c r="N166" s="21" t="inlineStr">
        <is>
          <t>NEW</t>
        </is>
      </c>
      <c r="O166" s="14" t="inlineStr">
        <is>
          <t>غير متوافقة</t>
        </is>
      </c>
      <c r="P166" s="22">
        <f>HYPERLINK("https://kuwaitalyawm.media.gov.kw/Online/ViewAdsHTML?id=170531&amp;no=1", "عرض المصدر")</f>
        <v/>
      </c>
    </row>
    <row r="167">
      <c r="A167" s="11" t="inlineStr">
        <is>
          <t>RFQ/2167182</t>
        </is>
      </c>
      <c r="B167" s="11" t="inlineStr">
        <is>
          <t>شركة البترول الوطنية الكويتية</t>
        </is>
      </c>
      <c r="C167" s="11" t="inlineStr">
        <is>
          <t>Abrar Al-Qallaf</t>
        </is>
      </c>
      <c r="D167" s="11" t="inlineStr">
        <is>
          <t>ممارسة رقم RFQ/2167182: توريد مواد ومهمات تشغيلية لزوم شركة البترول الوطنية الكويتية - شركة البترول الوطنية الكويتية</t>
        </is>
      </c>
      <c r="E167" s="11" t="inlineStr">
        <is>
          <t>أعمال وتوريدات تخصصية لزوم شركة البترول الوطنية الكويتية حسب وثائق الممارسة رقم RFQ/2167182 عبر منصة K-Tendering.</t>
        </is>
      </c>
      <c r="F167" s="11" t="inlineStr">
        <is>
          <t>وفقاً لشروط وإجراءات المناقصات والتوريد لدى شركة البترول الوطنية الكويتية (KNPC) عبر منصة K-Tendering.</t>
        </is>
      </c>
      <c r="G167" s="12" t="inlineStr">
        <is>
          <t>عام</t>
        </is>
      </c>
      <c r="H167" s="12" t="inlineStr">
        <is>
          <t>15.0%</t>
        </is>
      </c>
      <c r="I167" s="12" t="inlineStr">
        <is>
          <t>oil_and_gas</t>
        </is>
      </c>
      <c r="J167" s="12" t="inlineStr">
        <is>
          <t>2026-09-13</t>
        </is>
      </c>
      <c r="K167" s="12" t="inlineStr">
        <is>
          <t>2026-12-21</t>
        </is>
      </c>
      <c r="L167" s="12" t="inlineStr">
        <is>
          <t>2500.0</t>
        </is>
      </c>
      <c r="M167" s="12" t="inlineStr">
        <is>
          <t>-</t>
        </is>
      </c>
      <c r="N167" s="21" t="inlineStr">
        <is>
          <t>NEW</t>
        </is>
      </c>
      <c r="O167" s="12" t="inlineStr">
        <is>
          <t>غير متوافقة</t>
        </is>
      </c>
      <c r="P167" s="23">
        <f>HYPERLINK("https://kuwaitalyawm.media.gov.kw/Online/ViewAdsHTML?id=170532&amp;no=1", "عرض المصدر")</f>
        <v/>
      </c>
    </row>
    <row r="168">
      <c r="A168" s="13" t="inlineStr">
        <is>
          <t>RFQ/2167044</t>
        </is>
      </c>
      <c r="B168" s="13" t="inlineStr">
        <is>
          <t>شركة البترول الوطنية الكويتية</t>
        </is>
      </c>
      <c r="C168" s="13" t="inlineStr">
        <is>
          <t>Abrar Al-Qallaf</t>
        </is>
      </c>
      <c r="D168" s="13" t="inlineStr">
        <is>
          <t>ممارسة رقم RFQ/2167044: توريد مواد ومهمات تشغيلية لزوم شركة البترول الوطنية الكويتية - شركة البترول الوطنية الكويتية</t>
        </is>
      </c>
      <c r="E168" s="13" t="inlineStr">
        <is>
          <t>أعمال وتوريدات تخصصية لزوم شركة البترول الوطنية الكويتية حسب وثائق الممارسة رقم RFQ/2167044 عبر منصة K-Tendering.</t>
        </is>
      </c>
      <c r="F168" s="13" t="inlineStr">
        <is>
          <t>وفقاً لشروط وإجراءات المناقصات والتوريد لدى شركة البترول الوطنية الكويتية (KNPC) عبر منصة K-Tendering.</t>
        </is>
      </c>
      <c r="G168" s="14" t="inlineStr">
        <is>
          <t>عام</t>
        </is>
      </c>
      <c r="H168" s="14" t="inlineStr">
        <is>
          <t>15.0%</t>
        </is>
      </c>
      <c r="I168" s="14" t="inlineStr">
        <is>
          <t>oil_and_gas</t>
        </is>
      </c>
      <c r="J168" s="14" t="inlineStr">
        <is>
          <t>2026-09-13</t>
        </is>
      </c>
      <c r="K168" s="14" t="inlineStr">
        <is>
          <t>2026-12-21</t>
        </is>
      </c>
      <c r="L168" s="14" t="inlineStr">
        <is>
          <t>1000.0</t>
        </is>
      </c>
      <c r="M168" s="14" t="inlineStr">
        <is>
          <t>100.0</t>
        </is>
      </c>
      <c r="N168" s="21" t="inlineStr">
        <is>
          <t>NEW</t>
        </is>
      </c>
      <c r="O168" s="14" t="inlineStr">
        <is>
          <t>غير متوافقة</t>
        </is>
      </c>
      <c r="P168" s="22">
        <f>HYPERLINK("https://kuwaitalyawm.media.gov.kw/Online/ViewAdsHTML?id=170533&amp;no=1", "عرض المصدر")</f>
        <v/>
      </c>
    </row>
    <row r="169">
      <c r="A169" s="11" t="inlineStr">
        <is>
          <t>RFQ/2163441</t>
        </is>
      </c>
      <c r="B169" s="11" t="inlineStr">
        <is>
          <t>شركة البترول الوطنية الكويتية</t>
        </is>
      </c>
      <c r="C169" s="11" t="inlineStr">
        <is>
          <t>Abrar Al-Qallaf</t>
        </is>
      </c>
      <c r="D169" s="11" t="inlineStr">
        <is>
          <t>ممارسة رقم RFQ/2163441: توريد مواد ومهمات تشغيلية لزوم شركة البترول الوطنية الكويتية - شركة البترول الوطنية الكويتية</t>
        </is>
      </c>
      <c r="E169" s="11" t="inlineStr">
        <is>
          <t>أعمال وتوريدات تخصصية لزوم شركة البترول الوطنية الكويتية حسب وثائق الممارسة رقم RFQ/2163441 عبر منصة K-Tendering.</t>
        </is>
      </c>
      <c r="F169" s="11" t="inlineStr">
        <is>
          <t>وفقاً لشروط وإجراءات المناقصات والتوريد لدى شركة البترول الوطنية الكويتية (KNPC) عبر منصة K-Tendering.</t>
        </is>
      </c>
      <c r="G169" s="12" t="inlineStr">
        <is>
          <t>عام</t>
        </is>
      </c>
      <c r="H169" s="12" t="inlineStr">
        <is>
          <t>15.0%</t>
        </is>
      </c>
      <c r="I169" s="12" t="inlineStr">
        <is>
          <t>oil_and_gas</t>
        </is>
      </c>
      <c r="J169" s="12" t="inlineStr">
        <is>
          <t>2026-09-13</t>
        </is>
      </c>
      <c r="K169" s="12" t="inlineStr">
        <is>
          <t>2026-12-14</t>
        </is>
      </c>
      <c r="L169" s="12" t="inlineStr">
        <is>
          <t>1000.0</t>
        </is>
      </c>
      <c r="M169" s="12" t="inlineStr">
        <is>
          <t>100.0</t>
        </is>
      </c>
      <c r="N169" s="21" t="inlineStr">
        <is>
          <t>NEW</t>
        </is>
      </c>
      <c r="O169" s="12" t="inlineStr">
        <is>
          <t>غير متوافقة</t>
        </is>
      </c>
      <c r="P169" s="23">
        <f>HYPERLINK("https://kuwaitalyawm.media.gov.kw/Online/ViewAdsHTML?id=170534&amp;no=1", "عرض المصدر")</f>
        <v/>
      </c>
    </row>
    <row r="170">
      <c r="A170" s="13" t="inlineStr">
        <is>
          <t>RFP/2161845</t>
        </is>
      </c>
      <c r="B170" s="13" t="inlineStr">
        <is>
          <t>شركة البترول الوطنية الكويتية</t>
        </is>
      </c>
      <c r="C170" s="13" t="inlineStr">
        <is>
          <t>Abrar Al-Qallaf</t>
        </is>
      </c>
      <c r="D170" s="13" t="inlineStr">
        <is>
          <t>ممارسة رقم RFP/2161845: توريد مواد ومهمات تشغيلية لزوم شركة البترول الوطنية الكويتية - شركة البترول الوطنية الكويتية</t>
        </is>
      </c>
      <c r="E170" s="13" t="inlineStr">
        <is>
          <t>أعمال وتوريدات تخصصية لزوم شركة البترول الوطنية الكويتية حسب وثائق الممارسة رقم RFP/2161845 عبر منصة K-Tendering.</t>
        </is>
      </c>
      <c r="F170" s="13" t="inlineStr">
        <is>
          <t>وفقاً لشروط وإجراءات المناقصات والتوريد لدى شركة البترول الوطنية الكويتية (KNPC) عبر منصة K-Tendering.</t>
        </is>
      </c>
      <c r="G170" s="14" t="inlineStr">
        <is>
          <t>عام</t>
        </is>
      </c>
      <c r="H170" s="14" t="inlineStr">
        <is>
          <t>15.0%</t>
        </is>
      </c>
      <c r="I170" s="14" t="inlineStr">
        <is>
          <t>oil_and_gas</t>
        </is>
      </c>
      <c r="J170" s="14" t="inlineStr">
        <is>
          <t>2026-09-13</t>
        </is>
      </c>
      <c r="K170" s="18" t="inlineStr">
        <is>
          <t>2026-10-12</t>
        </is>
      </c>
      <c r="L170" s="14" t="inlineStr">
        <is>
          <t>30000.0</t>
        </is>
      </c>
      <c r="M170" s="14" t="inlineStr">
        <is>
          <t>-</t>
        </is>
      </c>
      <c r="N170" s="21" t="inlineStr">
        <is>
          <t>NEW</t>
        </is>
      </c>
      <c r="O170" s="14" t="inlineStr">
        <is>
          <t>غير متوافقة</t>
        </is>
      </c>
      <c r="P170" s="22">
        <f>HYPERLINK("https://kuwaitalyawm.media.gov.kw/Online/ViewAdsHTML?id=170535&amp;no=1", "عرض المصدر")</f>
        <v/>
      </c>
    </row>
    <row r="171">
      <c r="A171" s="11" t="inlineStr">
        <is>
          <t>RFP/2161888</t>
        </is>
      </c>
      <c r="B171" s="11" t="inlineStr">
        <is>
          <t>شركة البترول الوطنية الكويتية</t>
        </is>
      </c>
      <c r="C171" s="11" t="inlineStr">
        <is>
          <t>Abrar Al-Qallaf</t>
        </is>
      </c>
      <c r="D171" s="11" t="inlineStr">
        <is>
          <t>ممارسة رقم RFP/2161888: توريد مواد ومهمات تشغيلية لزوم شركة البترول الوطنية الكويتية - شركة البترول الوطنية الكويتية</t>
        </is>
      </c>
      <c r="E171" s="11" t="inlineStr">
        <is>
          <t>أعمال وتوريدات تخصصية لزوم شركة البترول الوطنية الكويتية حسب وثائق الممارسة رقم RFP/2161888 عبر منصة K-Tendering.</t>
        </is>
      </c>
      <c r="F171" s="11" t="inlineStr">
        <is>
          <t>وفقاً لشروط وإجراءات المناقصات والتوريد لدى شركة البترول الوطنية الكويتية (KNPC) عبر منصة K-Tendering.</t>
        </is>
      </c>
      <c r="G171" s="12" t="inlineStr">
        <is>
          <t>عام</t>
        </is>
      </c>
      <c r="H171" s="12" t="inlineStr">
        <is>
          <t>15.0%</t>
        </is>
      </c>
      <c r="I171" s="12" t="inlineStr">
        <is>
          <t>oil_and_gas</t>
        </is>
      </c>
      <c r="J171" s="12" t="inlineStr">
        <is>
          <t>2026-09-13</t>
        </is>
      </c>
      <c r="K171" s="12" t="inlineStr">
        <is>
          <t>-</t>
        </is>
      </c>
      <c r="L171" s="12" t="inlineStr">
        <is>
          <t>-</t>
        </is>
      </c>
      <c r="M171" s="12" t="inlineStr">
        <is>
          <t>250.0</t>
        </is>
      </c>
      <c r="N171" s="21" t="inlineStr">
        <is>
          <t>NEW</t>
        </is>
      </c>
      <c r="O171" s="12" t="inlineStr">
        <is>
          <t>غير متوافقة</t>
        </is>
      </c>
      <c r="P171" s="23">
        <f>HYPERLINK("https://kuwaitalyawm.media.gov.kw/Online/ViewAdsHTML?id=170536&amp;no=1", "عرض المصدر")</f>
        <v/>
      </c>
    </row>
    <row r="172">
      <c r="A172" s="13" t="inlineStr">
        <is>
          <t>CB CPC 2551</t>
        </is>
      </c>
      <c r="B172" s="13" t="inlineStr">
        <is>
          <t>شركة البترول الوطنية الكويتية</t>
        </is>
      </c>
      <c r="C172" s="13" t="inlineStr">
        <is>
          <t>Abrar Al-Qallaf</t>
        </is>
      </c>
      <c r="D172" s="13" t="inlineStr">
        <is>
          <t>ممارسة رقم CB CPC 2551: توريد مواد ومهمات تشغيلية لزوم شركة البترول الوطنية الكويتية - شركة البترول الوطنية الكويتية</t>
        </is>
      </c>
      <c r="E172" s="13" t="inlineStr">
        <is>
          <t>أعمال وتوريدات تخصصية لزوم شركة البترول الوطنية الكويتية حسب وثائق الممارسة رقم CB CPC 2551 عبر منصة K-Tendering.</t>
        </is>
      </c>
      <c r="F172" s="13" t="inlineStr">
        <is>
          <t>وفقاً لشروط وإجراءات المناقصات والتوريد لدى شركة البترول الوطنية الكويتية (KNPC) عبر منصة K-Tendering.</t>
        </is>
      </c>
      <c r="G172" s="14" t="inlineStr">
        <is>
          <t>عام</t>
        </is>
      </c>
      <c r="H172" s="14" t="inlineStr">
        <is>
          <t>15.0%</t>
        </is>
      </c>
      <c r="I172" s="14" t="inlineStr">
        <is>
          <t>oil_and_gas</t>
        </is>
      </c>
      <c r="J172" s="14" t="inlineStr">
        <is>
          <t>2026-09-06</t>
        </is>
      </c>
      <c r="K172" s="14" t="inlineStr">
        <is>
          <t>-</t>
        </is>
      </c>
      <c r="L172" s="14" t="inlineStr">
        <is>
          <t>-</t>
        </is>
      </c>
      <c r="M172" s="14" t="inlineStr">
        <is>
          <t>-</t>
        </is>
      </c>
      <c r="N172" s="21" t="inlineStr">
        <is>
          <t>NEW</t>
        </is>
      </c>
      <c r="O172" s="14" t="inlineStr">
        <is>
          <t>غير متوافقة</t>
        </is>
      </c>
      <c r="P172" s="22">
        <f>HYPERLINK("https://kuwaitalyawm.media.gov.kw/Online/ViewAdsHTML?id=169420&amp;no=1", "عرض المصدر")</f>
        <v/>
      </c>
    </row>
    <row r="173">
      <c r="A173" s="11" t="inlineStr">
        <is>
          <t>RFQ 1061885</t>
        </is>
      </c>
      <c r="B173" s="11" t="inlineStr">
        <is>
          <t>شركة البترول الوطنية الكويتية</t>
        </is>
      </c>
      <c r="C173" s="11" t="inlineStr">
        <is>
          <t>Abrar Al-Qallaf</t>
        </is>
      </c>
      <c r="D173" s="11" t="inlineStr">
        <is>
          <t>ممارسة رقم RFQ 1061885: توريد مواد ومهمات تشغيلية لزوم شركة البترول الوطنية الكويتية - شركة البترول الوطنية الكويتية</t>
        </is>
      </c>
      <c r="E173" s="11" t="inlineStr">
        <is>
          <t>أعمال وتوريدات تخصصية لزوم شركة البترول الوطنية الكويتية حسب وثائق الممارسة رقم RFQ 1061885 عبر منصة K-Tendering.</t>
        </is>
      </c>
      <c r="F173" s="11" t="inlineStr">
        <is>
          <t>وفقاً لشروط وإجراءات المناقصات والتوريد لدى شركة البترول الوطنية الكويتية (KNPC) عبر منصة K-Tendering.</t>
        </is>
      </c>
      <c r="G173" s="12" t="inlineStr">
        <is>
          <t>عام</t>
        </is>
      </c>
      <c r="H173" s="12" t="inlineStr">
        <is>
          <t>15.0%</t>
        </is>
      </c>
      <c r="I173" s="12" t="inlineStr">
        <is>
          <t>oil_and_gas</t>
        </is>
      </c>
      <c r="J173" s="12" t="inlineStr">
        <is>
          <t>2026-09-06</t>
        </is>
      </c>
      <c r="K173" s="12" t="inlineStr">
        <is>
          <t>-</t>
        </is>
      </c>
      <c r="L173" s="12" t="inlineStr">
        <is>
          <t>-</t>
        </is>
      </c>
      <c r="M173" s="12" t="inlineStr">
        <is>
          <t>-</t>
        </is>
      </c>
      <c r="N173" s="21" t="inlineStr">
        <is>
          <t>NEW</t>
        </is>
      </c>
      <c r="O173" s="12" t="inlineStr">
        <is>
          <t>غير متوافقة</t>
        </is>
      </c>
      <c r="P173" s="23">
        <f>HYPERLINK("https://kuwaitalyawm.media.gov.kw/Online/ViewAdsHTML?id=169422&amp;no=1", "عرض المصدر")</f>
        <v/>
      </c>
    </row>
    <row r="174">
      <c r="A174" s="13" t="inlineStr">
        <is>
          <t>RFP 2165609</t>
        </is>
      </c>
      <c r="B174" s="13" t="inlineStr">
        <is>
          <t>شركة البترول الوطنية الكويتية</t>
        </is>
      </c>
      <c r="C174" s="13" t="inlineStr">
        <is>
          <t>Abrar Al-Qallaf</t>
        </is>
      </c>
      <c r="D174" s="13" t="inlineStr">
        <is>
          <t>ممارسة رقم RFP 2165609: توريد مواد ومهمات تشغيلية لزوم شركة البترول الوطنية الكويتية - شركة البترول الوطنية الكويتية</t>
        </is>
      </c>
      <c r="E174" s="13" t="inlineStr">
        <is>
          <t>أعمال وتوريدات تخصصية لزوم شركة البترول الوطنية الكويتية حسب وثائق الممارسة رقم RFP 2165609 عبر منصة K-Tendering.</t>
        </is>
      </c>
      <c r="F174" s="13" t="inlineStr">
        <is>
          <t>وفقاً لشروط وإجراءات المناقصات والتوريد لدى شركة البترول الوطنية الكويتية (KNPC) عبر منصة K-Tendering.</t>
        </is>
      </c>
      <c r="G174" s="14" t="inlineStr">
        <is>
          <t>عام</t>
        </is>
      </c>
      <c r="H174" s="14" t="inlineStr">
        <is>
          <t>15.0%</t>
        </is>
      </c>
      <c r="I174" s="14" t="inlineStr">
        <is>
          <t>oil_and_gas</t>
        </is>
      </c>
      <c r="J174" s="14" t="inlineStr">
        <is>
          <t>2026-09-06</t>
        </is>
      </c>
      <c r="K174" s="14" t="inlineStr">
        <is>
          <t>2026-12-07</t>
        </is>
      </c>
      <c r="L174" s="14" t="inlineStr">
        <is>
          <t>2500.0</t>
        </is>
      </c>
      <c r="M174" s="14" t="inlineStr">
        <is>
          <t>-</t>
        </is>
      </c>
      <c r="N174" s="21" t="inlineStr">
        <is>
          <t>NEW</t>
        </is>
      </c>
      <c r="O174" s="14" t="inlineStr">
        <is>
          <t>غير متوافقة</t>
        </is>
      </c>
      <c r="P174" s="22">
        <f>HYPERLINK("https://kuwaitalyawm.media.gov.kw/Online/ViewAdsHTML?id=169428&amp;no=1", "عرض المصدر")</f>
        <v/>
      </c>
    </row>
    <row r="175">
      <c r="A175" s="11" t="inlineStr">
        <is>
          <t>RFP 2156844</t>
        </is>
      </c>
      <c r="B175" s="11" t="inlineStr">
        <is>
          <t>شركة البترول الوطنية الكويتية</t>
        </is>
      </c>
      <c r="C175" s="11" t="inlineStr">
        <is>
          <t>Abrar Al-Qallaf</t>
        </is>
      </c>
      <c r="D175" s="11" t="inlineStr">
        <is>
          <t>ممارسة رقم RFP 2156844: توريد مواد ومهمات تشغيلية لزوم شركة البترول الوطنية الكويتية - شركة البترول الوطنية الكويتية</t>
        </is>
      </c>
      <c r="E175" s="11" t="inlineStr">
        <is>
          <t>أعمال وتوريدات تخصصية لزوم شركة البترول الوطنية الكويتية حسب وثائق الممارسة رقم RFP 2156844 عبر منصة K-Tendering.</t>
        </is>
      </c>
      <c r="F175" s="11" t="inlineStr">
        <is>
          <t>وفقاً لشروط وإجراءات المناقصات والتوريد لدى شركة البترول الوطنية الكويتية (KNPC) عبر منصة K-Tendering.</t>
        </is>
      </c>
      <c r="G175" s="12" t="inlineStr">
        <is>
          <t>عام</t>
        </is>
      </c>
      <c r="H175" s="12" t="inlineStr">
        <is>
          <t>15.0%</t>
        </is>
      </c>
      <c r="I175" s="12" t="inlineStr">
        <is>
          <t>oil_and_gas</t>
        </is>
      </c>
      <c r="J175" s="12" t="inlineStr">
        <is>
          <t>2026-09-06</t>
        </is>
      </c>
      <c r="K175" s="18" t="inlineStr">
        <is>
          <t>2026-10-12</t>
        </is>
      </c>
      <c r="L175" s="12" t="inlineStr">
        <is>
          <t>30000.0</t>
        </is>
      </c>
      <c r="M175" s="12" t="inlineStr">
        <is>
          <t>-</t>
        </is>
      </c>
      <c r="N175" s="21" t="inlineStr">
        <is>
          <t>NEW</t>
        </is>
      </c>
      <c r="O175" s="12" t="inlineStr">
        <is>
          <t>غير متوافقة</t>
        </is>
      </c>
      <c r="P175" s="23">
        <f>HYPERLINK("https://kuwaitalyawm.media.gov.kw/Online/ViewAdsHTML?id=169429&amp;no=1", "عرض المصدر")</f>
        <v/>
      </c>
    </row>
    <row r="176">
      <c r="A176" s="13" t="inlineStr">
        <is>
          <t>CC CMS 6104</t>
        </is>
      </c>
      <c r="B176" s="13" t="inlineStr">
        <is>
          <t>شركة البترول الوطنية الكويتية</t>
        </is>
      </c>
      <c r="C176" s="13" t="inlineStr">
        <is>
          <t>Abrar Al-Qallaf</t>
        </is>
      </c>
      <c r="D176" s="13" t="inlineStr">
        <is>
          <t>ممارسة رقم CC CMS 6104: توريد مواد ومهمات تشغيلية لزوم شركة البترول الوطنية الكويتية - شركة البترول الوطنية الكويتية</t>
        </is>
      </c>
      <c r="E176" s="13" t="inlineStr">
        <is>
          <t>أعمال وتوريدات تخصصية لزوم شركة البترول الوطنية الكويتية حسب وثائق الممارسة رقم CC CMS 6104 عبر منصة K-Tendering.</t>
        </is>
      </c>
      <c r="F176" s="13" t="inlineStr">
        <is>
          <t>وفقاً لشروط وإجراءات المناقصات والتوريد لدى شركة البترول الوطنية الكويتية (KNPC) عبر منصة K-Tendering.</t>
        </is>
      </c>
      <c r="G176" s="14" t="inlineStr">
        <is>
          <t>عام</t>
        </is>
      </c>
      <c r="H176" s="14" t="inlineStr">
        <is>
          <t>15.0%</t>
        </is>
      </c>
      <c r="I176" s="14" t="inlineStr">
        <is>
          <t>oil_and_gas</t>
        </is>
      </c>
      <c r="J176" s="14" t="inlineStr">
        <is>
          <t>2026-08-30</t>
        </is>
      </c>
      <c r="K176" s="14" t="inlineStr">
        <is>
          <t>2026-10-01</t>
        </is>
      </c>
      <c r="L176" s="14" t="inlineStr">
        <is>
          <t>50000.0</t>
        </is>
      </c>
      <c r="M176" s="14" t="inlineStr">
        <is>
          <t>500.0</t>
        </is>
      </c>
      <c r="N176" s="21" t="inlineStr">
        <is>
          <t>NEW</t>
        </is>
      </c>
      <c r="O176" s="14" t="inlineStr">
        <is>
          <t>غير متوافقة</t>
        </is>
      </c>
      <c r="P176" s="22">
        <f>HYPERLINK("https://kuwaitalyawm.media.gov.kw/Online/ViewAdsHTML?id=168768&amp;no=1", "عرض المصدر")</f>
        <v/>
      </c>
    </row>
    <row r="177">
      <c r="A177" s="11" t="inlineStr">
        <is>
          <t>126</t>
        </is>
      </c>
      <c r="B177" s="11" t="inlineStr">
        <is>
          <t>شركة البترول الوطنية الكويتية</t>
        </is>
      </c>
      <c r="C177" s="11" t="inlineStr">
        <is>
          <t>Abrar Al-Qallaf</t>
        </is>
      </c>
      <c r="D177" s="11" t="inlineStr">
        <is>
          <t>ممارسة رقم 126: توريد مواد ومهمات تشغيلية لزوم شركة البترول الوطنية الكويتية - شركة البترول الوطنية الكويتية</t>
        </is>
      </c>
      <c r="E177" s="11" t="inlineStr">
        <is>
          <t>أعمال وتوريدات تخصصية لزوم شركة البترول الوطنية الكويتية حسب وثائق الممارسة رقم 126 عبر منصة K-Tendering.</t>
        </is>
      </c>
      <c r="F177" s="11" t="inlineStr">
        <is>
          <t>وفقاً لشروط وإجراءات المناقصات والتوريد لدى شركة البترول الوطنية الكويتية (KNPC) عبر منصة K-Tendering.</t>
        </is>
      </c>
      <c r="G177" s="12" t="inlineStr">
        <is>
          <t>عام</t>
        </is>
      </c>
      <c r="H177" s="12" t="inlineStr">
        <is>
          <t>15.0%</t>
        </is>
      </c>
      <c r="I177" s="12" t="inlineStr">
        <is>
          <t>oil_and_gas</t>
        </is>
      </c>
      <c r="J177" s="12" t="inlineStr">
        <is>
          <t>2026-08-30</t>
        </is>
      </c>
      <c r="K177" s="12" t="inlineStr">
        <is>
          <t>-</t>
        </is>
      </c>
      <c r="L177" s="12" t="inlineStr">
        <is>
          <t>-</t>
        </is>
      </c>
      <c r="M177" s="12" t="inlineStr">
        <is>
          <t>-</t>
        </is>
      </c>
      <c r="N177" s="21" t="inlineStr">
        <is>
          <t>NEW</t>
        </is>
      </c>
      <c r="O177" s="12" t="inlineStr">
        <is>
          <t>غير متوافقة</t>
        </is>
      </c>
      <c r="P177" s="23">
        <f>HYPERLINK("https://kuwaitalyawm.media.gov.kw/Online/ViewAdsHTML?id=168769&amp;no=1", "عرض المصدر")</f>
        <v/>
      </c>
    </row>
    <row r="178">
      <c r="A178" s="13" t="inlineStr">
        <is>
          <t>RFQ 2163800</t>
        </is>
      </c>
      <c r="B178" s="13" t="inlineStr">
        <is>
          <t>شركة البترول الوطنية الكويتية</t>
        </is>
      </c>
      <c r="C178" s="13" t="inlineStr">
        <is>
          <t>Abrar Al-Qallaf</t>
        </is>
      </c>
      <c r="D178" s="13" t="inlineStr">
        <is>
          <t>ممارسة رقم RFQ 2163800: 2163800 - شركة البترول الوطنية الكويتية</t>
        </is>
      </c>
      <c r="E178" s="13" t="inlineStr">
        <is>
          <t>أعمال وتوريدات تخصصية لزوم شركة البترول الوطنية الكويتية حسب وثائق الممارسة رقم RFQ 2163800 عبر منصة K-Tendering.</t>
        </is>
      </c>
      <c r="F178" s="13" t="inlineStr">
        <is>
          <t>وفقاً لشروط وإجراءات المناقصات والتوريد لدى شركة البترول الوطنية الكويتية (KNPC) عبر منصة K-Tendering.</t>
        </is>
      </c>
      <c r="G178" s="14" t="inlineStr">
        <is>
          <t>عام</t>
        </is>
      </c>
      <c r="H178" s="14" t="inlineStr">
        <is>
          <t>15.0%</t>
        </is>
      </c>
      <c r="I178" s="14" t="inlineStr">
        <is>
          <t>oil_and_gas</t>
        </is>
      </c>
      <c r="J178" s="14" t="inlineStr">
        <is>
          <t>2026-08-30</t>
        </is>
      </c>
      <c r="K178" s="14" t="inlineStr">
        <is>
          <t>-</t>
        </is>
      </c>
      <c r="L178" s="14" t="inlineStr">
        <is>
          <t>-</t>
        </is>
      </c>
      <c r="M178" s="14" t="inlineStr">
        <is>
          <t>-</t>
        </is>
      </c>
      <c r="N178" s="21" t="inlineStr">
        <is>
          <t>NEW</t>
        </is>
      </c>
      <c r="O178" s="14" t="inlineStr">
        <is>
          <t>غير متوافقة</t>
        </is>
      </c>
      <c r="P178" s="22">
        <f>HYPERLINK("https://kuwaitalyawm.media.gov.kw/Online/ViewAdsHTML?id=168778&amp;no=1", "عرض المصدر")</f>
        <v/>
      </c>
    </row>
    <row r="179">
      <c r="A179" s="11" t="inlineStr">
        <is>
          <t>RFQ 2161955</t>
        </is>
      </c>
      <c r="B179" s="11" t="inlineStr">
        <is>
          <t>شركة البترول الوطنية الكويتية</t>
        </is>
      </c>
      <c r="C179" s="11" t="inlineStr">
        <is>
          <t>Abrar Al-Qallaf</t>
        </is>
      </c>
      <c r="D179" s="11" t="inlineStr">
        <is>
          <t>ممارسة رقم RFQ 2161955: توريد مواد ومهمات تشغيلية لزوم شركة البترول الوطنية الكويتية - شركة البترول الوطنية الكويتية</t>
        </is>
      </c>
      <c r="E179" s="11" t="inlineStr">
        <is>
          <t>أعمال وتوريدات تخصصية لزوم شركة البترول الوطنية الكويتية حسب وثائق الممارسة رقم RFQ 2161955 عبر منصة K-Tendering.</t>
        </is>
      </c>
      <c r="F179" s="11" t="inlineStr">
        <is>
          <t>وفقاً لشروط وإجراءات المناقصات والتوريد لدى شركة البترول الوطنية الكويتية (KNPC) عبر منصة K-Tendering.</t>
        </is>
      </c>
      <c r="G179" s="12" t="inlineStr">
        <is>
          <t>عام</t>
        </is>
      </c>
      <c r="H179" s="12" t="inlineStr">
        <is>
          <t>15.0%</t>
        </is>
      </c>
      <c r="I179" s="12" t="inlineStr">
        <is>
          <t>oil_and_gas</t>
        </is>
      </c>
      <c r="J179" s="12" t="inlineStr">
        <is>
          <t>2026-08-30</t>
        </is>
      </c>
      <c r="K179" s="12" t="inlineStr">
        <is>
          <t>-</t>
        </is>
      </c>
      <c r="L179" s="12" t="inlineStr">
        <is>
          <t>-</t>
        </is>
      </c>
      <c r="M179" s="12" t="inlineStr">
        <is>
          <t>-</t>
        </is>
      </c>
      <c r="N179" s="21" t="inlineStr">
        <is>
          <t>NEW</t>
        </is>
      </c>
      <c r="O179" s="12" t="inlineStr">
        <is>
          <t>غير متوافقة</t>
        </is>
      </c>
      <c r="P179" s="23">
        <f>HYPERLINK("https://kuwaitalyawm.media.gov.kw/Online/ViewAdsHTML?id=168779&amp;no=1", "عرض المصدر")</f>
        <v/>
      </c>
    </row>
    <row r="180">
      <c r="A180" s="13" t="inlineStr">
        <is>
          <t>RFQ 2151259</t>
        </is>
      </c>
      <c r="B180" s="13" t="inlineStr">
        <is>
          <t>شركة البترول الوطنية الكويتية</t>
        </is>
      </c>
      <c r="C180" s="13" t="inlineStr">
        <is>
          <t>Abrar Al-Qallaf</t>
        </is>
      </c>
      <c r="D180" s="13" t="inlineStr">
        <is>
          <t>ممارسة رقم RFQ 2151259: PALEOZOIC HPHT ONSHORE EXPLORATORY WELLS - شركة البترول الوطنية الكويتية</t>
        </is>
      </c>
      <c r="E180" s="13" t="inlineStr">
        <is>
          <t>أعمال وتوريدات تخصصية لزوم شركة البترول الوطنية الكويتية حسب وثائق الممارسة رقم RFQ 2151259 عبر منصة K-Tendering.</t>
        </is>
      </c>
      <c r="F180" s="13" t="inlineStr">
        <is>
          <t>وفقاً لشروط وإجراءات المناقصات والتوريد لدى شركة البترول الوطنية الكويتية (KNPC) عبر منصة K-Tendering.</t>
        </is>
      </c>
      <c r="G180" s="14" t="inlineStr">
        <is>
          <t>عام</t>
        </is>
      </c>
      <c r="H180" s="14" t="inlineStr">
        <is>
          <t>15.0%</t>
        </is>
      </c>
      <c r="I180" s="14" t="inlineStr">
        <is>
          <t>oil_and_gas</t>
        </is>
      </c>
      <c r="J180" s="14" t="inlineStr">
        <is>
          <t>2026-08-30</t>
        </is>
      </c>
      <c r="K180" s="14" t="inlineStr">
        <is>
          <t>-</t>
        </is>
      </c>
      <c r="L180" s="14" t="inlineStr">
        <is>
          <t>-</t>
        </is>
      </c>
      <c r="M180" s="14" t="inlineStr">
        <is>
          <t>-</t>
        </is>
      </c>
      <c r="N180" s="21" t="inlineStr">
        <is>
          <t>NEW</t>
        </is>
      </c>
      <c r="O180" s="14" t="inlineStr">
        <is>
          <t>غير متوافقة</t>
        </is>
      </c>
      <c r="P180" s="22">
        <f>HYPERLINK("https://kuwaitalyawm.media.gov.kw/Online/ViewAdsHTML?id=168780&amp;no=1", "عرض المصدر")</f>
        <v/>
      </c>
    </row>
    <row r="181">
      <c r="A181" s="11" t="inlineStr">
        <is>
          <t>RFQ 2160432</t>
        </is>
      </c>
      <c r="B181" s="11" t="inlineStr">
        <is>
          <t>شركة البترول الوطنية الكويتية</t>
        </is>
      </c>
      <c r="C181" s="11" t="inlineStr">
        <is>
          <t>Abrar Al-Qallaf</t>
        </is>
      </c>
      <c r="D181" s="11" t="inlineStr">
        <is>
          <t>ممارسة رقم RFQ 2160432: 2160432 - شركة البترول الوطنية الكويتية</t>
        </is>
      </c>
      <c r="E181" s="11" t="inlineStr">
        <is>
          <t>أعمال وتوريدات تخصصية لزوم شركة البترول الوطنية الكويتية حسب وثائق الممارسة رقم RFQ 2160432 عبر منصة K-Tendering.</t>
        </is>
      </c>
      <c r="F181" s="11" t="inlineStr">
        <is>
          <t>وفقاً لشروط وإجراءات المناقصات والتوريد لدى شركة البترول الوطنية الكويتية (KNPC) عبر منصة K-Tendering.</t>
        </is>
      </c>
      <c r="G181" s="12" t="inlineStr">
        <is>
          <t>عام</t>
        </is>
      </c>
      <c r="H181" s="12" t="inlineStr">
        <is>
          <t>15.0%</t>
        </is>
      </c>
      <c r="I181" s="12" t="inlineStr">
        <is>
          <t>oil_and_gas</t>
        </is>
      </c>
      <c r="J181" s="12" t="inlineStr">
        <is>
          <t>2026-08-30</t>
        </is>
      </c>
      <c r="K181" s="12" t="inlineStr">
        <is>
          <t>-</t>
        </is>
      </c>
      <c r="L181" s="12" t="inlineStr">
        <is>
          <t>-</t>
        </is>
      </c>
      <c r="M181" s="12" t="inlineStr">
        <is>
          <t>-</t>
        </is>
      </c>
      <c r="N181" s="21" t="inlineStr">
        <is>
          <t>NEW</t>
        </is>
      </c>
      <c r="O181" s="12" t="inlineStr">
        <is>
          <t>غير متوافقة</t>
        </is>
      </c>
      <c r="P181" s="23">
        <f>HYPERLINK("https://kuwaitalyawm.media.gov.kw/Online/ViewAdsHTML?id=168781&amp;no=1", "عرض المصدر")</f>
        <v/>
      </c>
    </row>
    <row r="182">
      <c r="A182" s="13" t="inlineStr">
        <is>
          <t>RFQ 2164511</t>
        </is>
      </c>
      <c r="B182" s="13" t="inlineStr">
        <is>
          <t>شركة البترول الوطنية الكويتية</t>
        </is>
      </c>
      <c r="C182" s="13" t="inlineStr">
        <is>
          <t>Abrar Al-Qallaf</t>
        </is>
      </c>
      <c r="D182" s="13" t="inlineStr">
        <is>
          <t>ممارسة رقم RFQ 2164511: توريد مواد ومهمات تشغيلية لزوم شركة البترول الوطنية الكويتية - شركة البترول الوطنية الكويتية</t>
        </is>
      </c>
      <c r="E182" s="13" t="inlineStr">
        <is>
          <t>أعمال وتوريدات تخصصية لزوم شركة البترول الوطنية الكويتية حسب وثائق الممارسة رقم RFQ 2164511 عبر منصة K-Tendering.</t>
        </is>
      </c>
      <c r="F182" s="13" t="inlineStr">
        <is>
          <t>وفقاً لشروط وإجراءات المناقصات والتوريد لدى شركة البترول الوطنية الكويتية (KNPC) عبر منصة K-Tendering.</t>
        </is>
      </c>
      <c r="G182" s="14" t="inlineStr">
        <is>
          <t>عام</t>
        </is>
      </c>
      <c r="H182" s="14" t="inlineStr">
        <is>
          <t>15.0%</t>
        </is>
      </c>
      <c r="I182" s="14" t="inlineStr">
        <is>
          <t>oil_and_gas</t>
        </is>
      </c>
      <c r="J182" s="14" t="inlineStr">
        <is>
          <t>2026-08-30</t>
        </is>
      </c>
      <c r="K182" s="14" t="inlineStr">
        <is>
          <t>2026-12-07</t>
        </is>
      </c>
      <c r="L182" s="14" t="inlineStr">
        <is>
          <t>5000.0</t>
        </is>
      </c>
      <c r="M182" s="14" t="inlineStr">
        <is>
          <t>-</t>
        </is>
      </c>
      <c r="N182" s="21" t="inlineStr">
        <is>
          <t>NEW</t>
        </is>
      </c>
      <c r="O182" s="14" t="inlineStr">
        <is>
          <t>غير متوافقة</t>
        </is>
      </c>
      <c r="P182" s="22">
        <f>HYPERLINK("https://kuwaitalyawm.media.gov.kw/Online/ViewAdsHTML?id=168784&amp;no=1", "عرض المصدر")</f>
        <v/>
      </c>
    </row>
    <row r="183">
      <c r="A183" s="11" t="inlineStr">
        <is>
          <t>RFQ 2166316</t>
        </is>
      </c>
      <c r="B183" s="11" t="inlineStr">
        <is>
          <t>شركة البترول الوطنية الكويتية</t>
        </is>
      </c>
      <c r="C183" s="11" t="inlineStr">
        <is>
          <t>Abrar Al-Qallaf</t>
        </is>
      </c>
      <c r="D183" s="11" t="inlineStr">
        <is>
          <t>ممارسة رقم RFQ 2166316: توريد مواد ومهمات تشغيلية لزوم شركة البترول الوطنية الكويتية - شركة البترول الوطنية الكويتية</t>
        </is>
      </c>
      <c r="E183" s="11" t="inlineStr">
        <is>
          <t>أعمال وتوريدات تخصصية لزوم شركة البترول الوطنية الكويتية حسب وثائق الممارسة رقم RFQ 2166316 عبر منصة K-Tendering.</t>
        </is>
      </c>
      <c r="F183" s="11" t="inlineStr">
        <is>
          <t>وفقاً لشروط وإجراءات المناقصات والتوريد لدى شركة البترول الوطنية الكويتية (KNPC) عبر منصة K-Tendering.</t>
        </is>
      </c>
      <c r="G183" s="12" t="inlineStr">
        <is>
          <t>عام</t>
        </is>
      </c>
      <c r="H183" s="12" t="inlineStr">
        <is>
          <t>15.0%</t>
        </is>
      </c>
      <c r="I183" s="12" t="inlineStr">
        <is>
          <t>oil_and_gas</t>
        </is>
      </c>
      <c r="J183" s="12" t="inlineStr">
        <is>
          <t>2026-08-30</t>
        </is>
      </c>
      <c r="K183" s="12" t="inlineStr">
        <is>
          <t>2026-11-30</t>
        </is>
      </c>
      <c r="L183" s="12" t="inlineStr">
        <is>
          <t>150000.0</t>
        </is>
      </c>
      <c r="M183" s="12" t="inlineStr">
        <is>
          <t>-</t>
        </is>
      </c>
      <c r="N183" s="21" t="inlineStr">
        <is>
          <t>NEW</t>
        </is>
      </c>
      <c r="O183" s="12" t="inlineStr">
        <is>
          <t>غير متوافقة</t>
        </is>
      </c>
      <c r="P183" s="23">
        <f>HYPERLINK("https://kuwaitalyawm.media.gov.kw/Online/ViewAdsHTML?id=168785&amp;no=1", "عرض المصدر")</f>
        <v/>
      </c>
    </row>
    <row r="184">
      <c r="A184" s="13" t="inlineStr">
        <is>
          <t>RFP 2162824</t>
        </is>
      </c>
      <c r="B184" s="13" t="inlineStr">
        <is>
          <t>شركة البترول الوطنية الكويتية</t>
        </is>
      </c>
      <c r="C184" s="13" t="inlineStr">
        <is>
          <t>Abrar Al-Qallaf</t>
        </is>
      </c>
      <c r="D184" s="13" t="inlineStr">
        <is>
          <t>ممارسة رقم RFP 2162824: توريد مواد ومهمات تشغيلية لزوم شركة البترول الوطنية الكويتية - شركة البترول الوطنية الكويتية</t>
        </is>
      </c>
      <c r="E184" s="13" t="inlineStr">
        <is>
          <t>أعمال وتوريدات تخصصية لزوم شركة البترول الوطنية الكويتية حسب وثائق الممارسة رقم RFP 2162824 عبر منصة K-Tendering.</t>
        </is>
      </c>
      <c r="F184" s="13" t="inlineStr">
        <is>
          <t>وفقاً لشروط وإجراءات المناقصات والتوريد لدى شركة البترول الوطنية الكويتية (KNPC) عبر منصة K-Tendering.</t>
        </is>
      </c>
      <c r="G184" s="14" t="inlineStr">
        <is>
          <t>عام</t>
        </is>
      </c>
      <c r="H184" s="14" t="inlineStr">
        <is>
          <t>15.0%</t>
        </is>
      </c>
      <c r="I184" s="14" t="inlineStr">
        <is>
          <t>oil_and_gas</t>
        </is>
      </c>
      <c r="J184" s="14" t="inlineStr">
        <is>
          <t>2026-08-30</t>
        </is>
      </c>
      <c r="K184" s="14" t="inlineStr">
        <is>
          <t>2026-11-30</t>
        </is>
      </c>
      <c r="L184" s="14" t="inlineStr">
        <is>
          <t>50000.0</t>
        </is>
      </c>
      <c r="M184" s="14" t="inlineStr">
        <is>
          <t>-</t>
        </is>
      </c>
      <c r="N184" s="21" t="inlineStr">
        <is>
          <t>NEW</t>
        </is>
      </c>
      <c r="O184" s="14" t="inlineStr">
        <is>
          <t>غير متوافقة</t>
        </is>
      </c>
      <c r="P184" s="22">
        <f>HYPERLINK("https://kuwaitalyawm.media.gov.kw/Online/ViewAdsHTML?id=168786&amp;no=1", "عرض المصدر")</f>
        <v/>
      </c>
    </row>
    <row r="185">
      <c r="A185" s="11" t="inlineStr">
        <is>
          <t>CB CPC 2562</t>
        </is>
      </c>
      <c r="B185" s="11" t="inlineStr">
        <is>
          <t>شركة البترول الوطنية الكويتية</t>
        </is>
      </c>
      <c r="C185" s="11" t="inlineStr">
        <is>
          <t>Abrar Al-Qallaf</t>
        </is>
      </c>
      <c r="D185" s="11" t="inlineStr">
        <is>
          <t>ممارسة رقم CB CPC 2562: Filter - شركة البترول الوطنية الكويتية</t>
        </is>
      </c>
      <c r="E185" s="11" t="inlineStr">
        <is>
          <t>أعمال وتوريدات تخصصية لزوم شركة البترول الوطنية الكويتية حسب وثائق الممارسة رقم CB CPC 2562 عبر منصة K-Tendering.</t>
        </is>
      </c>
      <c r="F185" s="11" t="inlineStr">
        <is>
          <t>وفقاً لشروط وإجراءات المناقصات والتوريد لدى شركة البترول الوطنية الكويتية (KNPC) عبر منصة K-Tendering.</t>
        </is>
      </c>
      <c r="G185" s="12" t="inlineStr">
        <is>
          <t>عام</t>
        </is>
      </c>
      <c r="H185" s="12" t="inlineStr">
        <is>
          <t>15.0%</t>
        </is>
      </c>
      <c r="I185" s="12" t="inlineStr">
        <is>
          <t>oil_and_gas</t>
        </is>
      </c>
      <c r="J185" s="12" t="inlineStr">
        <is>
          <t>2026-08-23</t>
        </is>
      </c>
      <c r="K185" s="12" t="inlineStr">
        <is>
          <t>2026-11-26</t>
        </is>
      </c>
      <c r="L185" s="12" t="inlineStr">
        <is>
          <t>5000.0</t>
        </is>
      </c>
      <c r="M185" s="12" t="inlineStr">
        <is>
          <t>150.0</t>
        </is>
      </c>
      <c r="N185" s="21" t="inlineStr">
        <is>
          <t>NEW</t>
        </is>
      </c>
      <c r="O185" s="12" t="inlineStr">
        <is>
          <t>غير متوافقة</t>
        </is>
      </c>
      <c r="P185" s="23">
        <f>HYPERLINK("https://kuwaitalyawm.media.gov.kw/Online/ViewAdsHTML?id=167906&amp;no=1", "عرض المصدر")</f>
        <v/>
      </c>
    </row>
    <row r="186">
      <c r="A186" s="13" t="inlineStr">
        <is>
          <t>RFQ 1063574</t>
        </is>
      </c>
      <c r="B186" s="13" t="inlineStr">
        <is>
          <t>شركة البترول الوطنية الكويتية</t>
        </is>
      </c>
      <c r="C186" s="13" t="inlineStr">
        <is>
          <t>Abrar Al-Qallaf</t>
        </is>
      </c>
      <c r="D186" s="13" t="inlineStr">
        <is>
          <t>ممارسة رقم RFQ 1063574: توريد مواد ومهمات تشغيلية لزوم شركة البترول الوطنية الكويتية - شركة البترول الوطنية الكويتية</t>
        </is>
      </c>
      <c r="E186" s="13" t="inlineStr">
        <is>
          <t>أعمال وتوريدات تخصصية لزوم شركة البترول الوطنية الكويتية حسب وثائق الممارسة رقم RFQ 1063574 عبر منصة K-Tendering.</t>
        </is>
      </c>
      <c r="F186" s="13" t="inlineStr">
        <is>
          <t>وفقاً لشروط وإجراءات المناقصات والتوريد لدى شركة البترول الوطنية الكويتية (KNPC) عبر منصة K-Tendering.</t>
        </is>
      </c>
      <c r="G186" s="14" t="inlineStr">
        <is>
          <t>عام</t>
        </is>
      </c>
      <c r="H186" s="14" t="inlineStr">
        <is>
          <t>15.0%</t>
        </is>
      </c>
      <c r="I186" s="14" t="inlineStr">
        <is>
          <t>oil_and_gas</t>
        </is>
      </c>
      <c r="J186" s="14" t="inlineStr">
        <is>
          <t>2026-08-23</t>
        </is>
      </c>
      <c r="K186" s="14" t="inlineStr">
        <is>
          <t>2026-12-03</t>
        </is>
      </c>
      <c r="L186" s="14" t="inlineStr">
        <is>
          <t>1000.0</t>
        </is>
      </c>
      <c r="M186" s="14" t="inlineStr">
        <is>
          <t>-</t>
        </is>
      </c>
      <c r="N186" s="21" t="inlineStr">
        <is>
          <t>NEW</t>
        </is>
      </c>
      <c r="O186" s="14" t="inlineStr">
        <is>
          <t>غير متوافقة</t>
        </is>
      </c>
      <c r="P186" s="22">
        <f>HYPERLINK("https://kuwaitalyawm.media.gov.kw/Online/ViewAdsHTML?id=167907&amp;no=1", "عرض المصدر")</f>
        <v/>
      </c>
    </row>
    <row r="187">
      <c r="A187" s="11" t="inlineStr">
        <is>
          <t>1000</t>
        </is>
      </c>
      <c r="B187" s="11" t="inlineStr">
        <is>
          <t>شركة البترول الوطنية الكويتية</t>
        </is>
      </c>
      <c r="C187" s="11" t="inlineStr">
        <is>
          <t>Abrar Al-Qallaf</t>
        </is>
      </c>
      <c r="D187" s="11" t="inlineStr">
        <is>
          <t>ممارسة رقم 1000: توريد مواد ومهمات تشغيلية لزوم شركة البترول الوطنية الكويتية - شركة البترول الوطنية الكويتية</t>
        </is>
      </c>
      <c r="E187" s="11" t="inlineStr">
        <is>
          <t>أعمال وتوريدات تخصصية لزوم شركة البترول الوطنية الكويتية حسب وثائق الممارسة رقم 1000 عبر منصة K-Tendering.</t>
        </is>
      </c>
      <c r="F187" s="11" t="inlineStr">
        <is>
          <t>وفقاً لشروط وإجراءات المناقصات والتوريد لدى شركة البترول الوطنية الكويتية (KNPC) عبر منصة K-Tendering.</t>
        </is>
      </c>
      <c r="G187" s="12" t="inlineStr">
        <is>
          <t>عام</t>
        </is>
      </c>
      <c r="H187" s="12" t="inlineStr">
        <is>
          <t>15.0%</t>
        </is>
      </c>
      <c r="I187" s="12" t="inlineStr">
        <is>
          <t>oil_and_gas</t>
        </is>
      </c>
      <c r="J187" s="12" t="inlineStr">
        <is>
          <t>2026-08-23</t>
        </is>
      </c>
      <c r="K187" s="12" t="inlineStr">
        <is>
          <t>-</t>
        </is>
      </c>
      <c r="L187" s="12" t="inlineStr">
        <is>
          <t>-</t>
        </is>
      </c>
      <c r="M187" s="12" t="inlineStr">
        <is>
          <t>-</t>
        </is>
      </c>
      <c r="N187" s="21" t="inlineStr">
        <is>
          <t>NEW</t>
        </is>
      </c>
      <c r="O187" s="12" t="inlineStr">
        <is>
          <t>غير متوافقة</t>
        </is>
      </c>
      <c r="P187" s="23">
        <f>HYPERLINK("https://kuwaitalyawm.media.gov.kw/Online/ViewAdsHTML?id=167908&amp;no=1", "عرض المصدر")</f>
        <v/>
      </c>
    </row>
    <row r="188">
      <c r="A188" s="13" t="inlineStr">
        <is>
          <t>RFQ/2167075</t>
        </is>
      </c>
      <c r="B188" s="13" t="inlineStr">
        <is>
          <t>شركة البترول الوطنية الكويتية</t>
        </is>
      </c>
      <c r="C188" s="13" t="inlineStr">
        <is>
          <t>Abrar Al-Qallaf</t>
        </is>
      </c>
      <c r="D188" s="13" t="inlineStr">
        <is>
          <t>ممارسة رقم RFQ/2167075: توريد مواد ومهمات تشغيلية لزوم شركة البترول الوطنية الكويتية - شركة البترول الوطنية الكويتية</t>
        </is>
      </c>
      <c r="E188" s="13" t="inlineStr">
        <is>
          <t>أعمال وتوريدات تخصصية لزوم شركة البترول الوطنية الكويتية حسب وثائق الممارسة رقم RFQ/2167075 عبر منصة K-Tendering.</t>
        </is>
      </c>
      <c r="F188" s="13" t="inlineStr">
        <is>
          <t>وفقاً لشروط وإجراءات المناقصات والتوريد لدى شركة البترول الوطنية الكويتية (KNPC)</t>
        </is>
      </c>
      <c r="G188" s="14" t="inlineStr">
        <is>
          <t>عام</t>
        </is>
      </c>
      <c r="H188" s="14" t="inlineStr">
        <is>
          <t>15.0%</t>
        </is>
      </c>
      <c r="I188" s="14" t="inlineStr">
        <is>
          <t>oil_and_gas</t>
        </is>
      </c>
      <c r="J188" s="14" t="inlineStr">
        <is>
          <t>2026-09-27</t>
        </is>
      </c>
      <c r="K188" s="14" t="inlineStr">
        <is>
          <t>2026-11-02</t>
        </is>
      </c>
      <c r="L188" s="14" t="inlineStr">
        <is>
          <t>500000.0</t>
        </is>
      </c>
      <c r="M188" s="14" t="inlineStr">
        <is>
          <t>-</t>
        </is>
      </c>
      <c r="N188" s="21" t="inlineStr">
        <is>
          <t>NEW</t>
        </is>
      </c>
      <c r="O188" s="14" t="inlineStr">
        <is>
          <t>غير متوافقة</t>
        </is>
      </c>
      <c r="P188" s="22">
        <f>HYPERLINK("https://kuwaitalyawm.media.gov.kw/flip/index?id=5599&amp;no=228", "عرض المصدر")</f>
        <v/>
      </c>
    </row>
    <row r="189">
      <c r="A189" s="11" t="inlineStr">
        <is>
          <t>RFQ/1062690</t>
        </is>
      </c>
      <c r="B189" s="11" t="inlineStr">
        <is>
          <t>شركة البترول الوطنية الكويتية</t>
        </is>
      </c>
      <c r="C189" s="11" t="inlineStr">
        <is>
          <t>Abrar Al-Qallaf</t>
        </is>
      </c>
      <c r="D189" s="11" t="inlineStr">
        <is>
          <t>ممارسة رقم RFQ/1062690: توريد مواد ومهمات تشغيلية لزوم شركة البترول الوطنية الكويتية - شركة البترول الوطنية الكويتية</t>
        </is>
      </c>
      <c r="E189" s="11" t="inlineStr">
        <is>
          <t>أعمال وتوريدات تخصصية لزوم شركة البترول الوطنية الكويتية حسب وثائق الممارسة رقم RFQ/1062690 عبر منصة K-Tendering.</t>
        </is>
      </c>
      <c r="F189" s="11" t="inlineStr">
        <is>
          <t>وفقاً لشروط وإجراءات المناقصات والتوريد لدى شركة البترول الوطنية الكويتية (KNPC)</t>
        </is>
      </c>
      <c r="G189" s="12" t="inlineStr">
        <is>
          <t>عام</t>
        </is>
      </c>
      <c r="H189" s="12" t="inlineStr">
        <is>
          <t>15.0%</t>
        </is>
      </c>
      <c r="I189" s="12" t="inlineStr">
        <is>
          <t>oil_and_gas</t>
        </is>
      </c>
      <c r="J189" s="12" t="inlineStr">
        <is>
          <t>2026-09-27</t>
        </is>
      </c>
      <c r="K189" s="12" t="inlineStr">
        <is>
          <t>2026-10-22</t>
        </is>
      </c>
      <c r="L189" s="12" t="inlineStr">
        <is>
          <t>1000.0</t>
        </is>
      </c>
      <c r="M189" s="12" t="inlineStr">
        <is>
          <t>-</t>
        </is>
      </c>
      <c r="N189" s="21" t="inlineStr">
        <is>
          <t>NEW</t>
        </is>
      </c>
      <c r="O189" s="12" t="inlineStr">
        <is>
          <t>غير متوافقة</t>
        </is>
      </c>
      <c r="P189" s="23">
        <f>HYPERLINK("https://kuwaitalyawm.media.gov.kw/flip/index?id=5599&amp;no=223", "عرض المصدر")</f>
        <v/>
      </c>
    </row>
    <row r="190">
      <c r="A190" s="13" t="inlineStr">
        <is>
          <t>RFQ/1063968</t>
        </is>
      </c>
      <c r="B190" s="13" t="inlineStr">
        <is>
          <t>شركة البترول الوطنية الكويتية</t>
        </is>
      </c>
      <c r="C190" s="13" t="inlineStr">
        <is>
          <t>Abrar Al-Qallaf</t>
        </is>
      </c>
      <c r="D190" s="13" t="inlineStr">
        <is>
          <t>ممارسة رقم RFQ/1063968: توريد مواد ومهمات تشغيلية لزوم شركة البترول الوطنية الكويتية - شركة البترول الوطنية الكويتية</t>
        </is>
      </c>
      <c r="E190" s="13" t="inlineStr">
        <is>
          <t>أعمال وتوريدات تخصصية لزوم شركة البترول الوطنية الكويتية حسب وثائق الممارسة رقم RFQ/1063968 عبر منصة K-Tendering.</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2026-10-15</t>
        </is>
      </c>
      <c r="L190" s="14" t="inlineStr">
        <is>
          <t>1000.0</t>
        </is>
      </c>
      <c r="M190" s="14" t="inlineStr">
        <is>
          <t>-</t>
        </is>
      </c>
      <c r="N190" s="21" t="inlineStr">
        <is>
          <t>NEW</t>
        </is>
      </c>
      <c r="O190" s="14" t="inlineStr">
        <is>
          <t>غير متوافقة</t>
        </is>
      </c>
      <c r="P190" s="22">
        <f>HYPERLINK("https://kuwaitalyawm.media.gov.kw/flip/index?id=5599&amp;no=224", "عرض المصدر")</f>
        <v/>
      </c>
    </row>
    <row r="191">
      <c r="A191" s="11" t="inlineStr">
        <is>
          <t>RFQ/1063246</t>
        </is>
      </c>
      <c r="B191" s="11" t="inlineStr">
        <is>
          <t>شركة البترول الوطنية الكويتية</t>
        </is>
      </c>
      <c r="C191" s="11" t="inlineStr">
        <is>
          <t>Abrar Al-Qallaf</t>
        </is>
      </c>
      <c r="D191" s="11" t="inlineStr">
        <is>
          <t>ممارسة رقم RFQ/1063246: توريد مواد ومهمات تشغيلية لزوم شركة البترول الوطنية الكويتية - شركة البترول الوطنية الكويتية</t>
        </is>
      </c>
      <c r="E191" s="11" t="inlineStr">
        <is>
          <t>أعمال وتوريدات تخصصية لزوم شركة البترول الوطنية الكويتية حسب وثائق الممارسة رقم RFQ/1063246 عبر منصة K-Tendering.</t>
        </is>
      </c>
      <c r="F191" s="11" t="inlineStr">
        <is>
          <t>وفقاً لشروط وإجراءات المناقصات والتوريد لدى شركة البترول الوطنية الكويتية (KNPC)</t>
        </is>
      </c>
      <c r="G191" s="12" t="inlineStr">
        <is>
          <t>عام</t>
        </is>
      </c>
      <c r="H191" s="12" t="inlineStr">
        <is>
          <t>15.0%</t>
        </is>
      </c>
      <c r="I191" s="12" t="inlineStr">
        <is>
          <t>oil_and_gas</t>
        </is>
      </c>
      <c r="J191" s="12" t="inlineStr">
        <is>
          <t>2026-09-27</t>
        </is>
      </c>
      <c r="K191" s="12" t="inlineStr">
        <is>
          <t>2026-10-22</t>
        </is>
      </c>
      <c r="L191" s="12" t="inlineStr">
        <is>
          <t>1000.0</t>
        </is>
      </c>
      <c r="M191" s="12" t="inlineStr">
        <is>
          <t>-</t>
        </is>
      </c>
      <c r="N191" s="21" t="inlineStr">
        <is>
          <t>NEW</t>
        </is>
      </c>
      <c r="O191" s="12" t="inlineStr">
        <is>
          <t>غير متوافقة</t>
        </is>
      </c>
      <c r="P191" s="23">
        <f>HYPERLINK("https://kuwaitalyawm.media.gov.kw/flip/index?id=5599&amp;no=224", "عرض المصدر")</f>
        <v/>
      </c>
    </row>
    <row r="192">
      <c r="A192" s="13" t="inlineStr">
        <is>
          <t>RFQ/1063799</t>
        </is>
      </c>
      <c r="B192" s="13" t="inlineStr">
        <is>
          <t>شركة البترول الوطنية الكويتية</t>
        </is>
      </c>
      <c r="C192" s="13" t="inlineStr">
        <is>
          <t>Abrar Al-Qallaf</t>
        </is>
      </c>
      <c r="D192" s="13" t="inlineStr">
        <is>
          <t>ممارسة رقم RFQ/1063799: توريد مواد ومهمات تشغيلية لزوم شركة البترول الوطنية الكويتية - شركة البترول الوطنية الكويتية</t>
        </is>
      </c>
      <c r="E192" s="13" t="inlineStr">
        <is>
          <t>أعمال وتوريدات تخصصية لزوم شركة البترول الوطنية الكويتية حسب وثائق الممارسة رقم RFQ/1063799 عبر منصة K-Tendering.</t>
        </is>
      </c>
      <c r="F192" s="13" t="inlineStr">
        <is>
          <t>وفقاً لشروط وإجراءات المناقصات والتوريد لدى شركة البترول الوطنية الكويتية (KNPC)</t>
        </is>
      </c>
      <c r="G192" s="14" t="inlineStr">
        <is>
          <t>عام</t>
        </is>
      </c>
      <c r="H192" s="14" t="inlineStr">
        <is>
          <t>15.0%</t>
        </is>
      </c>
      <c r="I192" s="14" t="inlineStr">
        <is>
          <t>oil_and_gas</t>
        </is>
      </c>
      <c r="J192" s="14" t="inlineStr">
        <is>
          <t>2026-09-27</t>
        </is>
      </c>
      <c r="K192" s="14" t="inlineStr">
        <is>
          <t>2026-10-22</t>
        </is>
      </c>
      <c r="L192" s="14" t="inlineStr">
        <is>
          <t>1000.0</t>
        </is>
      </c>
      <c r="M192" s="14" t="inlineStr">
        <is>
          <t>-</t>
        </is>
      </c>
      <c r="N192" s="21" t="inlineStr">
        <is>
          <t>NEW</t>
        </is>
      </c>
      <c r="O192" s="14" t="inlineStr">
        <is>
          <t>غير متوافقة</t>
        </is>
      </c>
      <c r="P192" s="22">
        <f>HYPERLINK("https://kuwaitalyawm.media.gov.kw/flip/index?id=5599&amp;no=225", "عرض المصدر")</f>
        <v/>
      </c>
    </row>
    <row r="193">
      <c r="A193" s="11" t="inlineStr">
        <is>
          <t>RFQ/1061616</t>
        </is>
      </c>
      <c r="B193" s="11" t="inlineStr">
        <is>
          <t>شركة البترول الوطنية الكويتية</t>
        </is>
      </c>
      <c r="C193" s="11" t="inlineStr">
        <is>
          <t>Abrar Al-Qallaf</t>
        </is>
      </c>
      <c r="D193" s="11" t="inlineStr">
        <is>
          <t>ممارسة رقم RFQ/1061616: إعادة طرح توريد المواد المضافة للوقود (Stability Additive for 0.5% Sulfur IMO Bunker Fuel Oil - MAA) - شركة البترول الوطنية الكويتية</t>
        </is>
      </c>
      <c r="E193" s="11" t="inlineStr">
        <is>
          <t>توريد مواد مضافة كيميائية لتحسين ثبات منتج وقود السفن منخفض الكبريت 0.5% بمصفاة ميناء الأحمدي.</t>
        </is>
      </c>
      <c r="F193" s="11" t="inlineStr">
        <is>
          <t>وفقاً لشروط وإجراءات المناقصات والتوريد لدى شركة البترول الوطنية الكويتية (KNPC)</t>
        </is>
      </c>
      <c r="G193" s="12" t="inlineStr">
        <is>
          <t>عام</t>
        </is>
      </c>
      <c r="H193" s="12" t="inlineStr">
        <is>
          <t>15.0%</t>
        </is>
      </c>
      <c r="I193" s="12" t="inlineStr">
        <is>
          <t>oil_and_gas</t>
        </is>
      </c>
      <c r="J193" s="12" t="inlineStr">
        <is>
          <t>2026-09-27</t>
        </is>
      </c>
      <c r="K193" s="12" t="inlineStr">
        <is>
          <t>2026-10-15</t>
        </is>
      </c>
      <c r="L193" s="12" t="inlineStr">
        <is>
          <t>1000.0</t>
        </is>
      </c>
      <c r="M193" s="12" t="inlineStr">
        <is>
          <t>-</t>
        </is>
      </c>
      <c r="N193" s="21" t="inlineStr">
        <is>
          <t>NEW</t>
        </is>
      </c>
      <c r="O193" s="12" t="inlineStr">
        <is>
          <t>غير متوافقة</t>
        </is>
      </c>
      <c r="P193" s="23">
        <f>HYPERLINK("https://kuwaitalyawm.media.gov.kw/flip/index?id=5599&amp;no=225", "عرض المصدر")</f>
        <v/>
      </c>
    </row>
    <row r="194">
      <c r="A194" s="13" t="inlineStr">
        <is>
          <t>RFQ/1063414</t>
        </is>
      </c>
      <c r="B194" s="13" t="inlineStr">
        <is>
          <t>شركة البترول الوطنية الكويتية</t>
        </is>
      </c>
      <c r="C194" s="13" t="inlineStr">
        <is>
          <t>Abrar Al-Qallaf</t>
        </is>
      </c>
      <c r="D194" s="13" t="inlineStr">
        <is>
          <t>ممارسة رقم RFQ/1063414: توريد مستلزمات وتجهيزات ميكانيكية وتشغيلية - شركة البترول الوطنية الكويتية</t>
        </is>
      </c>
      <c r="E194" s="13" t="inlineStr">
        <is>
          <t>توريد معدات ومستلزمات تشغيلية وميكانيكية لعمليات المصافي بشركة البترول الوطنية الكويتية.</t>
        </is>
      </c>
      <c r="F194" s="13" t="inlineStr">
        <is>
          <t>وفقاً لشروط وإجراءات المناقصات والتوريد لدى شركة البترول الوطنية الكويتية (KNPC)</t>
        </is>
      </c>
      <c r="G194" s="14" t="inlineStr">
        <is>
          <t>عام</t>
        </is>
      </c>
      <c r="H194" s="14" t="inlineStr">
        <is>
          <t>15.0%</t>
        </is>
      </c>
      <c r="I194" s="14" t="inlineStr">
        <is>
          <t>oil_and_gas</t>
        </is>
      </c>
      <c r="J194" s="14" t="inlineStr">
        <is>
          <t>2026-09-27</t>
        </is>
      </c>
      <c r="K194" s="18" t="inlineStr">
        <is>
          <t>2026-10-08</t>
        </is>
      </c>
      <c r="L194" s="14" t="inlineStr">
        <is>
          <t>2500.0</t>
        </is>
      </c>
      <c r="M194" s="14" t="inlineStr">
        <is>
          <t>100.0</t>
        </is>
      </c>
      <c r="N194" s="21" t="inlineStr">
        <is>
          <t>NEW</t>
        </is>
      </c>
      <c r="O194" s="14" t="inlineStr">
        <is>
          <t>غير متوافقة</t>
        </is>
      </c>
      <c r="P194" s="22">
        <f>HYPERLINK("https://kuwaitalyawm.media.gov.kw/flip/index?id=5599&amp;no=226", "عرض المصدر")</f>
        <v/>
      </c>
    </row>
    <row r="195">
      <c r="A195" s="11" t="inlineStr">
        <is>
          <t>RFQ/2165292</t>
        </is>
      </c>
      <c r="B195" s="11" t="inlineStr">
        <is>
          <t>شركة البترول الوطنية الكويتية</t>
        </is>
      </c>
      <c r="C195" s="11" t="inlineStr">
        <is>
          <t>Abrar Al-Qallaf</t>
        </is>
      </c>
      <c r="D195" s="11" t="inlineStr">
        <is>
          <t>ممارسة رقم RFQ/2165292: توريد مواد ومهمات تشغيلية لزوم شركة البترول الوطنية الكويتية - شركة البترول الوطنية الكويتية</t>
        </is>
      </c>
      <c r="E195" s="11" t="inlineStr">
        <is>
          <t>أعمال وتوريدات تخصصية لزوم شركة البترول الوطنية الكويتية حسب وثائق الممارسة رقم RFQ/2165292 عبر منصة K-Tendering.</t>
        </is>
      </c>
      <c r="F195" s="11" t="inlineStr">
        <is>
          <t>وفقاً لشروط وإجراءات المناقصات والتوريد لدى شركة البترول الوطنية الكويتية (KNPC)</t>
        </is>
      </c>
      <c r="G195" s="12" t="inlineStr">
        <is>
          <t>عام</t>
        </is>
      </c>
      <c r="H195" s="12" t="inlineStr">
        <is>
          <t>15.0%</t>
        </is>
      </c>
      <c r="I195" s="12" t="inlineStr">
        <is>
          <t>oil_and_gas</t>
        </is>
      </c>
      <c r="J195" s="12" t="inlineStr">
        <is>
          <t>2026-09-27</t>
        </is>
      </c>
      <c r="K195" s="12" t="inlineStr">
        <is>
          <t>-</t>
        </is>
      </c>
      <c r="L195" s="12" t="inlineStr">
        <is>
          <t>-</t>
        </is>
      </c>
      <c r="M195" s="12" t="inlineStr">
        <is>
          <t>-</t>
        </is>
      </c>
      <c r="N195" s="26" t="inlineStr">
        <is>
          <t>UNCHANGED</t>
        </is>
      </c>
      <c r="O195" s="12" t="inlineStr">
        <is>
          <t>غير متوافقة</t>
        </is>
      </c>
      <c r="P195" s="23">
        <f>HYPERLINK("https://kuwaitalyawm.media.gov.kw/flip/index?id=5599&amp;no=227", "عرض المصدر")</f>
        <v/>
      </c>
    </row>
    <row r="196">
      <c r="A196" s="13" t="inlineStr">
        <is>
          <t>RFQ/2167957</t>
        </is>
      </c>
      <c r="B196" s="13" t="inlineStr">
        <is>
          <t>شركة البترول الوطنية الكويتية</t>
        </is>
      </c>
      <c r="C196" s="13" t="inlineStr">
        <is>
          <t>Abrar Al-Qallaf</t>
        </is>
      </c>
      <c r="D196" s="13" t="inlineStr">
        <is>
          <t>ممارسة رقم RFQ/2167957: توريد مواد ومهمات تشغيلية لزوم شركة البترول الوطنية الكويتية - شركة البترول الوطنية الكويتية</t>
        </is>
      </c>
      <c r="E196" s="13" t="inlineStr">
        <is>
          <t>أعمال وتوريدات تخصصية لزوم شركة البترول الوطنية الكويتية حسب وثائق الممارسة رقم RFQ/2167957 عبر منصة K-Tendering.</t>
        </is>
      </c>
      <c r="F196" s="13" t="inlineStr">
        <is>
          <t>وفقاً لشروط وإجراءات المناقصات والتوريد لدى شركة البترول الوطنية الكويتية (KNPC)</t>
        </is>
      </c>
      <c r="G196" s="14" t="inlineStr">
        <is>
          <t>عام</t>
        </is>
      </c>
      <c r="H196" s="14" t="inlineStr">
        <is>
          <t>15.0%</t>
        </is>
      </c>
      <c r="I196" s="14" t="inlineStr">
        <is>
          <t>oil_and_gas</t>
        </is>
      </c>
      <c r="J196" s="14" t="inlineStr">
        <is>
          <t>2026-09-27</t>
        </is>
      </c>
      <c r="K196" s="14" t="inlineStr">
        <is>
          <t>2026-11-02</t>
        </is>
      </c>
      <c r="L196" s="14" t="inlineStr">
        <is>
          <t>15000.0</t>
        </is>
      </c>
      <c r="M196" s="14" t="inlineStr">
        <is>
          <t>-</t>
        </is>
      </c>
      <c r="N196" s="26" t="inlineStr">
        <is>
          <t>UNCHANGED</t>
        </is>
      </c>
      <c r="O196" s="14" t="inlineStr">
        <is>
          <t>غير متوافقة</t>
        </is>
      </c>
      <c r="P196" s="22">
        <f>HYPERLINK("https://kuwaitalyawm.media.gov.kw/flip/index?id=5599&amp;no=227", "عرض المصدر")</f>
        <v/>
      </c>
    </row>
    <row r="197">
      <c r="A197" s="11" t="inlineStr">
        <is>
          <t>RFP/2159728</t>
        </is>
      </c>
      <c r="B197" s="11" t="inlineStr">
        <is>
          <t>شركة البترول الوطنية الكويتية</t>
        </is>
      </c>
      <c r="C197" s="11" t="inlineStr">
        <is>
          <t>Abrar Al-Qallaf</t>
        </is>
      </c>
      <c r="D197" s="11" t="inlineStr">
        <is>
          <t>ممارسة رقم RFP/2159728: توريد مواد ومهمات تشغيلية لزوم شركة البترول الوطنية الكويتية - شركة البترول الوطنية الكويتية</t>
        </is>
      </c>
      <c r="E197" s="11" t="inlineStr">
        <is>
          <t>أعمال وتوريدات تخصصية لزوم شركة البترول الوطنية الكويتية حسب وثائق الممارسة رقم RFP/2159728 عبر منصة K-Tendering.</t>
        </is>
      </c>
      <c r="F197" s="11" t="inlineStr">
        <is>
          <t>وفقاً لشروط وإجراءات المناقصات والتوريد لدى شركة البترول الوطنية الكويتية (KNPC)</t>
        </is>
      </c>
      <c r="G197" s="12" t="inlineStr">
        <is>
          <t>عام</t>
        </is>
      </c>
      <c r="H197" s="12" t="inlineStr">
        <is>
          <t>15.0%</t>
        </is>
      </c>
      <c r="I197" s="12" t="inlineStr">
        <is>
          <t>oil_and_gas</t>
        </is>
      </c>
      <c r="J197" s="12" t="inlineStr">
        <is>
          <t>2026-09-27</t>
        </is>
      </c>
      <c r="K197" s="12" t="inlineStr">
        <is>
          <t>2026-10-26</t>
        </is>
      </c>
      <c r="L197" s="12" t="inlineStr">
        <is>
          <t>1000.0</t>
        </is>
      </c>
      <c r="M197" s="12" t="inlineStr">
        <is>
          <t>75.0</t>
        </is>
      </c>
      <c r="N197" s="26" t="inlineStr">
        <is>
          <t>UNCHANGED</t>
        </is>
      </c>
      <c r="O197" s="12" t="inlineStr">
        <is>
          <t>غير متوافقة</t>
        </is>
      </c>
      <c r="P197" s="23">
        <f>HYPERLINK("https://kuwaitalyawm.media.gov.kw/flip/index?id=5599&amp;no=238", "عرض المصدر")</f>
        <v/>
      </c>
    </row>
    <row r="198">
      <c r="A198" s="13" t="inlineStr">
        <is>
          <t>RFQ/2162141</t>
        </is>
      </c>
      <c r="B198" s="13" t="inlineStr">
        <is>
          <t>شركة البترول الوطنية الكويتية</t>
        </is>
      </c>
      <c r="C198" s="13" t="inlineStr">
        <is>
          <t>Abrar Al-Qallaf</t>
        </is>
      </c>
      <c r="D198" s="13" t="inlineStr">
        <is>
          <t>ممارسة رقم RFQ/2162141: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RFQ/2162141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t>
        </is>
      </c>
      <c r="L198" s="14" t="inlineStr">
        <is>
          <t>-</t>
        </is>
      </c>
      <c r="M198" s="14" t="inlineStr">
        <is>
          <t>-</t>
        </is>
      </c>
      <c r="N198" s="21" t="inlineStr">
        <is>
          <t>NEW</t>
        </is>
      </c>
      <c r="O198" s="14" t="inlineStr">
        <is>
          <t>غير متوافقة</t>
        </is>
      </c>
      <c r="P198" s="22">
        <f>HYPERLINK("https://kuwaitalyawm.media.gov.kw/flip/index?id=5599&amp;no=232", "عرض المصدر")</f>
        <v/>
      </c>
    </row>
    <row r="199">
      <c r="A199" s="11" t="inlineStr">
        <is>
          <t>RFQ/2162882</t>
        </is>
      </c>
      <c r="B199" s="11" t="inlineStr">
        <is>
          <t>شركة البترول الوطنية الكويتية</t>
        </is>
      </c>
      <c r="C199" s="11" t="inlineStr">
        <is>
          <t>Abrar Al-Qallaf</t>
        </is>
      </c>
      <c r="D199" s="11" t="inlineStr">
        <is>
          <t>ممارسة رقم RFQ/2162882: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RFQ/2162882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2026-08-30</t>
        </is>
      </c>
      <c r="K199" s="12" t="inlineStr">
        <is>
          <t>-</t>
        </is>
      </c>
      <c r="L199" s="12" t="inlineStr">
        <is>
          <t>-</t>
        </is>
      </c>
      <c r="M199" s="12" t="inlineStr">
        <is>
          <t>-</t>
        </is>
      </c>
      <c r="N199" s="21" t="inlineStr">
        <is>
          <t>NEW</t>
        </is>
      </c>
      <c r="O199" s="12" t="inlineStr">
        <is>
          <t>غير متوافقة</t>
        </is>
      </c>
      <c r="P199" s="23">
        <f>HYPERLINK("https://kuwaitalyawm.media.gov.kw/flip/index?id=5599&amp;no=232", "عرض المصدر")</f>
        <v/>
      </c>
    </row>
    <row r="200">
      <c r="A200" s="13" t="inlineStr">
        <is>
          <t>RFQ/2164961</t>
        </is>
      </c>
      <c r="B200" s="13" t="inlineStr">
        <is>
          <t>شركة البترول الوطنية الكويتية</t>
        </is>
      </c>
      <c r="C200" s="13" t="inlineStr">
        <is>
          <t>Abrar Al-Qallaf</t>
        </is>
      </c>
      <c r="D200" s="13" t="inlineStr">
        <is>
          <t>ممارسة رقم RFQ/2164961: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RFQ/2164961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2026-09-27</t>
        </is>
      </c>
      <c r="L200" s="14" t="inlineStr">
        <is>
          <t>15000.0</t>
        </is>
      </c>
      <c r="M200" s="14" t="inlineStr">
        <is>
          <t>-</t>
        </is>
      </c>
      <c r="N200" s="21" t="inlineStr">
        <is>
          <t>NEW</t>
        </is>
      </c>
      <c r="O200" s="14" t="inlineStr">
        <is>
          <t>غير متوافقة</t>
        </is>
      </c>
      <c r="P200" s="22">
        <f>HYPERLINK("https://kuwaitalyawm.media.gov.kw/flip/index?id=5599&amp;no=232", "عرض المصدر")</f>
        <v/>
      </c>
    </row>
    <row r="201">
      <c r="A201" s="11" t="inlineStr">
        <is>
          <t>RFQ/2167837</t>
        </is>
      </c>
      <c r="B201" s="11" t="inlineStr">
        <is>
          <t>شركة البترول الوطنية الكويتية</t>
        </is>
      </c>
      <c r="C201" s="11" t="inlineStr">
        <is>
          <t>Abrar Al-Qallaf</t>
        </is>
      </c>
      <c r="D201" s="11" t="inlineStr">
        <is>
          <t>ممارسة رقم RFQ/2167837: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RFQ/2167837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2026-09-27</t>
        </is>
      </c>
      <c r="L201" s="12" t="inlineStr">
        <is>
          <t>15000.0</t>
        </is>
      </c>
      <c r="M201" s="12" t="inlineStr">
        <is>
          <t>-</t>
        </is>
      </c>
      <c r="N201" s="21" t="inlineStr">
        <is>
          <t>NEW</t>
        </is>
      </c>
      <c r="O201" s="12" t="inlineStr">
        <is>
          <t>غير متوافقة</t>
        </is>
      </c>
      <c r="P201" s="23">
        <f>HYPERLINK("https://kuwaitalyawm.media.gov.kw/flip/index?id=5599&amp;no=233", "عرض المصدر")</f>
        <v/>
      </c>
    </row>
    <row r="202">
      <c r="A202" s="13" t="inlineStr">
        <is>
          <t>RFP/2158821</t>
        </is>
      </c>
      <c r="B202" s="13" t="inlineStr">
        <is>
          <t>شركة البترول الوطنية الكويتية</t>
        </is>
      </c>
      <c r="C202" s="13" t="inlineStr">
        <is>
          <t>Abrar Al-Qallaf</t>
        </is>
      </c>
      <c r="D202" s="13" t="inlineStr">
        <is>
          <t>ممارسة رقم RFP/2158821: توريد مواد ومهمات تشغيلية لزوم شركة البترول الوطنية الكويتية - شركة البترول الوطنية الكويتية</t>
        </is>
      </c>
      <c r="E202" s="13" t="inlineStr">
        <is>
          <t>أعمال وتوريدات تخصصية لزوم شركة البترول الوطنية الكويتية حسب وثائق الممارسة رقم RFP/2158821 عبر منصة K-Tendering.</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t>
        </is>
      </c>
      <c r="L202" s="14" t="inlineStr">
        <is>
          <t>-</t>
        </is>
      </c>
      <c r="M202" s="14" t="inlineStr">
        <is>
          <t>-</t>
        </is>
      </c>
      <c r="N202" s="21" t="inlineStr">
        <is>
          <t>NEW</t>
        </is>
      </c>
      <c r="O202" s="14" t="inlineStr">
        <is>
          <t>غير متوافقة</t>
        </is>
      </c>
      <c r="P202" s="22">
        <f>HYPERLINK("https://kuwaitalyawm.media.gov.kw/flip/index?id=5599&amp;no=234", "عرض المصدر")</f>
        <v/>
      </c>
    </row>
    <row r="203">
      <c r="A203" s="11" t="inlineStr">
        <is>
          <t>RFP/2162144</t>
        </is>
      </c>
      <c r="B203" s="11" t="inlineStr">
        <is>
          <t>شركة البترول الوطنية الكويتية</t>
        </is>
      </c>
      <c r="C203" s="11" t="inlineStr">
        <is>
          <t>Abrar Al-Qallaf</t>
        </is>
      </c>
      <c r="D203" s="11" t="inlineStr">
        <is>
          <t>ممارسة رقم RFP/2162144: توريد مواد ومهمات تشغيلية لزوم شركة البترول الوطنية الكويتية - شركة البترول الوطنية الكويتية</t>
        </is>
      </c>
      <c r="E203" s="11" t="inlineStr">
        <is>
          <t>أعمال وتوريدات تخصصية لزوم شركة البترول الوطنية الكويتية حسب وثائق الممارسة رقم RFP/2162144 عبر منصة K-Tendering.</t>
        </is>
      </c>
      <c r="F203" s="11" t="inlineStr">
        <is>
          <t>وفقاً لشروط وإجراءات المناقصات والتوريد لدى شركة البترول الوطنية الكويتية (KNPC)</t>
        </is>
      </c>
      <c r="G203" s="12" t="inlineStr">
        <is>
          <t>عام</t>
        </is>
      </c>
      <c r="H203" s="12" t="inlineStr">
        <is>
          <t>15.0%</t>
        </is>
      </c>
      <c r="I203" s="12" t="inlineStr">
        <is>
          <t>oil_and_gas</t>
        </is>
      </c>
      <c r="J203" s="12" t="inlineStr">
        <is>
          <t>2026-09-27</t>
        </is>
      </c>
      <c r="K203" s="18" t="inlineStr">
        <is>
          <t>2026-10-12</t>
        </is>
      </c>
      <c r="L203" s="12" t="inlineStr">
        <is>
          <t>-</t>
        </is>
      </c>
      <c r="M203" s="12" t="inlineStr">
        <is>
          <t>-</t>
        </is>
      </c>
      <c r="N203" s="26" t="inlineStr">
        <is>
          <t>UNCHANGED</t>
        </is>
      </c>
      <c r="O203" s="12" t="inlineStr">
        <is>
          <t>غير متوافقة</t>
        </is>
      </c>
      <c r="P203" s="23">
        <f>HYPERLINK("https://kuwaitalyawm.media.gov.kw/flip/index?id=5599&amp;no=234", "عرض المصدر")</f>
        <v/>
      </c>
    </row>
    <row r="204">
      <c r="A204" s="13" t="inlineStr">
        <is>
          <t>RFP/2163368</t>
        </is>
      </c>
      <c r="B204" s="13" t="inlineStr">
        <is>
          <t>شركة البترول الوطنية الكويتية</t>
        </is>
      </c>
      <c r="C204" s="13" t="inlineStr">
        <is>
          <t>Abrar Al-Qallaf</t>
        </is>
      </c>
      <c r="D204" s="13" t="inlineStr">
        <is>
          <t>ممارسة رقم RFP/2163368: توريد مواد ومهمات تشغيلية لزوم شركة البترول الوطنية الكويتية - شركة البترول الوطنية الكويتية</t>
        </is>
      </c>
      <c r="E204" s="13" t="inlineStr">
        <is>
          <t>أعمال وتوريدات تخصصية لزوم شركة البترول الوطنية الكويتية حسب وثائق الممارسة رقم RFP/2163368 عبر منصة K-Tendering.</t>
        </is>
      </c>
      <c r="F204" s="13" t="inlineStr">
        <is>
          <t>وفقاً لشروط وإجراءات المناقصات والتوريد لدى شركة البترول الوطنية الكويتية (KNPC)</t>
        </is>
      </c>
      <c r="G204" s="14" t="inlineStr">
        <is>
          <t>عام</t>
        </is>
      </c>
      <c r="H204" s="14" t="inlineStr">
        <is>
          <t>15.0%</t>
        </is>
      </c>
      <c r="I204" s="14" t="inlineStr">
        <is>
          <t>oil_and_gas</t>
        </is>
      </c>
      <c r="J204" s="14" t="inlineStr">
        <is>
          <t>2026-09-27</t>
        </is>
      </c>
      <c r="K204" s="14" t="inlineStr">
        <is>
          <t>-</t>
        </is>
      </c>
      <c r="L204" s="14" t="inlineStr">
        <is>
          <t>30000.0</t>
        </is>
      </c>
      <c r="M204" s="14" t="inlineStr">
        <is>
          <t>-</t>
        </is>
      </c>
      <c r="N204" s="26" t="inlineStr">
        <is>
          <t>UNCHANGED</t>
        </is>
      </c>
      <c r="O204" s="14" t="inlineStr">
        <is>
          <t>غير متوافقة</t>
        </is>
      </c>
      <c r="P204" s="22">
        <f>HYPERLINK("https://kuwaitalyawm.media.gov.kw/flip/index?id=5589&amp;no=190", "عرض المصدر")</f>
        <v/>
      </c>
    </row>
    <row r="205">
      <c r="A205" s="11" t="inlineStr">
        <is>
          <t>RFP/2163398</t>
        </is>
      </c>
      <c r="B205" s="11" t="inlineStr">
        <is>
          <t>شركة البترول الوطنية الكويتية</t>
        </is>
      </c>
      <c r="C205" s="11" t="inlineStr">
        <is>
          <t>Abrar Al-Qallaf</t>
        </is>
      </c>
      <c r="D205" s="11" t="inlineStr">
        <is>
          <t>ممارسة رقم RFP/2163398: توريد مواد ومهمات تشغيلية لزوم شركة البترول الوطنية الكويتية - شركة البترول الوطنية الكويتية</t>
        </is>
      </c>
      <c r="E205" s="11" t="inlineStr">
        <is>
          <t>أعمال وتوريدات تخصصية لزوم شركة البترول الوطنية الكويتية حسب وثائق الممارسة رقم RFP/2163398 عبر منصة K-Tendering.</t>
        </is>
      </c>
      <c r="F205" s="11" t="inlineStr">
        <is>
          <t>وفقاً لشروط وإجراءات المناقصات والتوريد لدى شركة البترول الوطنية الكويتية (KNPC)</t>
        </is>
      </c>
      <c r="G205" s="12" t="inlineStr">
        <is>
          <t>عام</t>
        </is>
      </c>
      <c r="H205" s="12" t="inlineStr">
        <is>
          <t>15.0%</t>
        </is>
      </c>
      <c r="I205" s="12" t="inlineStr">
        <is>
          <t>oil_and_gas</t>
        </is>
      </c>
      <c r="J205" s="12" t="inlineStr">
        <is>
          <t>2026-09-27</t>
        </is>
      </c>
      <c r="K205" s="12" t="inlineStr">
        <is>
          <t>-</t>
        </is>
      </c>
      <c r="L205" s="12" t="inlineStr">
        <is>
          <t>50000.0</t>
        </is>
      </c>
      <c r="M205" s="12" t="inlineStr">
        <is>
          <t>-</t>
        </is>
      </c>
      <c r="N205" s="26" t="inlineStr">
        <is>
          <t>UNCHANGED</t>
        </is>
      </c>
      <c r="O205" s="12" t="inlineStr">
        <is>
          <t>غير متوافقة</t>
        </is>
      </c>
      <c r="P205" s="23">
        <f>HYPERLINK("https://kuwaitalyawm.media.gov.kw/flip/index?id=5599&amp;no=236", "عرض المصدر")</f>
        <v/>
      </c>
    </row>
    <row r="206">
      <c r="A206" s="13" t="inlineStr">
        <is>
          <t>RFP/2165997</t>
        </is>
      </c>
      <c r="B206" s="13" t="inlineStr">
        <is>
          <t>شركة البترول الوطنية الكويتية</t>
        </is>
      </c>
      <c r="C206" s="13" t="inlineStr">
        <is>
          <t>Abrar Al-Qallaf</t>
        </is>
      </c>
      <c r="D206" s="13" t="inlineStr">
        <is>
          <t>ممارسة رقم RFP/2165997: توريد مواد ومهمات تشغيلية لزوم شركة البترول الوطنية الكويتية - شركة البترول الوطنية الكويتية</t>
        </is>
      </c>
      <c r="E206" s="13" t="inlineStr">
        <is>
          <t>أعمال وتوريدات تخصصية لزوم شركة البترول الوطنية الكويتية حسب وثائق الممارسة رقم RFP/2165997 عبر منصة K-Tendering.</t>
        </is>
      </c>
      <c r="F206" s="13" t="inlineStr">
        <is>
          <t>وفقاً لشروط وإجراءات المناقصات والتوريد لدى شركة البترول الوطنية الكويتية (KNPC)</t>
        </is>
      </c>
      <c r="G206" s="14" t="inlineStr">
        <is>
          <t>عام</t>
        </is>
      </c>
      <c r="H206" s="14" t="inlineStr">
        <is>
          <t>15.0%</t>
        </is>
      </c>
      <c r="I206" s="14" t="inlineStr">
        <is>
          <t>oil_and_gas</t>
        </is>
      </c>
      <c r="J206" s="14" t="inlineStr">
        <is>
          <t>2026-09-27</t>
        </is>
      </c>
      <c r="K206" s="14" t="inlineStr">
        <is>
          <t>-</t>
        </is>
      </c>
      <c r="L206" s="14" t="inlineStr">
        <is>
          <t>-</t>
        </is>
      </c>
      <c r="M206" s="14" t="inlineStr">
        <is>
          <t>250.0</t>
        </is>
      </c>
      <c r="N206" s="26" t="inlineStr">
        <is>
          <t>UNCHANGED</t>
        </is>
      </c>
      <c r="O206" s="14" t="inlineStr">
        <is>
          <t>غير متوافقة</t>
        </is>
      </c>
      <c r="P206" s="22">
        <f>HYPERLINK("https://kuwaitalyawm.media.gov.kw/flip/index?id=5599&amp;no=238", "عرض المصدر")</f>
        <v/>
      </c>
    </row>
    <row r="207">
      <c r="A207" s="11" t="inlineStr">
        <is>
          <t>RFP-2162140</t>
        </is>
      </c>
      <c r="B207" s="11" t="inlineStr">
        <is>
          <t>شركة البترول الوطنية الكويتية</t>
        </is>
      </c>
      <c r="C207" s="11" t="inlineStr">
        <is>
          <t>Abrar Al-Qallaf</t>
        </is>
      </c>
      <c r="D207" s="11" t="inlineStr">
        <is>
          <t>ممارسة رقم RFP-2162140: توريد مواد ومهمات تشغيلية لزوم شركة البترول الوطنية الكويتية - شركة البترول الوطنية الكويتية</t>
        </is>
      </c>
      <c r="E207" s="11" t="inlineStr">
        <is>
          <t>أعمال وتوريدات تخصصية لزوم شركة البترول الوطنية الكويتية حسب وثائق الممارسة رقم RFP-2162140 عبر منصة K-Tendering.</t>
        </is>
      </c>
      <c r="F207" s="11" t="inlineStr">
        <is>
          <t>وفقاً لشروط وإجراءات المناقصات والتوريد لدى شركة البترول الوطنية الكويتية (KNPC) عبر منصة K-Tendering.</t>
        </is>
      </c>
      <c r="G207" s="12" t="inlineStr">
        <is>
          <t>عام</t>
        </is>
      </c>
      <c r="H207" s="12" t="inlineStr">
        <is>
          <t>15.0%</t>
        </is>
      </c>
      <c r="I207" s="12" t="inlineStr">
        <is>
          <t>oil_and_gas</t>
        </is>
      </c>
      <c r="J207" s="12" t="inlineStr">
        <is>
          <t>2026-09-27</t>
        </is>
      </c>
      <c r="K207" s="12" t="inlineStr">
        <is>
          <t>2026-12-22</t>
        </is>
      </c>
      <c r="L207" s="12" t="inlineStr">
        <is>
          <t>170000.000 KWD</t>
        </is>
      </c>
      <c r="M207" s="12" t="inlineStr">
        <is>
          <t>3500.000 KWD</t>
        </is>
      </c>
      <c r="N207" s="26" t="inlineStr">
        <is>
          <t>UNCHANGED</t>
        </is>
      </c>
      <c r="O207" s="12" t="inlineStr">
        <is>
          <t>غير متوافقة</t>
        </is>
      </c>
      <c r="P207" s="23">
        <f>HYPERLINK("https://capt.gov.kw/ar/tenders/opening-tenders/#card-5", "عرض المصدر")</f>
        <v/>
      </c>
    </row>
    <row r="208">
      <c r="A208" s="13" t="inlineStr">
        <is>
          <t>MNA-19-2026</t>
        </is>
      </c>
      <c r="B208" s="13" t="inlineStr">
        <is>
          <t>شركة صناعة الكيماويات البترولية</t>
        </is>
      </c>
      <c r="C208" s="13" t="inlineStr">
        <is>
          <t>Abrar Al-Qallaf</t>
        </is>
      </c>
      <c r="D208" s="13" t="inlineStr">
        <is>
          <t>مناقصة رقم MNA-19-2026: Network Maintenance and Managed Network Support Services (صيانة الشبكات والدعم المدار) - شركة صناعة الكيماويات البترولية</t>
        </is>
      </c>
      <c r="E208"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08"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208" s="24" t="inlineStr">
        <is>
          <t>قطاع العمليات المدارة والدعم الفني متعدد الموردين</t>
        </is>
      </c>
      <c r="H208" s="14" t="inlineStr">
        <is>
          <t>95.0%</t>
        </is>
      </c>
      <c r="I208" s="14" t="inlineStr">
        <is>
          <t>oil_and_gas</t>
        </is>
      </c>
      <c r="J208" s="14" t="inlineStr">
        <is>
          <t>2026-09-06</t>
        </is>
      </c>
      <c r="K208" s="18" t="inlineStr">
        <is>
          <t>2026-10-06</t>
        </is>
      </c>
      <c r="L208" s="14" t="inlineStr">
        <is>
          <t>15000.0</t>
        </is>
      </c>
      <c r="M208" s="14" t="inlineStr">
        <is>
          <t>-</t>
        </is>
      </c>
      <c r="N208" s="21" t="inlineStr">
        <is>
          <t>NEW</t>
        </is>
      </c>
      <c r="O208" s="14" t="inlineStr">
        <is>
          <t>موصى بالتقديم</t>
        </is>
      </c>
      <c r="P208" s="22">
        <f>HYPERLINK("https://kuwaitalyawm.media.gov.kw/Online/ViewAdsHTML?id=169424&amp;no=1", "عرض المصدر")</f>
        <v/>
      </c>
    </row>
    <row r="209">
      <c r="A209" s="11" t="inlineStr">
        <is>
          <t>MNA-24-2026</t>
        </is>
      </c>
      <c r="B209" s="11" t="inlineStr">
        <is>
          <t>شركة صناعة الكيماويات البترولية</t>
        </is>
      </c>
      <c r="C209" s="11" t="inlineStr">
        <is>
          <t>Abrar Al-Qallaf</t>
        </is>
      </c>
      <c r="D209" s="11" t="inlineStr">
        <is>
          <t>مناقصة رقم MNA-24-2026: IBM Maximo Application Suite (MAS) MAS-IT (ICD) License Renewal and Support Services - شركة صناعة الكيماويات البترولية</t>
        </is>
      </c>
      <c r="E209"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209"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209" s="24" t="inlineStr">
        <is>
          <t>قطاع برمجيات IBM وحلول الذكاء الاصطناعي وRed Hat</t>
        </is>
      </c>
      <c r="H209" s="12" t="inlineStr">
        <is>
          <t>95.0%</t>
        </is>
      </c>
      <c r="I209" s="12" t="inlineStr">
        <is>
          <t>oil_and_gas</t>
        </is>
      </c>
      <c r="J209" s="12" t="inlineStr">
        <is>
          <t>2026-09-06</t>
        </is>
      </c>
      <c r="K209" s="18" t="inlineStr">
        <is>
          <t>2026-10-06</t>
        </is>
      </c>
      <c r="L209" s="12" t="inlineStr">
        <is>
          <t>15000.0</t>
        </is>
      </c>
      <c r="M209" s="12" t="inlineStr">
        <is>
          <t>-</t>
        </is>
      </c>
      <c r="N209" s="21" t="inlineStr">
        <is>
          <t>NEW</t>
        </is>
      </c>
      <c r="O209" s="12" t="inlineStr">
        <is>
          <t>موصى بالتقديم</t>
        </is>
      </c>
      <c r="P209" s="23">
        <f>HYPERLINK("https://kuwaitalyawm.media.gov.kw/Online/ViewAdsHTML?id=169425&amp;no=1", "عرض المصدر")</f>
        <v/>
      </c>
    </row>
    <row r="210">
      <c r="A210" s="13" t="inlineStr">
        <is>
          <t>P&amp;MAB-04/2025</t>
        </is>
      </c>
      <c r="B210" s="13" t="inlineStr">
        <is>
          <t>شركة ناقلات النفط الكويتية</t>
        </is>
      </c>
      <c r="C210" s="13" t="inlineStr">
        <is>
          <t>Ahmed Habib</t>
        </is>
      </c>
      <c r="D210" s="13" t="inlineStr">
        <is>
          <t>ممارسة رقم P&amp;MAB-04/2025: ممارسة التصميم والإشراف على مشروع أرض مساحتها</t>
        </is>
      </c>
      <c r="E21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210" s="13" t="inlineStr">
        <is>
          <t>وفقاً لشروط وإجراءات المناقصات والتوريد لدى شركة البترول الوطنية الكويتية (KNPC)</t>
        </is>
      </c>
      <c r="G210" s="14" t="inlineStr">
        <is>
          <t>عام</t>
        </is>
      </c>
      <c r="H210" s="14" t="inlineStr">
        <is>
          <t>0.0%</t>
        </is>
      </c>
      <c r="I210" s="14" t="inlineStr">
        <is>
          <t>oil_and_gas</t>
        </is>
      </c>
      <c r="J210" s="14" t="inlineStr">
        <is>
          <t>2026-09-27</t>
        </is>
      </c>
      <c r="K210" s="14" t="inlineStr">
        <is>
          <t>2026-11-03</t>
        </is>
      </c>
      <c r="L210" s="14" t="inlineStr">
        <is>
          <t>2500.0</t>
        </is>
      </c>
      <c r="M210" s="14" t="inlineStr">
        <is>
          <t>-</t>
        </is>
      </c>
      <c r="N210" s="26" t="inlineStr">
        <is>
          <t>UNCHANGED</t>
        </is>
      </c>
      <c r="O210" s="14" t="inlineStr">
        <is>
          <t>غير متوافقة مع اختصاصات KBM</t>
        </is>
      </c>
      <c r="P210" s="22">
        <f>HYPERLINK("https://kuwaitalyawm.media.gov.kw/flip/index?id=5599&amp;no=227", "عرض المصدر")</f>
        <v/>
      </c>
    </row>
    <row r="211">
      <c r="A211" s="11" t="inlineStr">
        <is>
          <t>2147428</t>
        </is>
      </c>
      <c r="B211" s="11" t="inlineStr">
        <is>
          <t>شركة نفط الكويت</t>
        </is>
      </c>
      <c r="C211" s="11" t="inlineStr">
        <is>
          <t>Ahmed Habib</t>
        </is>
      </c>
      <c r="D211" s="11" t="inlineStr">
        <is>
          <t>تقديم خدمات الامن السيبراني المدارة</t>
        </is>
      </c>
      <c r="E211" s="11" t="inlineStr">
        <is>
          <t>أعمال وتوريدات تقديم خدمات الامن السيبراني المدارة لصالح شركة نفط الكويت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قطاع الأمن السيبراني والدفاع الرقمي</t>
        </is>
      </c>
      <c r="H211" s="12" t="inlineStr">
        <is>
          <t>47.0%</t>
        </is>
      </c>
      <c r="I211" s="12" t="inlineStr">
        <is>
          <t>oil_and_gas</t>
        </is>
      </c>
      <c r="J211" s="12" t="inlineStr">
        <is>
          <t>2026-08-23</t>
        </is>
      </c>
      <c r="K211" s="12" t="inlineStr">
        <is>
          <t>2026-11-17</t>
        </is>
      </c>
      <c r="L211" s="12" t="inlineStr">
        <is>
          <t>220000.000 KWD</t>
        </is>
      </c>
      <c r="M211" s="12" t="inlineStr">
        <is>
          <t>3500.000 KWD</t>
        </is>
      </c>
      <c r="N211" s="21" t="inlineStr">
        <is>
          <t>NEW</t>
        </is>
      </c>
      <c r="O211" s="12" t="inlineStr">
        <is>
          <t>فرصة تتطلب شراكة أو دراسة نطاق</t>
        </is>
      </c>
      <c r="P211" s="23">
        <f>HYPERLINK("https://capt.gov.kw/ar/tenders/opening-tenders/#card-9", "عرض المصدر")</f>
        <v/>
      </c>
    </row>
    <row r="212">
      <c r="A212" s="13" t="inlineStr">
        <is>
          <t>و ك م /48/2025/2026</t>
        </is>
      </c>
      <c r="B212" s="13" t="inlineStr">
        <is>
          <t>وزارة الكهرباء والماء والطاقة المتجددة</t>
        </is>
      </c>
      <c r="C212" s="13" t="inlineStr">
        <is>
          <t>Raed Obeid</t>
        </is>
      </c>
      <c r="D212" s="13" t="inlineStr">
        <is>
          <t>أعمال صيانة أنظمة الإنذار ومكافحة الحريق في محطات الشعيبة لتوليد القوى الكهربائية وتقطير المياه</t>
        </is>
      </c>
      <c r="E212"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24" t="inlineStr">
        <is>
          <t>عام</t>
        </is>
      </c>
      <c r="H212" s="14" t="inlineStr">
        <is>
          <t>24.0%</t>
        </is>
      </c>
      <c r="I212" s="14" t="inlineStr">
        <is>
          <t>oil_and_gas</t>
        </is>
      </c>
      <c r="J212" s="14" t="inlineStr">
        <is>
          <t>2026-10-04</t>
        </is>
      </c>
      <c r="K212" s="14" t="inlineStr">
        <is>
          <t>2026-11-03</t>
        </is>
      </c>
      <c r="L212" s="14" t="inlineStr">
        <is>
          <t>23000.000 KWD</t>
        </is>
      </c>
      <c r="M212" s="14" t="inlineStr">
        <is>
          <t>1000.000 KWD</t>
        </is>
      </c>
      <c r="N212" s="21" t="inlineStr">
        <is>
          <t>NEW</t>
        </is>
      </c>
      <c r="O212" s="14" t="inlineStr">
        <is>
          <t>غير متوافقة مع اختصاصات KBM</t>
        </is>
      </c>
      <c r="P212" s="22">
        <f>HYPERLINK("https://capt.gov.kw/ar/tenders/opening-tenders/#card-4", "عرض المصدر")</f>
        <v/>
      </c>
    </row>
    <row r="213">
      <c r="A213" s="11" t="inlineStr">
        <is>
          <t>و ك م/61/2025/2026</t>
        </is>
      </c>
      <c r="B213" s="11" t="inlineStr">
        <is>
          <t>وزارة الكهرباء والماء والطاقة المتجددة</t>
        </is>
      </c>
      <c r="C213" s="11" t="inlineStr">
        <is>
          <t>Raed Obeid</t>
        </is>
      </c>
      <c r="D213" s="11" t="inlineStr">
        <is>
          <t>أعمال الصيانة السنوية للمعدات الكهربائية في محطة الشعيبة الجنوبية لتوليد القوى الكهربائية وتقطير المياه</t>
        </is>
      </c>
      <c r="E21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0.0%</t>
        </is>
      </c>
      <c r="I213" s="12" t="inlineStr">
        <is>
          <t>oil_and_gas</t>
        </is>
      </c>
      <c r="J213" s="12" t="inlineStr">
        <is>
          <t>2026-08-16</t>
        </is>
      </c>
      <c r="K213" s="12" t="inlineStr">
        <is>
          <t>2026-10-13</t>
        </is>
      </c>
      <c r="L213" s="12" t="inlineStr">
        <is>
          <t>45000.000 KWD</t>
        </is>
      </c>
      <c r="M213" s="12" t="inlineStr">
        <is>
          <t>1000.000 KWD</t>
        </is>
      </c>
      <c r="N213" s="21" t="inlineStr">
        <is>
          <t>NEW</t>
        </is>
      </c>
      <c r="O213" s="12" t="inlineStr">
        <is>
          <t>غير متوافقة مع اختصاصات KBM</t>
        </is>
      </c>
      <c r="P213" s="23">
        <f>HYPERLINK("https://capt.gov.kw/ar/tenders/opening-tenders/#card-9", "عرض المصدر")</f>
        <v/>
      </c>
    </row>
    <row r="214">
      <c r="A214" s="13" t="inlineStr">
        <is>
          <t>و ك م /41/2024/2025</t>
        </is>
      </c>
      <c r="B214" s="13" t="inlineStr">
        <is>
          <t>وزارة الكهرباء والماء والطاقة المتجددة</t>
        </is>
      </c>
      <c r="C214" s="13" t="inlineStr">
        <is>
          <t>Raed Obeid</t>
        </is>
      </c>
      <c r="D214" s="13" t="inlineStr">
        <is>
          <t>أعمال توريد وتركيب وصيانة خطوط هوائية ضغط متوسط 11 ك.ف وضغط منخفض والأعمال المدنية المتعلقة بهما في ( المنطقة الجنوبية )</t>
        </is>
      </c>
      <c r="E214"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0.0%</t>
        </is>
      </c>
      <c r="I214" s="14" t="inlineStr">
        <is>
          <t>oil_and_gas</t>
        </is>
      </c>
      <c r="J214" s="14" t="inlineStr">
        <is>
          <t>2026-08-23</t>
        </is>
      </c>
      <c r="K214" s="14" t="inlineStr">
        <is>
          <t>2026-10-20</t>
        </is>
      </c>
      <c r="L214" s="14" t="inlineStr">
        <is>
          <t>100000.000 KWD</t>
        </is>
      </c>
      <c r="M214" s="14" t="inlineStr">
        <is>
          <t>3500.000 KWD</t>
        </is>
      </c>
      <c r="N214" s="21" t="inlineStr">
        <is>
          <t>NEW</t>
        </is>
      </c>
      <c r="O214" s="14" t="inlineStr">
        <is>
          <t>غير متوافقة مع اختصاصات KBM</t>
        </is>
      </c>
      <c r="P214" s="22">
        <f>HYPERLINK("https://capt.gov.kw/ar/tenders/opening-tenders/#card-7", "عرض المصدر")</f>
        <v/>
      </c>
    </row>
    <row r="215">
      <c r="A215" s="11" t="inlineStr">
        <is>
          <t>و ك م /39/2024/2025</t>
        </is>
      </c>
      <c r="B215" s="11" t="inlineStr">
        <is>
          <t>وزارة الكهرباء والماء والطاقة المتجددة</t>
        </is>
      </c>
      <c r="C215" s="11" t="inlineStr">
        <is>
          <t>Raed Obeid</t>
        </is>
      </c>
      <c r="D215" s="11" t="inlineStr">
        <is>
          <t>اعمال توريد وتركيب وصيانة خطوط هوائية ضغط متوسط 11 ك.ف وضغط منخفض و الأعمال المدنية المتعلقة بهما في ( المنطقة الشمالية )</t>
        </is>
      </c>
      <c r="E215"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0.0%</t>
        </is>
      </c>
      <c r="I215" s="12" t="inlineStr">
        <is>
          <t>oil_and_gas</t>
        </is>
      </c>
      <c r="J215" s="12" t="inlineStr">
        <is>
          <t>2026-08-23</t>
        </is>
      </c>
      <c r="K215" s="12" t="inlineStr">
        <is>
          <t>2026-10-20</t>
        </is>
      </c>
      <c r="L215" s="12" t="inlineStr">
        <is>
          <t>100000.000 KWD</t>
        </is>
      </c>
      <c r="M215" s="12" t="inlineStr">
        <is>
          <t>3500.000 KWD</t>
        </is>
      </c>
      <c r="N215" s="21" t="inlineStr">
        <is>
          <t>NEW</t>
        </is>
      </c>
      <c r="O215" s="12" t="inlineStr">
        <is>
          <t>غير متوافقة مع اختصاصات KBM</t>
        </is>
      </c>
      <c r="P215" s="23">
        <f>HYPERLINK("https://capt.gov.kw/ar/tenders/opening-tenders/#card-6", "عرض المصدر")</f>
        <v/>
      </c>
    </row>
    <row r="216">
      <c r="A216" s="13" t="inlineStr">
        <is>
          <t>و ك م /14/2024/2025</t>
        </is>
      </c>
      <c r="B216" s="13" t="inlineStr">
        <is>
          <t>وزارة الكهرباء والماء والطاقة المتجددة</t>
        </is>
      </c>
      <c r="C216" s="13" t="inlineStr">
        <is>
          <t>Raed Obeid</t>
        </is>
      </c>
      <c r="D216" s="13" t="inlineStr">
        <is>
          <t>اعمال توريد وتركيب وصيانه خطوط هوائيه ضغط متوسط 11 ك.ف وضغط منخفض والاعمال المدنيه المتعلقه بهما في (المنطقه الوسطى)</t>
        </is>
      </c>
      <c r="E216"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oil_and_gas</t>
        </is>
      </c>
      <c r="J216" s="14" t="inlineStr">
        <is>
          <t>2026-08-23</t>
        </is>
      </c>
      <c r="K216" s="14" t="inlineStr">
        <is>
          <t>2026-10-20</t>
        </is>
      </c>
      <c r="L216" s="14" t="inlineStr">
        <is>
          <t>100000.000 KWD</t>
        </is>
      </c>
      <c r="M216" s="14" t="inlineStr">
        <is>
          <t>3500.000 KWD</t>
        </is>
      </c>
      <c r="N216" s="21" t="inlineStr">
        <is>
          <t>NEW</t>
        </is>
      </c>
      <c r="O216" s="14" t="inlineStr">
        <is>
          <t>غير متوافقة مع اختصاصات KBM</t>
        </is>
      </c>
      <c r="P216" s="22">
        <f>HYPERLINK("https://capt.gov.kw/ar/tenders/opening-tenders/#card-5", "عرض المصدر")</f>
        <v/>
      </c>
    </row>
    <row r="217">
      <c r="A217" s="11" t="inlineStr">
        <is>
          <t>62/2020/2021</t>
        </is>
      </c>
      <c r="B217" s="11" t="inlineStr">
        <is>
          <t>وزارة الكهرباء والماء والطاقة المتجددة</t>
        </is>
      </c>
      <c r="C217" s="11" t="inlineStr">
        <is>
          <t>Raed Obeid</t>
        </is>
      </c>
      <c r="D217" s="11" t="inlineStr">
        <is>
          <t>توريد وتركيب وصيانة خطوط هوائية ضغط متوسط 11 ك.ف وضغط منخفض والاعمال المدنية المتعلقة بهما في مزارع الوفرة</t>
        </is>
      </c>
      <c r="E217"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oil_and_gas</t>
        </is>
      </c>
      <c r="J217" s="12" t="inlineStr">
        <is>
          <t>2026-08-23</t>
        </is>
      </c>
      <c r="K217" s="12" t="inlineStr">
        <is>
          <t>2026-10-20</t>
        </is>
      </c>
      <c r="L217" s="12" t="inlineStr">
        <is>
          <t>100000.000 KWD</t>
        </is>
      </c>
      <c r="M217" s="12" t="inlineStr">
        <is>
          <t>3500.000 KWD</t>
        </is>
      </c>
      <c r="N217" s="21" t="inlineStr">
        <is>
          <t>NEW</t>
        </is>
      </c>
      <c r="O217" s="12" t="inlineStr">
        <is>
          <t>غير متوافقة مع اختصاصات KBM</t>
        </is>
      </c>
      <c r="P217" s="23">
        <f>HYPERLINK("https://capt.gov.kw/ar/tenders/opening-tenders/#card-1", "عرض المصدر")</f>
        <v/>
      </c>
    </row>
    <row r="218">
      <c r="A218" s="13" t="inlineStr">
        <is>
          <t>و ك م 16/2025/2026</t>
        </is>
      </c>
      <c r="B218" s="13" t="inlineStr">
        <is>
          <t>وزارة الكهرباء والماء والطاقة المتجددة</t>
        </is>
      </c>
      <c r="C218" s="13" t="inlineStr">
        <is>
          <t>Raed Obeid</t>
        </is>
      </c>
      <c r="D218" s="13" t="inlineStr">
        <is>
          <t>صيانة واستبدال التالف و الاعمال المدنيه المتعلقه بعدد من المحولات حتى سعة 75 م.ف.أ و المفاعل المتوازي حتى سعة 50 م.فأ.أ.ر(المرحلة الثانيه)</t>
        </is>
      </c>
      <c r="E218"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8" s="14" t="inlineStr">
        <is>
          <t>عام</t>
        </is>
      </c>
      <c r="H218" s="14" t="inlineStr">
        <is>
          <t>0.0%</t>
        </is>
      </c>
      <c r="I218" s="14" t="inlineStr">
        <is>
          <t>oil_and_gas</t>
        </is>
      </c>
      <c r="J218" s="14" t="inlineStr">
        <is>
          <t>2026-08-30</t>
        </is>
      </c>
      <c r="K218" s="14" t="inlineStr">
        <is>
          <t>2026-11-01</t>
        </is>
      </c>
      <c r="L218" s="14" t="inlineStr">
        <is>
          <t>23000.000 KWD</t>
        </is>
      </c>
      <c r="M218" s="14" t="inlineStr">
        <is>
          <t>1000.000 KWD</t>
        </is>
      </c>
      <c r="N218" s="21" t="inlineStr">
        <is>
          <t>NEW</t>
        </is>
      </c>
      <c r="O218" s="14" t="inlineStr">
        <is>
          <t>غير متوافقة مع اختصاصات KBM</t>
        </is>
      </c>
      <c r="P218" s="22">
        <f>HYPERLINK("https://capt.gov.kw/ar/tenders/opening-tenders/#card-8", "عرض المصدر")</f>
        <v/>
      </c>
    </row>
    <row r="219">
      <c r="A219" s="11" t="inlineStr">
        <is>
          <t>و ك م/38/2025/2026</t>
        </is>
      </c>
      <c r="B219" s="11" t="inlineStr">
        <is>
          <t>وزارة الكهرباء والماء والطاقة المتجددة</t>
        </is>
      </c>
      <c r="C219" s="11" t="inlineStr">
        <is>
          <t>Raed Obeid</t>
        </is>
      </c>
      <c r="D219" s="11" t="inlineStr">
        <is>
          <t>أعمال صيانة آلات تصويرمستندات ماركات مختلفة بجميع قطاعات الوزارة والإدارات التابعة لها بجميع مرافق الوزارة</t>
        </is>
      </c>
      <c r="E219"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9" s="12" t="inlineStr">
        <is>
          <t>عام</t>
        </is>
      </c>
      <c r="H219" s="12" t="inlineStr">
        <is>
          <t>0.0%</t>
        </is>
      </c>
      <c r="I219" s="12" t="inlineStr">
        <is>
          <t>oil_and_gas</t>
        </is>
      </c>
      <c r="J219" s="12" t="inlineStr">
        <is>
          <t>2026-09-06</t>
        </is>
      </c>
      <c r="K219" s="12" t="inlineStr">
        <is>
          <t>2026-10-25</t>
        </is>
      </c>
      <c r="L219" s="12" t="inlineStr">
        <is>
          <t>23000.000 KWD</t>
        </is>
      </c>
      <c r="M219" s="12" t="inlineStr">
        <is>
          <t>1000.000 KWD</t>
        </is>
      </c>
      <c r="N219" s="21" t="inlineStr">
        <is>
          <t>NEW</t>
        </is>
      </c>
      <c r="O219" s="12" t="inlineStr">
        <is>
          <t>غير متوافقة مع اختصاصات KBM</t>
        </is>
      </c>
      <c r="P219" s="23">
        <f>HYPERLINK("https://capt.gov.kw/ar/tenders/opening-tenders/#card-3", "عرض المصدر")</f>
        <v/>
      </c>
    </row>
    <row r="220">
      <c r="A220" s="13" t="inlineStr">
        <is>
          <t>و ك م/12/2025/2026</t>
        </is>
      </c>
      <c r="B220" s="13" t="inlineStr">
        <is>
          <t>وزارة الكهرباء والماء والطاقة المتجددة</t>
        </is>
      </c>
      <c r="C220" s="13" t="inlineStr">
        <is>
          <t>Raed Obeid</t>
        </is>
      </c>
      <c r="D220" s="13" t="inlineStr">
        <is>
          <t>احلال واستبدال التالف بعدد من المحولات حتى سعة 75م.ف.أ والمفاعل المتوازي حتى سعة 50 م.ف.أ.ر (المرحلة الأولى)</t>
        </is>
      </c>
      <c r="E220"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0" s="14" t="inlineStr">
        <is>
          <t>عام</t>
        </is>
      </c>
      <c r="H220" s="14" t="inlineStr">
        <is>
          <t>0.0%</t>
        </is>
      </c>
      <c r="I220" s="14" t="inlineStr">
        <is>
          <t>oil_and_gas</t>
        </is>
      </c>
      <c r="J220" s="14" t="inlineStr">
        <is>
          <t>2026-09-06</t>
        </is>
      </c>
      <c r="K220" s="14" t="inlineStr">
        <is>
          <t>2026-11-03</t>
        </is>
      </c>
      <c r="L220" s="14" t="inlineStr">
        <is>
          <t>0.000 KWD</t>
        </is>
      </c>
      <c r="M220" s="14" t="inlineStr">
        <is>
          <t>500.000 KWD</t>
        </is>
      </c>
      <c r="N220" s="21" t="inlineStr">
        <is>
          <t>NEW</t>
        </is>
      </c>
      <c r="O220" s="14" t="inlineStr">
        <is>
          <t>غير متوافقة مع اختصاصات KBM</t>
        </is>
      </c>
      <c r="P220" s="22">
        <f>HYPERLINK("https://capt.gov.kw/ar/tenders/opening-tenders/#card-2", "عرض المصدر")</f>
        <v/>
      </c>
    </row>
    <row r="221">
      <c r="A221" s="11" t="inlineStr">
        <is>
          <t>و ك م /95/2024/2025</t>
        </is>
      </c>
      <c r="B221" s="11" t="inlineStr">
        <is>
          <t>وزارة الكهرباء والماء والطاقة المتجددة</t>
        </is>
      </c>
      <c r="C221" s="11" t="inlineStr">
        <is>
          <t>Raed Obeid</t>
        </is>
      </c>
      <c r="D221" s="11" t="inlineStr">
        <is>
          <t>إنشاء وإنجاز وصيانة مبنى أخضر لمحافظة الفروانية</t>
        </is>
      </c>
      <c r="E221" s="11" t="inlineStr">
        <is>
          <t>تنفيذ الأعمال المدنية والإنشائية والترميم والصيانة العامة للمباني والمنشآت والمرافق التابعة للجهة.</t>
        </is>
      </c>
      <c r="F2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1" s="12" t="inlineStr">
        <is>
          <t>عام</t>
        </is>
      </c>
      <c r="H221" s="12" t="inlineStr">
        <is>
          <t>0.0%</t>
        </is>
      </c>
      <c r="I221" s="12" t="inlineStr">
        <is>
          <t>oil_and_gas</t>
        </is>
      </c>
      <c r="J221" s="12" t="inlineStr">
        <is>
          <t>2026-09-06</t>
        </is>
      </c>
      <c r="K221" s="12" t="inlineStr">
        <is>
          <t>2026-11-01</t>
        </is>
      </c>
      <c r="L221" s="12" t="inlineStr">
        <is>
          <t>62000.000 KWD</t>
        </is>
      </c>
      <c r="M221" s="12" t="inlineStr">
        <is>
          <t>1000.000 KWD</t>
        </is>
      </c>
      <c r="N221" s="21" t="inlineStr">
        <is>
          <t>NEW</t>
        </is>
      </c>
      <c r="O221" s="12" t="inlineStr">
        <is>
          <t>غير متوافقة مع اختصاصات KBM</t>
        </is>
      </c>
      <c r="P221" s="23">
        <f>HYPERLINK("https://capt.gov.kw/ar/tenders/opening-tenders/#card-1", "عرض المصدر")</f>
        <v/>
      </c>
    </row>
    <row r="222">
      <c r="A222" s="13" t="inlineStr">
        <is>
          <t>و ك م /48/2024/2025</t>
        </is>
      </c>
      <c r="B222" s="13" t="inlineStr">
        <is>
          <t>وزارة الكهرباء والماء والطاقة المتجددة</t>
        </is>
      </c>
      <c r="C222" s="13" t="inlineStr">
        <is>
          <t>Raed Obeid</t>
        </is>
      </c>
      <c r="D222"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22"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2" s="24" t="inlineStr">
        <is>
          <t>عام</t>
        </is>
      </c>
      <c r="H222" s="14" t="inlineStr">
        <is>
          <t>24.0%</t>
        </is>
      </c>
      <c r="I222" s="14" t="inlineStr">
        <is>
          <t>oil_and_gas</t>
        </is>
      </c>
      <c r="J222" s="14" t="inlineStr">
        <is>
          <t>2026-09-06</t>
        </is>
      </c>
      <c r="K222" s="14" t="inlineStr">
        <is>
          <t>2026-11-01</t>
        </is>
      </c>
      <c r="L222" s="14" t="inlineStr">
        <is>
          <t>0.000 KWD</t>
        </is>
      </c>
      <c r="M222" s="14" t="inlineStr">
        <is>
          <t>500.000 KWD</t>
        </is>
      </c>
      <c r="N222" s="21" t="inlineStr">
        <is>
          <t>NEW</t>
        </is>
      </c>
      <c r="O222" s="14" t="inlineStr">
        <is>
          <t>غير متوافقة مع اختصاصات KBM</t>
        </is>
      </c>
      <c r="P222" s="22">
        <f>HYPERLINK("https://capt.gov.kw/ar/tenders/opening-tenders/#card-0", "عرض المصدر")</f>
        <v/>
      </c>
    </row>
    <row r="223">
      <c r="A223" s="11" t="inlineStr">
        <is>
          <t>و ك م /11/2025/2026</t>
        </is>
      </c>
      <c r="B223" s="11" t="inlineStr">
        <is>
          <t>وزارة الكهرباء والماء والطاقة المتجددة</t>
        </is>
      </c>
      <c r="C223" s="11" t="inlineStr">
        <is>
          <t>Raed Obeid</t>
        </is>
      </c>
      <c r="D223" s="11" t="inlineStr">
        <is>
          <t>توريد وتسليم ومناولة مواد كيماوية لوحدة التناضح العكسي لمحطة الشويخ القوى الكهربائية وتقطير المياه</t>
        </is>
      </c>
      <c r="E223"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3" s="12" t="inlineStr">
        <is>
          <t>عام</t>
        </is>
      </c>
      <c r="H223" s="12" t="inlineStr">
        <is>
          <t>0.0%</t>
        </is>
      </c>
      <c r="I223" s="12" t="inlineStr">
        <is>
          <t>oil_and_gas</t>
        </is>
      </c>
      <c r="J223" s="12" t="inlineStr">
        <is>
          <t>2026-09-06</t>
        </is>
      </c>
      <c r="K223" s="12" t="inlineStr">
        <is>
          <t>2026-10-25</t>
        </is>
      </c>
      <c r="L223" s="12" t="inlineStr">
        <is>
          <t>0.000 KWD</t>
        </is>
      </c>
      <c r="M223" s="12" t="inlineStr">
        <is>
          <t>250.000 KWD</t>
        </is>
      </c>
      <c r="N223" s="21" t="inlineStr">
        <is>
          <t>NEW</t>
        </is>
      </c>
      <c r="O223" s="12" t="inlineStr">
        <is>
          <t>غير متوافقة مع اختصاصات KBM</t>
        </is>
      </c>
      <c r="P223" s="23">
        <f>HYPERLINK("https://capt.gov.kw/ar/tenders/opening-tenders/#card-9", "عرض المصدر")</f>
        <v/>
      </c>
    </row>
    <row r="224">
      <c r="A224" s="13" t="inlineStr">
        <is>
          <t>و ك م/57/2025/2026</t>
        </is>
      </c>
      <c r="B224" s="13" t="inlineStr">
        <is>
          <t>وزارة الكهرباء والماء والطاقة المتجددة</t>
        </is>
      </c>
      <c r="C224" s="13" t="inlineStr">
        <is>
          <t>Raed Obeid</t>
        </is>
      </c>
      <c r="D224" s="13" t="inlineStr">
        <is>
          <t>توريد وتركيب محركات كهربائية في محطة الدوحة الغربية لتوليد القوى الكهربائية وتقطير المياه</t>
        </is>
      </c>
      <c r="E224"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4" s="14" t="inlineStr">
        <is>
          <t>عام</t>
        </is>
      </c>
      <c r="H224" s="14" t="inlineStr">
        <is>
          <t>0.0%</t>
        </is>
      </c>
      <c r="I224" s="14" t="inlineStr">
        <is>
          <t>oil_and_gas</t>
        </is>
      </c>
      <c r="J224" s="14" t="inlineStr">
        <is>
          <t>2026-09-13</t>
        </is>
      </c>
      <c r="K224" s="14" t="inlineStr">
        <is>
          <t>2026-10-13</t>
        </is>
      </c>
      <c r="L224" s="14" t="inlineStr">
        <is>
          <t>62000.000 KWD</t>
        </is>
      </c>
      <c r="M224" s="14" t="inlineStr">
        <is>
          <t>1000.000 KWD</t>
        </is>
      </c>
      <c r="N224" s="21" t="inlineStr">
        <is>
          <t>NEW</t>
        </is>
      </c>
      <c r="O224" s="14" t="inlineStr">
        <is>
          <t>غير متوافقة مع اختصاصات KBM</t>
        </is>
      </c>
      <c r="P224" s="22">
        <f>HYPERLINK("https://capt.gov.kw/ar/tenders/opening-tenders/#card-3", "عرض المصدر")</f>
        <v/>
      </c>
    </row>
    <row r="225">
      <c r="A225" s="11" t="inlineStr">
        <is>
          <t>وك م-65/2025/2026</t>
        </is>
      </c>
      <c r="B225" s="11" t="inlineStr">
        <is>
          <t>وزارة الكهرباء والماء والطاقة المتجددة</t>
        </is>
      </c>
      <c r="C225" s="11" t="inlineStr">
        <is>
          <t>Raed Obeid</t>
        </is>
      </c>
      <c r="D225" s="11" t="inlineStr">
        <is>
          <t>توريد وتركيب وتشغيل وصيانة وضمان أعمال التمديدات الكهربائية للأعمال الصغيرة بمحافظات(الفروانية-الجهراء-العاصمة)</t>
        </is>
      </c>
      <c r="E225"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5" s="12" t="inlineStr">
        <is>
          <t>عام</t>
        </is>
      </c>
      <c r="H225" s="12" t="inlineStr">
        <is>
          <t>24.0%</t>
        </is>
      </c>
      <c r="I225" s="12" t="inlineStr">
        <is>
          <t>oil_and_gas</t>
        </is>
      </c>
      <c r="J225" s="12" t="inlineStr">
        <is>
          <t>2026-09-20</t>
        </is>
      </c>
      <c r="K225" s="12" t="inlineStr">
        <is>
          <t>2026-12-15</t>
        </is>
      </c>
      <c r="L225" s="12" t="inlineStr">
        <is>
          <t>23000.000 KWD</t>
        </is>
      </c>
      <c r="M225" s="12" t="inlineStr">
        <is>
          <t>1000.000 KWD</t>
        </is>
      </c>
      <c r="N225" s="21" t="inlineStr">
        <is>
          <t>NEW</t>
        </is>
      </c>
      <c r="O225" s="12" t="inlineStr">
        <is>
          <t>غير متوافقة مع اختصاصات KBM</t>
        </is>
      </c>
      <c r="P225" s="23">
        <f>HYPERLINK("https://capt.gov.kw/ar/tenders/opening-tenders/#card-6", "عرض المصدر")</f>
        <v/>
      </c>
    </row>
    <row r="226">
      <c r="A226" s="13" t="inlineStr">
        <is>
          <t>و ك م /27/2024/2025</t>
        </is>
      </c>
      <c r="B226" s="13" t="inlineStr">
        <is>
          <t>وزارة الكهرباء والماء والطاقة المتجددة</t>
        </is>
      </c>
      <c r="C226" s="13" t="inlineStr">
        <is>
          <t>Raed Obeid</t>
        </is>
      </c>
      <c r="D226"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26"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6" s="14" t="inlineStr">
        <is>
          <t>عام</t>
        </is>
      </c>
      <c r="H226" s="14" t="inlineStr">
        <is>
          <t>0.0%</t>
        </is>
      </c>
      <c r="I226" s="14" t="inlineStr">
        <is>
          <t>oil_and_gas</t>
        </is>
      </c>
      <c r="J226" s="14" t="inlineStr">
        <is>
          <t>2026-09-20</t>
        </is>
      </c>
      <c r="K226" s="14" t="inlineStr">
        <is>
          <t>2026-10-20</t>
        </is>
      </c>
      <c r="L226" s="14" t="inlineStr">
        <is>
          <t>23000.000 KWD</t>
        </is>
      </c>
      <c r="M226" s="14" t="inlineStr">
        <is>
          <t>1000.000 KWD</t>
        </is>
      </c>
      <c r="N226" s="21" t="inlineStr">
        <is>
          <t>NEW</t>
        </is>
      </c>
      <c r="O226" s="14" t="inlineStr">
        <is>
          <t>غير متوافقة مع اختصاصات KBM</t>
        </is>
      </c>
      <c r="P226" s="22">
        <f>HYPERLINK("https://capt.gov.kw/ar/tenders/opening-tenders/#card-5", "عرض المصدر")</f>
        <v/>
      </c>
    </row>
    <row r="227">
      <c r="A227" s="11" t="inlineStr">
        <is>
          <t>وك م/9/2025/2026</t>
        </is>
      </c>
      <c r="B227" s="11" t="inlineStr">
        <is>
          <t>وزارة الكهرباء والماء والطاقة المتجددة</t>
        </is>
      </c>
      <c r="C227" s="11" t="inlineStr">
        <is>
          <t>Raed Obeid</t>
        </is>
      </c>
      <c r="D227" s="11" t="inlineStr">
        <is>
          <t>أعمال النظافة في محطة الصبية لتوليد القوى الكهربائية وتقطير المياه</t>
        </is>
      </c>
      <c r="E227" s="11" t="inlineStr">
        <is>
          <t>توفير خدمات وأعمال النظافة العامة والشاملة للمباني والمرافق وتوفير العمالة والمعدات والمستهلكات اللازمة.</t>
        </is>
      </c>
      <c r="F2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7" s="12" t="inlineStr">
        <is>
          <t>عام</t>
        </is>
      </c>
      <c r="H227" s="12" t="inlineStr">
        <is>
          <t>0.0%</t>
        </is>
      </c>
      <c r="I227" s="12" t="inlineStr">
        <is>
          <t>oil_and_gas</t>
        </is>
      </c>
      <c r="J227" s="12" t="inlineStr">
        <is>
          <t>2026-09-27</t>
        </is>
      </c>
      <c r="K227" s="12" t="inlineStr">
        <is>
          <t>2026-10-27</t>
        </is>
      </c>
      <c r="L227" s="12" t="inlineStr">
        <is>
          <t>15000.000 KWD</t>
        </is>
      </c>
      <c r="M227" s="12" t="inlineStr">
        <is>
          <t>1000.000 KWD</t>
        </is>
      </c>
      <c r="N227" s="26" t="inlineStr">
        <is>
          <t>UNCHANGED</t>
        </is>
      </c>
      <c r="O227" s="12" t="inlineStr">
        <is>
          <t>غير متوافقة مع اختصاصات KBM</t>
        </is>
      </c>
      <c r="P227" s="23">
        <f>HYPERLINK("https://capt.gov.kw/ar/tenders/opening-tenders/#card-9", "عرض المصدر")</f>
        <v/>
      </c>
    </row>
    <row r="228">
      <c r="A228" s="13" t="inlineStr">
        <is>
          <t>2026/2025/6</t>
        </is>
      </c>
      <c r="B228" s="13" t="inlineStr">
        <is>
          <t>الهيئة العامة للاتصالات وتقنية المعلومات</t>
        </is>
      </c>
      <c r="C228" s="13" t="inlineStr">
        <is>
          <t>Eiman Ashkanani</t>
        </is>
      </c>
      <c r="D228" s="13" t="inlineStr">
        <is>
          <t>مناقصة رقم 2026/2025/6: بشأن مشروع تقديم خدمات النظافة والحراسة والمراسلين</t>
        </is>
      </c>
      <c r="E228" s="13" t="inlineStr">
        <is>
          <t>توفير خدمات وأعمال النظافة العامة والشاملة للمباني والمرافق وتوفير العمالة والمعدات والمستهلكات اللازمة.</t>
        </is>
      </c>
      <c r="F228"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 غير قابلة للتجزئة ) ولا يحق لمقدم العطاء تقديم عروض بديلة.
• المقابل المادي للحصول على نسخة من وثائق الممارسة يتمثل في ( 75 ) خمسة
• و سبعون دينار كويتي لاغير.</t>
        </is>
      </c>
      <c r="G228" s="14" t="inlineStr">
        <is>
          <t>عام</t>
        </is>
      </c>
      <c r="H228" s="14" t="inlineStr">
        <is>
          <t>0.0%</t>
        </is>
      </c>
      <c r="I228" s="14" t="inlineStr">
        <is>
          <t>other</t>
        </is>
      </c>
      <c r="J228" s="14" t="inlineStr">
        <is>
          <t>2026-08-23</t>
        </is>
      </c>
      <c r="K228" s="14" t="inlineStr">
        <is>
          <t>2026-09-16</t>
        </is>
      </c>
      <c r="L228" s="14" t="inlineStr">
        <is>
          <t>504.5</t>
        </is>
      </c>
      <c r="M228" s="14" t="inlineStr">
        <is>
          <t>504.5</t>
        </is>
      </c>
      <c r="N228" s="21" t="inlineStr">
        <is>
          <t>NEW</t>
        </is>
      </c>
      <c r="O228" s="14" t="inlineStr">
        <is>
          <t>غير متوافقة مع اختصاصات KBM</t>
        </is>
      </c>
      <c r="P228" s="22">
        <f>HYPERLINK("https://kuwaitalyawm.media.gov.kw/flip/index?id=5589&amp;no=178", "عرض المصدر")</f>
        <v/>
      </c>
    </row>
    <row r="229">
      <c r="A229" s="11" t="inlineStr">
        <is>
          <t>12/2025</t>
        </is>
      </c>
      <c r="B229" s="11" t="inlineStr">
        <is>
          <t>الهيئة العامة للصناعة</t>
        </is>
      </c>
      <c r="C229" s="11" t="inlineStr">
        <is>
          <t>Eiman Ashkanani</t>
        </is>
      </c>
      <c r="D229" s="11" t="inlineStr">
        <is>
          <t>أعمال صيانة المعدات وصيانة الميكانيكية والكهربائية ومعدات التكييف المنشآت المدنية والبحرية لمحطات مياه التبريد بمنطقة الشعيبة الغربية</t>
        </is>
      </c>
      <c r="E229" s="11" t="inlineStr">
        <is>
          <t>أعمال صيانة وتشغيل وإصلاح وحدات ومحطات التكييف المركزي والمبردات وضواغط الهواء وشبكات مجاري الهواء.</t>
        </is>
      </c>
      <c r="F2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9" s="12" t="inlineStr">
        <is>
          <t>عام</t>
        </is>
      </c>
      <c r="H229" s="12" t="inlineStr">
        <is>
          <t>0.0%</t>
        </is>
      </c>
      <c r="I229" s="12" t="inlineStr">
        <is>
          <t>other</t>
        </is>
      </c>
      <c r="J229" s="12" t="inlineStr">
        <is>
          <t>سبتمبر 27, 2026</t>
        </is>
      </c>
      <c r="K229" s="12" t="inlineStr">
        <is>
          <t>ديسمبر 22, 2026</t>
        </is>
      </c>
      <c r="L229" s="12" t="inlineStr">
        <is>
          <t>45,000.000 د.ك</t>
        </is>
      </c>
      <c r="M229" s="12" t="inlineStr">
        <is>
          <t>1000.000 د.ك</t>
        </is>
      </c>
      <c r="N229" s="26" t="inlineStr">
        <is>
          <t>UNCHANGED</t>
        </is>
      </c>
      <c r="O229" s="12" t="inlineStr">
        <is>
          <t>غير متوافقة مع اختصاصات KBM</t>
        </is>
      </c>
      <c r="P229" s="23">
        <f>HYPERLINK("https://capt.gov.kw/ar/tenders/opening-tenders/#card-0", "عرض المصدر")</f>
        <v/>
      </c>
    </row>
    <row r="230">
      <c r="A230" s="13" t="inlineStr">
        <is>
          <t>14/2024/2025</t>
        </is>
      </c>
      <c r="B230" s="13" t="inlineStr">
        <is>
          <t>جامعة عبدالله السالم</t>
        </is>
      </c>
      <c r="C230" s="13" t="inlineStr">
        <is>
          <t>Eiman Ashkanani</t>
        </is>
      </c>
      <c r="D230" s="13" t="inlineStr">
        <is>
          <t>إحلال وصيانة وتشغيل وحدات مناولة الهواء وضواغط التكييف لمباني ( 11،2،10،35،31،32،12) بالخالدية</t>
        </is>
      </c>
      <c r="E230" s="13" t="inlineStr">
        <is>
          <t>أعمال صيانة وتشغيل وإصلاح وحدات ومحطات التكييف المركزي والمبردات وضواغط الهواء وشبكات مجاري الهواء.</t>
        </is>
      </c>
      <c r="F2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0" s="14" t="inlineStr">
        <is>
          <t>عام</t>
        </is>
      </c>
      <c r="H230" s="14" t="inlineStr">
        <is>
          <t>15.0%</t>
        </is>
      </c>
      <c r="I230" s="14" t="inlineStr">
        <is>
          <t>other</t>
        </is>
      </c>
      <c r="J230" s="14" t="inlineStr">
        <is>
          <t>سبتمبر 27, 2026</t>
        </is>
      </c>
      <c r="K230" s="14" t="inlineStr">
        <is>
          <t>أكتوبر 27, 2026</t>
        </is>
      </c>
      <c r="L230" s="14" t="inlineStr">
        <is>
          <t>6,000.000 د.ك</t>
        </is>
      </c>
      <c r="M230" s="14" t="inlineStr">
        <is>
          <t>300.000 د.ك</t>
        </is>
      </c>
      <c r="N230" s="26" t="inlineStr">
        <is>
          <t>UNCHANGED</t>
        </is>
      </c>
      <c r="O230" s="14" t="inlineStr">
        <is>
          <t>غير متوافقة مع اختصاصات KBM</t>
        </is>
      </c>
      <c r="P230" s="22">
        <f>HYPERLINK("https://capt.gov.kw/ar/tenders/opening-tenders/#card-1", "عرض المصدر")</f>
        <v/>
      </c>
    </row>
    <row r="231">
      <c r="A231" s="11" t="inlineStr">
        <is>
          <t>و أ / 406/2026/2027</t>
        </is>
      </c>
      <c r="B231" s="11" t="inlineStr">
        <is>
          <t>وزارة الاعلام</t>
        </is>
      </c>
      <c r="C231" s="11" t="inlineStr">
        <is>
          <t>Eiman Ashkanani</t>
        </is>
      </c>
      <c r="D231" s="11" t="inlineStr">
        <is>
          <t>تجهيز خدمات التنظيف و النقل الداخلي و التخلص من النفايات بمبنى مجمع الاعلام و المحطات الخارجية التابعة له</t>
        </is>
      </c>
      <c r="E231" s="11" t="inlineStr">
        <is>
          <t>توفير خدمات وأعمال النظافة العامة والشاملة للمباني والمرافق وتوفير العمالة والمعدات والمستهلكات اللازمة.</t>
        </is>
      </c>
      <c r="F2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1" s="12" t="inlineStr">
        <is>
          <t>عام</t>
        </is>
      </c>
      <c r="H231" s="12" t="inlineStr">
        <is>
          <t>0.0%</t>
        </is>
      </c>
      <c r="I231" s="12" t="inlineStr">
        <is>
          <t>telecom_and_media</t>
        </is>
      </c>
      <c r="J231" s="12" t="inlineStr">
        <is>
          <t>2026-09-20</t>
        </is>
      </c>
      <c r="K231" s="12" t="inlineStr">
        <is>
          <t>2026-12-15</t>
        </is>
      </c>
      <c r="L231" s="12" t="inlineStr">
        <is>
          <t>23000.000 KWD</t>
        </is>
      </c>
      <c r="M231" s="12" t="inlineStr">
        <is>
          <t>1000.000 KWD</t>
        </is>
      </c>
      <c r="N231" s="26" t="inlineStr">
        <is>
          <t>UNCHANGED</t>
        </is>
      </c>
      <c r="O231" s="12" t="inlineStr">
        <is>
          <t>غير متوافقة مع اختصاصات KBM</t>
        </is>
      </c>
      <c r="P231" s="23">
        <f>HYPERLINK("https://capt.gov.kw/ar/tenders/opening-tenders/#card-3", "عرض المصدر")</f>
        <v/>
      </c>
    </row>
    <row r="232">
      <c r="A232" s="13" t="inlineStr">
        <is>
          <t>ب ب هـ / 1/2025/2026</t>
        </is>
      </c>
      <c r="B232" s="13" t="inlineStr">
        <is>
          <t>وزارة المواصلات</t>
        </is>
      </c>
      <c r="C232" s="13" t="inlineStr">
        <is>
          <t>Eiman Ashkanani</t>
        </is>
      </c>
      <c r="D232" s="13" t="inlineStr">
        <is>
          <t>اعمال التنظيف و خدمة مرافق و مكاتب وزارة المواصلات</t>
        </is>
      </c>
      <c r="E232" s="13" t="inlineStr">
        <is>
          <t>توفير خدمات وأعمال النظافة العامة والشاملة للمباني والمرافق وتوفير العمالة والمعدات والمستهلكات اللازمة.</t>
        </is>
      </c>
      <c r="F2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2" s="14" t="inlineStr">
        <is>
          <t>عام</t>
        </is>
      </c>
      <c r="H232" s="14" t="inlineStr">
        <is>
          <t>0.0%</t>
        </is>
      </c>
      <c r="I232" s="14" t="inlineStr">
        <is>
          <t>telecom_and_media</t>
        </is>
      </c>
      <c r="J232" s="14" t="inlineStr">
        <is>
          <t>2026-10-04</t>
        </is>
      </c>
      <c r="K232" s="14" t="inlineStr">
        <is>
          <t>2026-12-29</t>
        </is>
      </c>
      <c r="L232" s="14" t="inlineStr">
        <is>
          <t>45000.000 KWD</t>
        </is>
      </c>
      <c r="M232" s="14" t="inlineStr">
        <is>
          <t>1000.000 KWD</t>
        </is>
      </c>
      <c r="N232" s="21" t="inlineStr">
        <is>
          <t>NEW</t>
        </is>
      </c>
      <c r="O232" s="14" t="inlineStr">
        <is>
          <t>غير متوافقة مع اختصاصات KBM</t>
        </is>
      </c>
      <c r="P232" s="22">
        <f>HYPERLINK("https://capt.gov.kw/ar/tenders/opening-tenders/#card-1", "عرض المصدر")</f>
        <v/>
      </c>
    </row>
  </sheetData>
  <autoFilter ref="A1:P23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32"/>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17/2026/2027</t>
        </is>
      </c>
      <c r="B2" s="13" t="inlineStr">
        <is>
          <t>الإدارة العامة للإطفاء</t>
        </is>
      </c>
      <c r="C2" s="13" t="inlineStr">
        <is>
          <t>Eiman Ashkanani</t>
        </is>
      </c>
      <c r="D2" s="13" t="inlineStr">
        <is>
          <t>صيانة أنظمة و أجهزة الاتصالات بقوة الإطفاء العام</t>
        </is>
      </c>
      <c r="E2"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60.0%</t>
        </is>
      </c>
      <c r="I2" s="14" t="inlineStr">
        <is>
          <t>defense_and_security</t>
        </is>
      </c>
      <c r="J2" s="14" t="inlineStr">
        <is>
          <t>2026-09-20</t>
        </is>
      </c>
      <c r="K2" s="14" t="inlineStr">
        <is>
          <t>2026-10-20</t>
        </is>
      </c>
      <c r="L2" s="14" t="inlineStr">
        <is>
          <t>23000.000 KWD</t>
        </is>
      </c>
      <c r="M2" s="14" t="inlineStr">
        <is>
          <t>1000.000 KWD</t>
        </is>
      </c>
      <c r="N2" s="26" t="inlineStr">
        <is>
          <t>UNCHANGED</t>
        </is>
      </c>
      <c r="O2" s="14" t="inlineStr">
        <is>
          <t>فرصة ICT متوافقة مع قدرات KBM</t>
        </is>
      </c>
      <c r="P2" s="22">
        <f>HYPERLINK("https://capt.gov.kw/ar/tenders/opening-tenders/#card-0", "عرض المصدر")</f>
        <v/>
      </c>
    </row>
    <row r="3">
      <c r="A3" s="11" t="inlineStr">
        <is>
          <t>2027/2026/8</t>
        </is>
      </c>
      <c r="B3" s="11" t="inlineStr">
        <is>
          <t>الإدارة العامة للاطفاء</t>
        </is>
      </c>
      <c r="C3" s="11" t="inlineStr">
        <is>
          <t>Eiman Ashkanani</t>
        </is>
      </c>
      <c r="D3" s="11" t="inlineStr">
        <is>
          <t>ممارسة رقم 2027/2026/8: بشأن شراء وتجديد حزمة برامج Manage engine</t>
        </is>
      </c>
      <c r="E3"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قطاع برمجيات IBM وحلول الذكاء الاصطناعي وRed Hat</t>
        </is>
      </c>
      <c r="H3" s="12" t="inlineStr">
        <is>
          <t>68.0%</t>
        </is>
      </c>
      <c r="I3" s="12" t="inlineStr">
        <is>
          <t>government</t>
        </is>
      </c>
      <c r="J3" s="12" t="inlineStr">
        <is>
          <t>2026-09-27</t>
        </is>
      </c>
      <c r="K3" s="12" t="inlineStr">
        <is>
          <t>-</t>
        </is>
      </c>
      <c r="L3" s="12" t="inlineStr">
        <is>
          <t>-</t>
        </is>
      </c>
      <c r="M3" s="12" t="inlineStr">
        <is>
          <t>75.0</t>
        </is>
      </c>
      <c r="N3" s="21" t="inlineStr">
        <is>
          <t>NEW</t>
        </is>
      </c>
      <c r="O3" s="12" t="inlineStr">
        <is>
          <t>فرصة ICT متوافقة مع قدرات KBM</t>
        </is>
      </c>
      <c r="P3" s="23">
        <f>HYPERLINK("https://kuwaitalyawm.media.gov.kw/Online/ViewAdsHTML?id=171673&amp;no=1", "عرض المصدر")</f>
        <v/>
      </c>
    </row>
    <row r="4">
      <c r="A4" s="13" t="inlineStr">
        <is>
          <t>2027/2026/5</t>
        </is>
      </c>
      <c r="B4" s="13" t="inlineStr">
        <is>
          <t>الإدارة المركزية للاحصاء</t>
        </is>
      </c>
      <c r="C4" s="13" t="inlineStr">
        <is>
          <t>Eiman Ashkanani</t>
        </is>
      </c>
      <c r="D4" s="13" t="inlineStr">
        <is>
          <t>ممارسة رقم 2027/2026/5 - الإدارة المركزية للاحصاء</t>
        </is>
      </c>
      <c r="E4"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0.0%</t>
        </is>
      </c>
      <c r="I4" s="14" t="inlineStr">
        <is>
          <t>government</t>
        </is>
      </c>
      <c r="J4" s="14" t="inlineStr">
        <is>
          <t>2026-09-27</t>
        </is>
      </c>
      <c r="K4" s="14" t="inlineStr">
        <is>
          <t>-</t>
        </is>
      </c>
      <c r="L4" s="14" t="inlineStr">
        <is>
          <t>-</t>
        </is>
      </c>
      <c r="M4" s="14" t="inlineStr">
        <is>
          <t>75.0</t>
        </is>
      </c>
      <c r="N4" s="21" t="inlineStr">
        <is>
          <t>NEW</t>
        </is>
      </c>
      <c r="O4" s="14" t="inlineStr">
        <is>
          <t>غير متوافقة مع اختصاصات KBM</t>
        </is>
      </c>
      <c r="P4" s="22">
        <f>HYPERLINK("https://kuwaitalyawm.media.gov.kw/Online/ViewAdsHTML?id=171697&amp;no=1", "عرض المصدر")</f>
        <v/>
      </c>
    </row>
    <row r="5">
      <c r="A5" s="11" t="inlineStr">
        <is>
          <t>6/2025/2026</t>
        </is>
      </c>
      <c r="B5" s="11" t="inlineStr">
        <is>
          <t>الادارة العامة للطيران المدني</t>
        </is>
      </c>
      <c r="C5" s="11" t="inlineStr">
        <is>
          <t>Eiman Ashkanani</t>
        </is>
      </c>
      <c r="D5" s="11" t="inlineStr">
        <is>
          <t>اعمال صيانة و ترميم المباني و الاعمال الانشائية و اية اعمال اخرى في مواقع مختلفة للطيران المدني</t>
        </is>
      </c>
      <c r="E5" s="11" t="inlineStr">
        <is>
          <t>تنفيذ الأعمال المدنية والإنشائية والترميم والصيانة العامة للمباني والمنشآت والمرافق التابعة للجهة.</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0.0%</t>
        </is>
      </c>
      <c r="I5" s="12" t="inlineStr">
        <is>
          <t>government</t>
        </is>
      </c>
      <c r="J5" s="12" t="inlineStr">
        <is>
          <t>2026-08-23</t>
        </is>
      </c>
      <c r="K5" s="12" t="inlineStr">
        <is>
          <t>2026-11-17</t>
        </is>
      </c>
      <c r="L5" s="12" t="inlineStr">
        <is>
          <t>170000.000 KWD</t>
        </is>
      </c>
      <c r="M5" s="12" t="inlineStr">
        <is>
          <t>3500.000 KWD</t>
        </is>
      </c>
      <c r="N5" s="21" t="inlineStr">
        <is>
          <t>NEW</t>
        </is>
      </c>
      <c r="O5" s="12" t="inlineStr">
        <is>
          <t>غير متوافقة مع اختصاصات KBM</t>
        </is>
      </c>
      <c r="P5" s="23">
        <f>HYPERLINK("https://capt.gov.kw/ar/tenders/opening-tenders/#card-0", "عرض المصدر")</f>
        <v/>
      </c>
    </row>
    <row r="6">
      <c r="A6" s="13" t="inlineStr">
        <is>
          <t>الاستشارية 8/2023/2024</t>
        </is>
      </c>
      <c r="B6" s="13" t="inlineStr">
        <is>
          <t>الادارة العامة للطيران المدني</t>
        </is>
      </c>
      <c r="C6" s="13" t="inlineStr">
        <is>
          <t>Eiman Ashkanani</t>
        </is>
      </c>
      <c r="D6" s="13" t="inlineStr">
        <is>
          <t>خدمات إدارة المشاريع لتنفيذ مشاريع المخطط الهيلكي 2020 وإعداد العقود والدراسات ومتابعة المشغلين والمستثمرين في مطار الكويت الدولي</t>
        </is>
      </c>
      <c r="E6"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2026-09-13</t>
        </is>
      </c>
      <c r="K6" s="14" t="inlineStr">
        <is>
          <t>2026-12-08</t>
        </is>
      </c>
      <c r="L6" s="14" t="inlineStr">
        <is>
          <t>100000.000 KWD</t>
        </is>
      </c>
      <c r="M6" s="14" t="inlineStr">
        <is>
          <t>3500.000 KWD</t>
        </is>
      </c>
      <c r="N6" s="21" t="inlineStr">
        <is>
          <t>NEW</t>
        </is>
      </c>
      <c r="O6" s="14" t="inlineStr">
        <is>
          <t>غير متوافقة مع اختصاصات KBM</t>
        </is>
      </c>
      <c r="P6" s="22">
        <f>HYPERLINK("https://capt.gov.kw/ar/tenders/opening-tenders/#card-9", "عرض المصدر")</f>
        <v/>
      </c>
    </row>
    <row r="7">
      <c r="A7" s="11" t="inlineStr">
        <is>
          <t>2026/35</t>
        </is>
      </c>
      <c r="B7" s="11" t="inlineStr">
        <is>
          <t>الجهاز المركزي لتكنولوجيا المعلومات</t>
        </is>
      </c>
      <c r="C7" s="11" t="inlineStr">
        <is>
          <t>Eiman Ashkanani</t>
        </is>
      </c>
      <c r="D7"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7"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85.0%</t>
        </is>
      </c>
      <c r="I7" s="12" t="inlineStr">
        <is>
          <t>government</t>
        </is>
      </c>
      <c r="J7" s="12" t="inlineStr">
        <is>
          <t>2026-09-27</t>
        </is>
      </c>
      <c r="K7" s="12" t="inlineStr">
        <is>
          <t>2026-10-15</t>
        </is>
      </c>
      <c r="L7" s="12" t="inlineStr">
        <is>
          <t>-</t>
        </is>
      </c>
      <c r="M7" s="12" t="inlineStr">
        <is>
          <t>75.0</t>
        </is>
      </c>
      <c r="N7" s="21" t="inlineStr">
        <is>
          <t>NEW</t>
        </is>
      </c>
      <c r="O7" s="12" t="inlineStr">
        <is>
          <t>فرصة استراتيجية رئيسية (موصى بالتقديم)</t>
        </is>
      </c>
      <c r="P7" s="23">
        <f>HYPERLINK("https://kuwaitalyawm.media.gov.kw/Online/ViewAdsHTML?id=171699&amp;no=1", "عرض المصدر")</f>
        <v/>
      </c>
    </row>
    <row r="8">
      <c r="A8" s="13" t="inlineStr">
        <is>
          <t>ممارسة 3/2026/2027</t>
        </is>
      </c>
      <c r="B8" s="13" t="inlineStr">
        <is>
          <t>الجهاز المركزي للمناقصات العامة</t>
        </is>
      </c>
      <c r="C8" s="13" t="inlineStr">
        <is>
          <t>Eiman Ashkanani</t>
        </is>
      </c>
      <c r="D8" s="13" t="inlineStr">
        <is>
          <t>تصميم وتطوير خدمات الموقع الإلكتروني والبرامج الذكية للجهاز المركزي للمناقصات العامة</t>
        </is>
      </c>
      <c r="E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28.0%</t>
        </is>
      </c>
      <c r="I8" s="14" t="inlineStr">
        <is>
          <t>government</t>
        </is>
      </c>
      <c r="J8" s="14" t="inlineStr">
        <is>
          <t>2026-09-13</t>
        </is>
      </c>
      <c r="K8" s="18" t="inlineStr">
        <is>
          <t>2026-10-06</t>
        </is>
      </c>
      <c r="L8" s="14" t="inlineStr">
        <is>
          <t>1000.000 KWD</t>
        </is>
      </c>
      <c r="M8" s="14" t="inlineStr">
        <is>
          <t>50.000 KWD</t>
        </is>
      </c>
      <c r="N8" s="21" t="inlineStr">
        <is>
          <t>NEW</t>
        </is>
      </c>
      <c r="O8" s="14" t="inlineStr">
        <is>
          <t>غير متوافقة مع اختصاصات KBM</t>
        </is>
      </c>
      <c r="P8" s="22">
        <f>HYPERLINK("https://capt.gov.kw/ar/tenders/opening-tenders/#card-0", "عرض المصدر")</f>
        <v/>
      </c>
    </row>
    <row r="9">
      <c r="A9" s="11" t="inlineStr">
        <is>
          <t>2/2026/2027</t>
        </is>
      </c>
      <c r="B9" s="11" t="inlineStr">
        <is>
          <t>الرئاسة العامة للحرس الوطني</t>
        </is>
      </c>
      <c r="C9" s="11" t="inlineStr">
        <is>
          <t>Eiman Ashkanani</t>
        </is>
      </c>
      <c r="D9" s="11" t="inlineStr">
        <is>
          <t>أعمال التظيف والعمالة لمنطقة التوسعة</t>
        </is>
      </c>
      <c r="E9" s="11" t="inlineStr">
        <is>
          <t>أعمال وتوريدات أعمال التظيف والعمالة لمنطقة التوسعة لصالح الرئاسة العامة للحرس الوطني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12" t="inlineStr">
        <is>
          <t>عام</t>
        </is>
      </c>
      <c r="H9" s="12" t="inlineStr">
        <is>
          <t>15.0%</t>
        </is>
      </c>
      <c r="I9" s="12" t="inlineStr">
        <is>
          <t>defense_and_security</t>
        </is>
      </c>
      <c r="J9" s="12" t="inlineStr">
        <is>
          <t>2026-09-27</t>
        </is>
      </c>
      <c r="K9" s="12" t="inlineStr">
        <is>
          <t>2026-10-27</t>
        </is>
      </c>
      <c r="L9" s="12" t="inlineStr">
        <is>
          <t>23000.000 KWD</t>
        </is>
      </c>
      <c r="M9" s="12" t="inlineStr">
        <is>
          <t>1000.000 KWD</t>
        </is>
      </c>
      <c r="N9" s="26" t="inlineStr">
        <is>
          <t>UNCHANGED</t>
        </is>
      </c>
      <c r="O9" s="12" t="inlineStr">
        <is>
          <t>غير متوافقة مع اختصاصات KBM</t>
        </is>
      </c>
      <c r="P9" s="23">
        <f>HYPERLINK("https://capt.gov.kw/ar/tenders/opening-tenders/#card-2", "عرض المصدر")</f>
        <v/>
      </c>
    </row>
    <row r="10">
      <c r="A10" s="13" t="inlineStr">
        <is>
          <t>2027/2026/12</t>
        </is>
      </c>
      <c r="B10" s="13" t="inlineStr">
        <is>
          <t>الرئاسـة العامة للحرس الوطني</t>
        </is>
      </c>
      <c r="C10" s="13" t="inlineStr">
        <is>
          <t>Eiman Ashkanani</t>
        </is>
      </c>
      <c r="D10" s="13" t="inlineStr">
        <is>
          <t>ممارسة رقم 2027/2026/12: الخاصة بصيانة أجهزة توزيع أحمال الشبكة</t>
        </is>
      </c>
      <c r="E10"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24" t="inlineStr">
        <is>
          <t>قطاع العمليات المدارة والدعم الفني متعدد الموردين</t>
        </is>
      </c>
      <c r="H10" s="14" t="inlineStr">
        <is>
          <t>64.0%</t>
        </is>
      </c>
      <c r="I10" s="14" t="inlineStr">
        <is>
          <t>government</t>
        </is>
      </c>
      <c r="J10" s="14" t="inlineStr">
        <is>
          <t>2026-09-27</t>
        </is>
      </c>
      <c r="K10" s="14" t="inlineStr">
        <is>
          <t>-</t>
        </is>
      </c>
      <c r="L10" s="14" t="inlineStr">
        <is>
          <t>-</t>
        </is>
      </c>
      <c r="M10" s="14" t="inlineStr">
        <is>
          <t>75.0</t>
        </is>
      </c>
      <c r="N10" s="21" t="inlineStr">
        <is>
          <t>NEW</t>
        </is>
      </c>
      <c r="O10" s="14" t="inlineStr">
        <is>
          <t>فرصة ICT متوافقة مع قدرات KBM</t>
        </is>
      </c>
      <c r="P10" s="22">
        <f>HYPERLINK("https://kuwaitalyawm.media.gov.kw/Online/ViewAdsHTML?id=171707&amp;no=1", "عرض المصدر")</f>
        <v/>
      </c>
    </row>
    <row r="11">
      <c r="A11" s="11" t="inlineStr">
        <is>
          <t>26/27-11</t>
        </is>
      </c>
      <c r="B11" s="11" t="inlineStr">
        <is>
          <t>الشركة الكويتية لتزويد الطائرات بالوقود</t>
        </is>
      </c>
      <c r="C11" s="11" t="inlineStr">
        <is>
          <t>Eiman Ashkanani</t>
        </is>
      </c>
      <c r="D11" s="11" t="inlineStr">
        <is>
          <t>مناقصة رقم 26/27-11 - الشركة الكويتية لتزويد الطائرات بالوقود</t>
        </is>
      </c>
      <c r="E11"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0.0%</t>
        </is>
      </c>
      <c r="I11" s="12" t="inlineStr">
        <is>
          <t>government</t>
        </is>
      </c>
      <c r="J11" s="12" t="inlineStr">
        <is>
          <t>2026-09-27</t>
        </is>
      </c>
      <c r="K11" s="12" t="inlineStr">
        <is>
          <t>-</t>
        </is>
      </c>
      <c r="L11" s="12" t="inlineStr">
        <is>
          <t>37400.0</t>
        </is>
      </c>
      <c r="M11" s="12" t="inlineStr">
        <is>
          <t>-</t>
        </is>
      </c>
      <c r="N11" s="21" t="inlineStr">
        <is>
          <t>NEW</t>
        </is>
      </c>
      <c r="O11" s="12" t="inlineStr">
        <is>
          <t>غير متوافقة مع اختصاصات KBM</t>
        </is>
      </c>
      <c r="P11" s="23">
        <f>HYPERLINK("https://kuwaitalyawm.media.gov.kw/Online/ViewAdsHTML?id=171719&amp;no=1", "عرض المصدر")</f>
        <v/>
      </c>
    </row>
    <row r="12">
      <c r="A12" s="13" t="inlineStr">
        <is>
          <t>2026/2025/15</t>
        </is>
      </c>
      <c r="B12" s="13" t="inlineStr">
        <is>
          <t>الشركة الكويتية لتزويد الطائرات بالوقود</t>
        </is>
      </c>
      <c r="C12" s="13" t="inlineStr">
        <is>
          <t>Eiman Ashkanani</t>
        </is>
      </c>
      <c r="D12" s="13" t="inlineStr">
        <is>
          <t>مناقصة رقم 2026/2025/15 - الشركة الكويتية لتزويد الطائرات بالوقود</t>
        </is>
      </c>
      <c r="E1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2026-08-23</t>
        </is>
      </c>
      <c r="K12" s="14" t="inlineStr">
        <is>
          <t>-</t>
        </is>
      </c>
      <c r="L12" s="14" t="inlineStr">
        <is>
          <t>19998.5</t>
        </is>
      </c>
      <c r="M12" s="14" t="inlineStr">
        <is>
          <t>-</t>
        </is>
      </c>
      <c r="N12" s="21" t="inlineStr">
        <is>
          <t>NEW</t>
        </is>
      </c>
      <c r="O12" s="14" t="inlineStr">
        <is>
          <t>غير متوافقة مع اختصاصات KBM</t>
        </is>
      </c>
      <c r="P12" s="22">
        <f>HYPERLINK("https://kuwaitalyawm.media.gov.kw/Online/ViewAdsHTML?id=167896&amp;no=1", "عرض المصدر")</f>
        <v/>
      </c>
    </row>
    <row r="13">
      <c r="A13" s="11" t="inlineStr">
        <is>
          <t>2024/2023/30</t>
        </is>
      </c>
      <c r="B13" s="11" t="inlineStr">
        <is>
          <t>الشركة الكويتية لتزويد الطائرات بالوقود</t>
        </is>
      </c>
      <c r="C13" s="11" t="inlineStr">
        <is>
          <t>Eiman Ashkanani</t>
        </is>
      </c>
      <c r="D1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0.0%</t>
        </is>
      </c>
      <c r="I13" s="12" t="inlineStr">
        <is>
          <t>government</t>
        </is>
      </c>
      <c r="J13" s="12" t="inlineStr">
        <is>
          <t>2026-08-23</t>
        </is>
      </c>
      <c r="K13" s="12" t="inlineStr">
        <is>
          <t>-</t>
        </is>
      </c>
      <c r="L13" s="12" t="inlineStr">
        <is>
          <t>-</t>
        </is>
      </c>
      <c r="M13" s="12" t="inlineStr">
        <is>
          <t>-</t>
        </is>
      </c>
      <c r="N13" s="21" t="inlineStr">
        <is>
          <t>NEW</t>
        </is>
      </c>
      <c r="O13" s="12" t="inlineStr">
        <is>
          <t>غير متوافقة مع اختصاصات KBM</t>
        </is>
      </c>
      <c r="P13" s="23">
        <f>HYPERLINK("https://kuwaitalyawm.media.gov.kw/Online/ViewAdsHTML?id=167897&amp;no=1", "عرض المصدر")</f>
        <v/>
      </c>
    </row>
    <row r="14">
      <c r="A14" s="13" t="inlineStr">
        <is>
          <t>25/26-38</t>
        </is>
      </c>
      <c r="B14" s="13" t="inlineStr">
        <is>
          <t>الشركة الكويتية لتزويد الطائرات بالوقود</t>
        </is>
      </c>
      <c r="C14" s="13" t="inlineStr">
        <is>
          <t>Eiman Ashkanani</t>
        </is>
      </c>
      <c r="D14" s="13" t="inlineStr">
        <is>
          <t>مناقصة رقم 25/26/38: تاريخ الاجتماع التمهيدي واخر موعد لشراء وثائق المناقصة</t>
        </is>
      </c>
      <c r="E14"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government</t>
        </is>
      </c>
      <c r="J14" s="14" t="inlineStr">
        <is>
          <t>2026-08-30</t>
        </is>
      </c>
      <c r="K14" s="14" t="inlineStr">
        <is>
          <t>2026-08-30</t>
        </is>
      </c>
      <c r="L14" s="14" t="inlineStr">
        <is>
          <t>1000.0</t>
        </is>
      </c>
      <c r="M14" s="14" t="inlineStr">
        <is>
          <t>100.0</t>
        </is>
      </c>
      <c r="N14" s="21" t="inlineStr">
        <is>
          <t>NEW</t>
        </is>
      </c>
      <c r="O14" s="14" t="inlineStr">
        <is>
          <t>غير متوافقة مع اختصاصات KBM</t>
        </is>
      </c>
      <c r="P14" s="22">
        <f>HYPERLINK("https://kuwaitalyawm.media.gov.kw/Online/ViewAdsHTML?id=171720&amp;no=1", "عرض المصدر")</f>
        <v/>
      </c>
    </row>
    <row r="15">
      <c r="A15" s="11" t="inlineStr">
        <is>
          <t>2026/2025/33</t>
        </is>
      </c>
      <c r="B15" s="11" t="inlineStr">
        <is>
          <t>الشركة الكويتية لتزويد الطائرات بالوقود</t>
        </is>
      </c>
      <c r="C15" s="11" t="inlineStr">
        <is>
          <t>Eiman Ashkanani</t>
        </is>
      </c>
      <c r="D15"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5"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government</t>
        </is>
      </c>
      <c r="J15" s="12" t="inlineStr">
        <is>
          <t>2026-08-30</t>
        </is>
      </c>
      <c r="K15" s="12" t="inlineStr">
        <is>
          <t>2026-09-15</t>
        </is>
      </c>
      <c r="L15" s="12" t="inlineStr">
        <is>
          <t>-</t>
        </is>
      </c>
      <c r="M15" s="12" t="inlineStr">
        <is>
          <t>-</t>
        </is>
      </c>
      <c r="N15" s="21" t="inlineStr">
        <is>
          <t>NEW</t>
        </is>
      </c>
      <c r="O15" s="12" t="inlineStr">
        <is>
          <t>غير متوافقة مع اختصاصات KBM</t>
        </is>
      </c>
      <c r="P15" s="23">
        <f>HYPERLINK("https://kuwaitalyawm.media.gov.kw/Online/ViewAdsHTML?id=168756&amp;no=1", "عرض المصدر")</f>
        <v/>
      </c>
    </row>
    <row r="16">
      <c r="A16" s="13" t="inlineStr">
        <is>
          <t>26/25/33</t>
        </is>
      </c>
      <c r="B16" s="13" t="inlineStr">
        <is>
          <t>الشركة الكويتية لتزويد الطائرات بالوقود</t>
        </is>
      </c>
      <c r="C16" s="13" t="inlineStr">
        <is>
          <t>Eiman Ashkanani</t>
        </is>
      </c>
      <c r="D16"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16"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2026-09-22</t>
        </is>
      </c>
      <c r="L16" s="14" t="inlineStr">
        <is>
          <t>-</t>
        </is>
      </c>
      <c r="M16" s="14" t="inlineStr">
        <is>
          <t>-</t>
        </is>
      </c>
      <c r="N16" s="21" t="inlineStr">
        <is>
          <t>NEW</t>
        </is>
      </c>
      <c r="O16" s="14" t="inlineStr">
        <is>
          <t>غير متوافقة مع اختصاصات KBM</t>
        </is>
      </c>
      <c r="P16" s="22">
        <f>HYPERLINK("https://kuwaitalyawm.media.gov.kw/Online/ViewAdsHTML?id=171722&amp;no=1", "عرض المصدر")</f>
        <v/>
      </c>
    </row>
    <row r="17">
      <c r="A17" s="11" t="inlineStr">
        <is>
          <t>23/24-30</t>
        </is>
      </c>
      <c r="B17" s="11" t="inlineStr">
        <is>
          <t>الشركة الكويتية لتزويد الطائرات بالوقود</t>
        </is>
      </c>
      <c r="C17" s="11" t="inlineStr">
        <is>
          <t>Eiman Ashkanani</t>
        </is>
      </c>
      <c r="D17"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17"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2026-09-13</t>
        </is>
      </c>
      <c r="K17" s="12" t="inlineStr">
        <is>
          <t>2026-10-13</t>
        </is>
      </c>
      <c r="L17" s="12" t="inlineStr">
        <is>
          <t>-</t>
        </is>
      </c>
      <c r="M17" s="12" t="inlineStr">
        <is>
          <t>-</t>
        </is>
      </c>
      <c r="N17" s="21" t="inlineStr">
        <is>
          <t>NEW</t>
        </is>
      </c>
      <c r="O17" s="12" t="inlineStr">
        <is>
          <t>غير متوافقة مع اختصاصات KBM</t>
        </is>
      </c>
      <c r="P17" s="23">
        <f>HYPERLINK("https://kuwaitalyawm.media.gov.kw/Online/ViewAdsHTML?id=171721&amp;no=1", "عرض المصدر")</f>
        <v/>
      </c>
    </row>
    <row r="18">
      <c r="A18" s="13" t="inlineStr">
        <is>
          <t>CZ/LNGI/MP/012</t>
        </is>
      </c>
      <c r="B18" s="13" t="inlineStr">
        <is>
          <t>الشركة الكويتية للصناعات البترولية المتكاملة</t>
        </is>
      </c>
      <c r="C18" s="13" t="inlineStr">
        <is>
          <t>Eiman Ashkanani</t>
        </is>
      </c>
      <c r="D1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2026-12-22</t>
        </is>
      </c>
      <c r="L18" s="14" t="inlineStr">
        <is>
          <t>450000.000 KWD</t>
        </is>
      </c>
      <c r="M18" s="14" t="inlineStr">
        <is>
          <t>5000.000 KWD</t>
        </is>
      </c>
      <c r="N18" s="26" t="inlineStr">
        <is>
          <t>UNCHANGED</t>
        </is>
      </c>
      <c r="O18" s="14" t="inlineStr">
        <is>
          <t>غير متوافقة مع اختصاصات KBM</t>
        </is>
      </c>
      <c r="P18" s="22">
        <f>HYPERLINK("https://capt.gov.kw/ar/tenders/opening-tenders/#card-4", "عرض المصدر")</f>
        <v/>
      </c>
    </row>
    <row r="19">
      <c r="A19" s="11" t="inlineStr">
        <is>
          <t>HO/CC066-R0/SV26</t>
        </is>
      </c>
      <c r="B19" s="11" t="inlineStr">
        <is>
          <t>الشركة الكويتية لنفط الخليج</t>
        </is>
      </c>
      <c r="C19" s="11" t="inlineStr">
        <is>
          <t>Eiman Ashkanani</t>
        </is>
      </c>
      <c r="D19" s="11" t="inlineStr">
        <is>
          <t>مناقصة رقم HO/CC066-R0/SV26 - الشركة الكويتية لنفط الخليج</t>
        </is>
      </c>
      <c r="E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government</t>
        </is>
      </c>
      <c r="J19" s="12" t="inlineStr">
        <is>
          <t>2026-08-30</t>
        </is>
      </c>
      <c r="K19" s="12" t="inlineStr">
        <is>
          <t>2026-12-01</t>
        </is>
      </c>
      <c r="L19" s="12" t="inlineStr">
        <is>
          <t>50000.0</t>
        </is>
      </c>
      <c r="M19" s="12" t="inlineStr">
        <is>
          <t>-</t>
        </is>
      </c>
      <c r="N19" s="21" t="inlineStr">
        <is>
          <t>NEW</t>
        </is>
      </c>
      <c r="O19" s="12" t="inlineStr">
        <is>
          <t>غير متوافقة مع اختصاصات KBM</t>
        </is>
      </c>
      <c r="P19" s="23">
        <f>HYPERLINK("https://kuwaitalyawm.media.gov.kw/Online/ViewAdsHTML?id=168757&amp;no=1", "عرض المصدر")</f>
        <v/>
      </c>
    </row>
    <row r="20">
      <c r="A20" s="13" t="inlineStr">
        <is>
          <t>HO/TC146000/R0/PM&amp;E26</t>
        </is>
      </c>
      <c r="B20" s="13" t="inlineStr">
        <is>
          <t>الشركة الكويتية لنفط الخليج</t>
        </is>
      </c>
      <c r="C20" s="13" t="inlineStr">
        <is>
          <t>Eiman Ashkanani</t>
        </is>
      </c>
      <c r="D20" s="13" t="inlineStr">
        <is>
          <t>مناقصة رقم HO/TC146000/R0/PM&amp;E26 - الشركة الكويتية لنفط الخليج</t>
        </is>
      </c>
      <c r="E2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0.0%</t>
        </is>
      </c>
      <c r="I20" s="14" t="inlineStr">
        <is>
          <t>government</t>
        </is>
      </c>
      <c r="J20" s="14" t="inlineStr">
        <is>
          <t>2026-08-23</t>
        </is>
      </c>
      <c r="K20" s="14" t="inlineStr">
        <is>
          <t>2026-12-29</t>
        </is>
      </c>
      <c r="L20" s="14" t="inlineStr">
        <is>
          <t>10000000.0</t>
        </is>
      </c>
      <c r="M20" s="14" t="inlineStr">
        <is>
          <t>-</t>
        </is>
      </c>
      <c r="N20" s="21" t="inlineStr">
        <is>
          <t>NEW</t>
        </is>
      </c>
      <c r="O20" s="14" t="inlineStr">
        <is>
          <t>غير متوافقة مع اختصاصات KBM</t>
        </is>
      </c>
      <c r="P20" s="22">
        <f>HYPERLINK("https://kuwaitalyawm.media.gov.kw/Online/ViewAdsHTML?id=167899&amp;no=1", "عرض المصدر")</f>
        <v/>
      </c>
    </row>
    <row r="21">
      <c r="A21" s="11"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39.0%</t>
        </is>
      </c>
      <c r="I21" s="12" t="inlineStr">
        <is>
          <t>banking_and_finance</t>
        </is>
      </c>
      <c r="J21" s="12" t="inlineStr">
        <is>
          <t>2026-09-06</t>
        </is>
      </c>
      <c r="K21" s="12" t="inlineStr">
        <is>
          <t>2026-12-01</t>
        </is>
      </c>
      <c r="L21" s="12" t="inlineStr">
        <is>
          <t>3500.000 KWD</t>
        </is>
      </c>
      <c r="M21" s="12" t="inlineStr">
        <is>
          <t>150.000 KWD</t>
        </is>
      </c>
      <c r="N21" s="21" t="inlineStr">
        <is>
          <t>NEW</t>
        </is>
      </c>
      <c r="O21" s="12" t="inlineStr">
        <is>
          <t>فرصة تتطلب شراكة أو دراسة نطاق</t>
        </is>
      </c>
      <c r="P21" s="23">
        <f>HYPERLINK("https://capt.gov.kw/ar/tenders/opening-tenders/#card-7", "عرض المصدر")</f>
        <v/>
      </c>
    </row>
    <row r="22">
      <c r="A22" s="13" t="inlineStr">
        <is>
          <t>2027/2026/1529</t>
        </is>
      </c>
      <c r="B22" s="13" t="inlineStr">
        <is>
          <t>المؤسسة العامة للرعاية السكنية</t>
        </is>
      </c>
      <c r="C22" s="13" t="inlineStr">
        <is>
          <t>Eiman Ashkanani</t>
        </is>
      </c>
      <c r="D22" s="13" t="inlineStr">
        <is>
          <t>مناقصة رقم 2027/2026/1529 - المؤسسة العامة للرعاية السكنية</t>
        </is>
      </c>
      <c r="E22" s="13" t="inlineStr">
        <is>
          <t>أعمال وتوريدات مناقصة رقم 2027/2026/1529 لصالح المؤسسة العامة للرعاية السكنية وفقاً للشروط والمواصفات المعتمدة في وثائق الطرح.</t>
        </is>
      </c>
      <c r="F22" s="13" t="inlineStr">
        <is>
          <t>• - ورقتا صيغة العطاء وإجمالي قيمة العطاء (نسخاً أصلية) مستكملة البيانات ومختومة وموقعة.</t>
        </is>
      </c>
      <c r="G22" s="14" t="inlineStr">
        <is>
          <t>عام</t>
        </is>
      </c>
      <c r="H22" s="14" t="inlineStr">
        <is>
          <t>0.0%</t>
        </is>
      </c>
      <c r="I22" s="14" t="inlineStr">
        <is>
          <t>government</t>
        </is>
      </c>
      <c r="J22" s="14" t="inlineStr">
        <is>
          <t>2026-09-13</t>
        </is>
      </c>
      <c r="K22" s="14" t="inlineStr">
        <is>
          <t>-</t>
        </is>
      </c>
      <c r="L22" s="14" t="inlineStr">
        <is>
          <t>6000.0</t>
        </is>
      </c>
      <c r="M22" s="14" t="inlineStr">
        <is>
          <t>150.0</t>
        </is>
      </c>
      <c r="N22" s="21" t="inlineStr">
        <is>
          <t>NEW</t>
        </is>
      </c>
      <c r="O22" s="14" t="inlineStr">
        <is>
          <t>غير متوافقة مع اختصاصات KBM</t>
        </is>
      </c>
      <c r="P22" s="22">
        <f>HYPERLINK("https://kuwaitalyawm.media.gov.kw/Online/ViewAdsHTML?id=170492&amp;no=1", "عرض المصدر")</f>
        <v/>
      </c>
    </row>
    <row r="23">
      <c r="A23" s="11" t="inlineStr">
        <is>
          <t>2027/2026/1434</t>
        </is>
      </c>
      <c r="B23" s="11" t="inlineStr">
        <is>
          <t>المؤسسة العامة للرعاية السكنية</t>
        </is>
      </c>
      <c r="C23" s="11" t="inlineStr">
        <is>
          <t>Eiman Ashkanani</t>
        </is>
      </c>
      <c r="D23" s="11" t="inlineStr">
        <is>
          <t>مناقصة رقم 2027/2026/1434 - المؤسسة العامة للرعاية السكنية</t>
        </is>
      </c>
      <c r="E23" s="11" t="inlineStr">
        <is>
          <t>أعمال وتوريدات مناقصة رقم 2027/2026/1434 لصالح المؤسسة العامة للرعاية السكنية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2026-08-23</t>
        </is>
      </c>
      <c r="K23" s="12" t="inlineStr">
        <is>
          <t>2026-08-26</t>
        </is>
      </c>
      <c r="L23" s="12" t="inlineStr">
        <is>
          <t>-</t>
        </is>
      </c>
      <c r="M23" s="12" t="inlineStr">
        <is>
          <t>-</t>
        </is>
      </c>
      <c r="N23" s="21" t="inlineStr">
        <is>
          <t>NEW</t>
        </is>
      </c>
      <c r="O23" s="12" t="inlineStr">
        <is>
          <t>غير متوافقة مع اختصاصات KBM</t>
        </is>
      </c>
      <c r="P23" s="23">
        <f>HYPERLINK("https://kuwaitalyawm.media.gov.kw/Online/ViewAdsHTML?id=167881&amp;no=1", "عرض المصدر")</f>
        <v/>
      </c>
    </row>
    <row r="24">
      <c r="A24" s="13" t="inlineStr">
        <is>
          <t>2027/2026/1435</t>
        </is>
      </c>
      <c r="B24" s="13" t="inlineStr">
        <is>
          <t>المؤسسة العامة للرعاية السكنية</t>
        </is>
      </c>
      <c r="C24" s="13" t="inlineStr">
        <is>
          <t>Eiman Ashkanani</t>
        </is>
      </c>
      <c r="D24" s="13" t="inlineStr">
        <is>
          <t>مناقصة رقم 2027/2026/1435 - المؤسسة العامة للرعاية السكنية</t>
        </is>
      </c>
      <c r="E24" s="13" t="inlineStr">
        <is>
          <t>أعمال وتوريدات مناقصة رقم 2027/2026/1435 لصالح المؤسسة العامة للرعاية السكنية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2026-08-23</t>
        </is>
      </c>
      <c r="K24" s="14" t="inlineStr">
        <is>
          <t>2026-08-26</t>
        </is>
      </c>
      <c r="L24" s="14" t="inlineStr">
        <is>
          <t>-</t>
        </is>
      </c>
      <c r="M24" s="14" t="inlineStr">
        <is>
          <t>-</t>
        </is>
      </c>
      <c r="N24" s="21" t="inlineStr">
        <is>
          <t>NEW</t>
        </is>
      </c>
      <c r="O24" s="14" t="inlineStr">
        <is>
          <t>غير متوافقة مع اختصاصات KBM</t>
        </is>
      </c>
      <c r="P24" s="22">
        <f>HYPERLINK("https://kuwaitalyawm.media.gov.kw/Online/ViewAdsHTML?id=167882&amp;no=1", "عرض المصدر")</f>
        <v/>
      </c>
    </row>
    <row r="25">
      <c r="A25" s="11" t="inlineStr">
        <is>
          <t>2027/2026/1302</t>
        </is>
      </c>
      <c r="B25" s="11" t="inlineStr">
        <is>
          <t>المؤسسة العامة للرعاية السكنية</t>
        </is>
      </c>
      <c r="C25" s="11" t="inlineStr">
        <is>
          <t>Eiman Ashkanani</t>
        </is>
      </c>
      <c r="D25" s="11" t="inlineStr">
        <is>
          <t>مناقصة رقم 2027/2026/1302: أعمال إنشاء وإنـجاز وصيانة طبقة الاسفلت السطحية</t>
        </is>
      </c>
      <c r="E25" s="11" t="inlineStr">
        <is>
          <t>تنفيذ الأعمال المدنية والإنشائية والترميم والصيانة العامة للمباني والمنشآت والمرافق التابعة للجهة.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28.0%</t>
        </is>
      </c>
      <c r="I25" s="12" t="inlineStr">
        <is>
          <t>government</t>
        </is>
      </c>
      <c r="J25" s="12" t="inlineStr">
        <is>
          <t>2026-08-23</t>
        </is>
      </c>
      <c r="K25" s="12" t="inlineStr">
        <is>
          <t>2026-09-13</t>
        </is>
      </c>
      <c r="L25" s="12" t="inlineStr">
        <is>
          <t>-</t>
        </is>
      </c>
      <c r="M25" s="12" t="inlineStr">
        <is>
          <t>-</t>
        </is>
      </c>
      <c r="N25" s="21" t="inlineStr">
        <is>
          <t>NEW</t>
        </is>
      </c>
      <c r="O25" s="12" t="inlineStr">
        <is>
          <t>غير متوافقة مع اختصاصات KBM</t>
        </is>
      </c>
      <c r="P25" s="23">
        <f>HYPERLINK("https://kuwaitalyawm.media.gov.kw/Online/ViewAdsHTML?id=167880&amp;no=1", "عرض المصدر")</f>
        <v/>
      </c>
    </row>
    <row r="26">
      <c r="A26" s="13" t="inlineStr">
        <is>
          <t>2027/2026/1532</t>
        </is>
      </c>
      <c r="B26" s="13" t="inlineStr">
        <is>
          <t>المؤسسة العامة للرعاية السكنية</t>
        </is>
      </c>
      <c r="C26" s="13" t="inlineStr">
        <is>
          <t>Eiman Ashkanani</t>
        </is>
      </c>
      <c r="D26" s="13" t="inlineStr">
        <is>
          <t>مناقصة رقم 2027/2026/1532: تاريخ الإقفال وتقديم العطاءات: 24/9/2026 بدلا من 6/9/2026م.</t>
        </is>
      </c>
      <c r="E26" s="13" t="inlineStr">
        <is>
          <t>أعمال وتوريدات 24/9/2026 بدلا من 6/9/2026م. لصالح المؤسسة العامة للرعاية السكنية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28.0%</t>
        </is>
      </c>
      <c r="I26" s="14" t="inlineStr">
        <is>
          <t>government</t>
        </is>
      </c>
      <c r="J26" s="14" t="inlineStr">
        <is>
          <t>2026-09-06</t>
        </is>
      </c>
      <c r="K26" s="14" t="inlineStr">
        <is>
          <t>2026-09-24</t>
        </is>
      </c>
      <c r="L26" s="14" t="inlineStr">
        <is>
          <t>-</t>
        </is>
      </c>
      <c r="M26" s="14" t="inlineStr">
        <is>
          <t>-</t>
        </is>
      </c>
      <c r="N26" s="21" t="inlineStr">
        <is>
          <t>NEW</t>
        </is>
      </c>
      <c r="O26" s="14" t="inlineStr">
        <is>
          <t>غير متوافقة مع اختصاصات KBM</t>
        </is>
      </c>
      <c r="P26" s="22">
        <f>HYPERLINK("https://kuwaitalyawm.media.gov.kw/Online/ViewAdsHTML?id=169402&amp;no=1", "عرض المصدر")</f>
        <v/>
      </c>
    </row>
    <row r="27">
      <c r="A27" s="11" t="inlineStr">
        <is>
          <t>2027/2026/1443</t>
        </is>
      </c>
      <c r="B27" s="11" t="inlineStr">
        <is>
          <t>المؤسسة العامة للرعاية السكنية</t>
        </is>
      </c>
      <c r="C27" s="11" t="inlineStr">
        <is>
          <t>Eiman Ashkanani</t>
        </is>
      </c>
      <c r="D27" s="11" t="inlineStr">
        <is>
          <t>مناقصة رقم 2027/2026/1443 - المؤسسة العامة للرعاية السكنية</t>
        </is>
      </c>
      <c r="E27" s="11" t="inlineStr">
        <is>
          <t>أعمال وتوريدات مناقصة رقم 2027/2026/1443 لصالح المؤسسة العامة للرعاية السكنية وفقاً للشروط والمواصفات المعتمدة في وثائق الطرح.</t>
        </is>
      </c>
      <c r="F2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7" s="12" t="inlineStr">
        <is>
          <t>عام</t>
        </is>
      </c>
      <c r="H27" s="12" t="inlineStr">
        <is>
          <t>28.0%</t>
        </is>
      </c>
      <c r="I27" s="12" t="inlineStr">
        <is>
          <t>government</t>
        </is>
      </c>
      <c r="J27" s="12" t="inlineStr">
        <is>
          <t>2026-08-30</t>
        </is>
      </c>
      <c r="K27" s="12" t="inlineStr">
        <is>
          <t>2026-09-30</t>
        </is>
      </c>
      <c r="L27" s="12" t="inlineStr">
        <is>
          <t>500000.0</t>
        </is>
      </c>
      <c r="M27" s="12" t="inlineStr">
        <is>
          <t>3500.0</t>
        </is>
      </c>
      <c r="N27" s="21" t="inlineStr">
        <is>
          <t>NEW</t>
        </is>
      </c>
      <c r="O27" s="12" t="inlineStr">
        <is>
          <t>غير متوافقة مع اختصاصات KBM</t>
        </is>
      </c>
      <c r="P27" s="23">
        <f>HYPERLINK("https://kuwaitalyawm.media.gov.kw/Online/ViewAdsHTML?id=171709&amp;no=1", "عرض المصدر")</f>
        <v/>
      </c>
    </row>
    <row r="28">
      <c r="A28" s="13" t="inlineStr">
        <is>
          <t>2027/2026/1444</t>
        </is>
      </c>
      <c r="B28" s="13" t="inlineStr">
        <is>
          <t>المؤسسة العامة للرعاية السكنية</t>
        </is>
      </c>
      <c r="C28" s="13" t="inlineStr">
        <is>
          <t>Eiman Ashkanani</t>
        </is>
      </c>
      <c r="D28" s="13" t="inlineStr">
        <is>
          <t>مناقصة رقم 2027/2026/1444 - المؤسسة العامة للرعاية السكنية</t>
        </is>
      </c>
      <c r="E28" s="13" t="inlineStr">
        <is>
          <t>أعمال وتوريدات مناقصة رقم 2027/2026/1444 لصالح المؤسسة العامة للرعاية السكنية وفقاً للشروط والمواصفات المعتمدة في وثائق الطرح.</t>
        </is>
      </c>
      <c r="F2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8" s="14" t="inlineStr">
        <is>
          <t>عام</t>
        </is>
      </c>
      <c r="H28" s="14" t="inlineStr">
        <is>
          <t>28.0%</t>
        </is>
      </c>
      <c r="I28" s="14" t="inlineStr">
        <is>
          <t>government</t>
        </is>
      </c>
      <c r="J28" s="14" t="inlineStr">
        <is>
          <t>2026-08-30</t>
        </is>
      </c>
      <c r="K28" s="14" t="inlineStr">
        <is>
          <t>2026-09-30</t>
        </is>
      </c>
      <c r="L28" s="14" t="inlineStr">
        <is>
          <t>500000.0</t>
        </is>
      </c>
      <c r="M28" s="14" t="inlineStr">
        <is>
          <t>3500.0</t>
        </is>
      </c>
      <c r="N28" s="21" t="inlineStr">
        <is>
          <t>NEW</t>
        </is>
      </c>
      <c r="O28" s="14" t="inlineStr">
        <is>
          <t>غير متوافقة مع اختصاصات KBM</t>
        </is>
      </c>
      <c r="P28" s="22">
        <f>HYPERLINK("https://kuwaitalyawm.media.gov.kw/Online/ViewAdsHTML?id=171710&amp;no=1", "عرض المصدر")</f>
        <v/>
      </c>
    </row>
    <row r="29">
      <c r="A29" s="11" t="inlineStr">
        <is>
          <t>2027/2026/1526</t>
        </is>
      </c>
      <c r="B29" s="11" t="inlineStr">
        <is>
          <t>المؤسسة العامة للرعاية السكنية</t>
        </is>
      </c>
      <c r="C29" s="11" t="inlineStr">
        <is>
          <t>Eiman Ashkanani</t>
        </is>
      </c>
      <c r="D29" s="11" t="inlineStr">
        <is>
          <t>مناقصة رقم 2027/2026/1526 - المؤسسة العامة للرعاية السكنية</t>
        </is>
      </c>
      <c r="E29" s="11" t="inlineStr">
        <is>
          <t>أعمال وتوريدات مناقصة رقم 2027/2026/1526 لصالح المؤسسة العامة للرعاية السكنية وفقاً للشروط والمواصفات المعتمدة في وثائق الطرح.</t>
        </is>
      </c>
      <c r="F2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29" s="12" t="inlineStr">
        <is>
          <t>عام</t>
        </is>
      </c>
      <c r="H29" s="12" t="inlineStr">
        <is>
          <t>28.0%</t>
        </is>
      </c>
      <c r="I29" s="12" t="inlineStr">
        <is>
          <t>government</t>
        </is>
      </c>
      <c r="J29" s="12" t="inlineStr">
        <is>
          <t>2026-09-13</t>
        </is>
      </c>
      <c r="K29" s="18" t="inlineStr">
        <is>
          <t>2026-10-11</t>
        </is>
      </c>
      <c r="L29" s="12" t="inlineStr">
        <is>
          <t>10000.0</t>
        </is>
      </c>
      <c r="M29" s="12" t="inlineStr">
        <is>
          <t>300.0</t>
        </is>
      </c>
      <c r="N29" s="21" t="inlineStr">
        <is>
          <t>NEW</t>
        </is>
      </c>
      <c r="O29" s="12" t="inlineStr">
        <is>
          <t>غير متوافقة مع اختصاصات KBM</t>
        </is>
      </c>
      <c r="P29" s="23">
        <f>HYPERLINK("https://kuwaitalyawm.media.gov.kw/Online/ViewAdsHTML?id=170493&amp;no=1", "عرض المصدر")</f>
        <v/>
      </c>
    </row>
    <row r="30">
      <c r="A30" s="13" t="inlineStr">
        <is>
          <t>ه ز / م م/5/2026/2027</t>
        </is>
      </c>
      <c r="B30" s="13" t="inlineStr">
        <is>
          <t>الهيئة العامة لشؤون الزراعة والثروة السمكية</t>
        </is>
      </c>
      <c r="C30" s="13" t="inlineStr">
        <is>
          <t>Eiman Ashkanani</t>
        </is>
      </c>
      <c r="D30" s="13" t="inlineStr">
        <is>
          <t>تنفيذ و تطوير و صيانة الزراعات التجميلية و الري في الطرق السريعة و الخارجية (القطاع الشمالي)</t>
        </is>
      </c>
      <c r="E3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2026-09-20</t>
        </is>
      </c>
      <c r="K30" s="14" t="inlineStr">
        <is>
          <t>2026-12-15</t>
        </is>
      </c>
      <c r="L30" s="14" t="inlineStr">
        <is>
          <t>23000.000 KWD</t>
        </is>
      </c>
      <c r="M30" s="14" t="inlineStr">
        <is>
          <t>1000.000 KWD</t>
        </is>
      </c>
      <c r="N30" s="26" t="inlineStr">
        <is>
          <t>UNCHANGED</t>
        </is>
      </c>
      <c r="O30" s="14" t="inlineStr">
        <is>
          <t>غير متوافقة مع اختصاصات KBM</t>
        </is>
      </c>
      <c r="P30" s="22">
        <f>HYPERLINK("https://capt.gov.kw/ar/tenders/opening-tenders/#card-2", "عرض المصدر")</f>
        <v/>
      </c>
    </row>
    <row r="31">
      <c r="A31" s="11" t="inlineStr">
        <is>
          <t>هـ ز / م م / 9/2025/2026</t>
        </is>
      </c>
      <c r="B31" s="11" t="inlineStr">
        <is>
          <t>الهيئة العامة لشؤون الزراعة والثروة السمكية</t>
        </is>
      </c>
      <c r="C31" s="11" t="inlineStr">
        <is>
          <t>Eiman Ashkanani</t>
        </is>
      </c>
      <c r="D31" s="11" t="inlineStr">
        <is>
          <t>شراء و توريد أغذية متنوعة لحديقة الحيوان بالعمرية</t>
        </is>
      </c>
      <c r="E31"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12" t="inlineStr">
        <is>
          <t>عام</t>
        </is>
      </c>
      <c r="H31" s="12" t="inlineStr">
        <is>
          <t>0.0%</t>
        </is>
      </c>
      <c r="I31" s="12" t="inlineStr">
        <is>
          <t>government</t>
        </is>
      </c>
      <c r="J31" s="12" t="inlineStr">
        <is>
          <t>2026-09-27</t>
        </is>
      </c>
      <c r="K31" s="12" t="inlineStr">
        <is>
          <t>2026-12-22</t>
        </is>
      </c>
      <c r="L31" s="12" t="inlineStr">
        <is>
          <t>7500.000 KWD</t>
        </is>
      </c>
      <c r="M31" s="12" t="inlineStr">
        <is>
          <t>1000.000 KWD</t>
        </is>
      </c>
      <c r="N31" s="26" t="inlineStr">
        <is>
          <t>UNCHANGED</t>
        </is>
      </c>
      <c r="O31" s="12" t="inlineStr">
        <is>
          <t>غير متوافقة مع اختصاصات KBM</t>
        </is>
      </c>
      <c r="P31" s="23">
        <f>HYPERLINK("https://capt.gov.kw/ar/tenders/opening-tenders/#card-7", "عرض المصدر")</f>
        <v/>
      </c>
    </row>
    <row r="32">
      <c r="A32" s="13" t="inlineStr">
        <is>
          <t>2026/2025/6</t>
        </is>
      </c>
      <c r="B32" s="13" t="inlineStr">
        <is>
          <t>الهيئة العامة للاتصالات وتقنية المعلومات</t>
        </is>
      </c>
      <c r="C32" s="13" t="inlineStr">
        <is>
          <t>Eiman Ashkanani</t>
        </is>
      </c>
      <c r="D32" s="13" t="inlineStr">
        <is>
          <t>مناقصة رقم 2026/2025/6: بشأن مشروع تقديم خدمات النظافة والحراسة والمراسلين</t>
        </is>
      </c>
      <c r="E32" s="13" t="inlineStr">
        <is>
          <t>توفير خدمات وأعمال النظافة العامة والشاملة للمباني والمرافق وتوفير العمالة والمعدات والمستهلكات اللازمة.</t>
        </is>
      </c>
      <c r="F32"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 غير قابلة للتجزئة ) ولا يحق لمقدم العطاء تقديم عروض بديلة.
• المقابل المادي للحصول على نسخة من وثائق الممارسة يتمثل في ( 75 ) خمسة
• و سبعون دينار كويتي لاغير.</t>
        </is>
      </c>
      <c r="G32" s="14" t="inlineStr">
        <is>
          <t>عام</t>
        </is>
      </c>
      <c r="H32" s="14" t="inlineStr">
        <is>
          <t>0.0%</t>
        </is>
      </c>
      <c r="I32" s="14" t="inlineStr">
        <is>
          <t>other</t>
        </is>
      </c>
      <c r="J32" s="14" t="inlineStr">
        <is>
          <t>2026-08-23</t>
        </is>
      </c>
      <c r="K32" s="14" t="inlineStr">
        <is>
          <t>2026-09-16</t>
        </is>
      </c>
      <c r="L32" s="14" t="inlineStr">
        <is>
          <t>504.5</t>
        </is>
      </c>
      <c r="M32" s="14" t="inlineStr">
        <is>
          <t>504.5</t>
        </is>
      </c>
      <c r="N32" s="21" t="inlineStr">
        <is>
          <t>NEW</t>
        </is>
      </c>
      <c r="O32" s="14" t="inlineStr">
        <is>
          <t>غير متوافقة مع اختصاصات KBM</t>
        </is>
      </c>
      <c r="P32" s="22">
        <f>HYPERLINK("https://kuwaitalyawm.media.gov.kw/flip/index?id=5589&amp;no=178", "عرض المصدر")</f>
        <v/>
      </c>
    </row>
    <row r="33">
      <c r="A33" s="11" t="inlineStr">
        <is>
          <t>2030/2027/327</t>
        </is>
      </c>
      <c r="B33" s="11" t="inlineStr">
        <is>
          <t>الهيئة العامة للاستثمار</t>
        </is>
      </c>
      <c r="C33" s="11" t="inlineStr">
        <is>
          <t>Eiman Ashkanani</t>
        </is>
      </c>
      <c r="D33" s="11" t="inlineStr">
        <is>
          <t>ممارسة رقم 2030/2027/327: شراء جهاز توزيع الأحمال (App Load Balancer)</t>
        </is>
      </c>
      <c r="E33" s="11" t="inlineStr">
        <is>
          <t>أعمال وتوريدات شراء جهاز توزيع الأحمال (App Load Balancer) لصالح الهيئة العامة للاستثمار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1500.0</t>
        </is>
      </c>
      <c r="M33" s="12" t="inlineStr">
        <is>
          <t>75.0</t>
        </is>
      </c>
      <c r="N33" s="21" t="inlineStr">
        <is>
          <t>NEW</t>
        </is>
      </c>
      <c r="O33" s="12" t="inlineStr">
        <is>
          <t>غير متوافقة مع اختصاصات KBM</t>
        </is>
      </c>
      <c r="P33" s="23">
        <f>HYPERLINK("https://kuwaitalyawm.media.gov.kw/Online/ViewAdsHTML?id=171676&amp;no=1", "عرض المصدر")</f>
        <v/>
      </c>
    </row>
    <row r="34">
      <c r="A34" s="13" t="inlineStr">
        <is>
          <t>2027/2026/3</t>
        </is>
      </c>
      <c r="B34" s="13" t="inlineStr">
        <is>
          <t>الهيئة العامة للبيئة</t>
        </is>
      </c>
      <c r="C34" s="13" t="inlineStr">
        <is>
          <t>Eiman Ashkanani</t>
        </is>
      </c>
      <c r="D34" s="13" t="inlineStr">
        <is>
          <t>ممارسة رقم 2027/2026/3: توفير خدمات تقنية المعلومات والصيانة والدعم الفني</t>
        </is>
      </c>
      <c r="E34"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24" t="inlineStr">
        <is>
          <t>قطاع العمليات المدارة والدعم الفني متعدد الموردين</t>
        </is>
      </c>
      <c r="H34" s="14" t="inlineStr">
        <is>
          <t>64.0%</t>
        </is>
      </c>
      <c r="I34" s="14" t="inlineStr">
        <is>
          <t>government</t>
        </is>
      </c>
      <c r="J34" s="14" t="inlineStr">
        <is>
          <t>2026-09-27</t>
        </is>
      </c>
      <c r="K34" s="14" t="inlineStr">
        <is>
          <t>2026-10-27</t>
        </is>
      </c>
      <c r="L34" s="14" t="inlineStr">
        <is>
          <t>-</t>
        </is>
      </c>
      <c r="M34" s="14" t="inlineStr">
        <is>
          <t>30.0</t>
        </is>
      </c>
      <c r="N34" s="21" t="inlineStr">
        <is>
          <t>NEW</t>
        </is>
      </c>
      <c r="O34" s="14" t="inlineStr">
        <is>
          <t>فرصة ICT متوافقة مع قدرات KBM</t>
        </is>
      </c>
      <c r="P34" s="22">
        <f>HYPERLINK("https://kuwaitalyawm.media.gov.kw/Online/ViewAdsHTML?id=171677&amp;no=1", "عرض المصدر")</f>
        <v/>
      </c>
    </row>
    <row r="35">
      <c r="A35" s="11" t="inlineStr">
        <is>
          <t>2027/2026/17</t>
        </is>
      </c>
      <c r="B35" s="11" t="inlineStr">
        <is>
          <t>الهيئة العامة للتعليم التطبيقي والتدريب</t>
        </is>
      </c>
      <c r="C35" s="11" t="inlineStr">
        <is>
          <t>Eiman Ashkanani</t>
        </is>
      </c>
      <c r="D35" s="11" t="inlineStr">
        <is>
          <t>ممارسة رقم 2027/2026/17 - الهيئة العامة للتعليم التطبيقي والتدريب</t>
        </is>
      </c>
      <c r="E35" s="11" t="inlineStr">
        <is>
          <t>توريد المستلزمات والمواد والمستهلكات الطبية أو المخبرية المتخصصة لصالح المرافق الصحية.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0.0%</t>
        </is>
      </c>
      <c r="I35" s="12" t="inlineStr">
        <is>
          <t>government</t>
        </is>
      </c>
      <c r="J35" s="12" t="inlineStr">
        <is>
          <t>2026-09-27</t>
        </is>
      </c>
      <c r="K35" s="12" t="inlineStr">
        <is>
          <t>-</t>
        </is>
      </c>
      <c r="L35" s="12" t="inlineStr">
        <is>
          <t>-</t>
        </is>
      </c>
      <c r="M35" s="12" t="inlineStr">
        <is>
          <t>75.0</t>
        </is>
      </c>
      <c r="N35" s="21" t="inlineStr">
        <is>
          <t>NEW</t>
        </is>
      </c>
      <c r="O35" s="12" t="inlineStr">
        <is>
          <t>غير متوافقة مع اختصاصات KBM</t>
        </is>
      </c>
      <c r="P35" s="23">
        <f>HYPERLINK("https://kuwaitalyawm.media.gov.kw/Online/ViewAdsHTML?id=171680&amp;no=1", "عرض المصدر")</f>
        <v/>
      </c>
    </row>
    <row r="36">
      <c r="A36" s="13" t="inlineStr">
        <is>
          <t>2027/2026/27</t>
        </is>
      </c>
      <c r="B36" s="13" t="inlineStr">
        <is>
          <t>الهيئة العامة للتعليم التطبيقي والتدريب</t>
        </is>
      </c>
      <c r="C36" s="13" t="inlineStr">
        <is>
          <t>Eiman Ashkanani</t>
        </is>
      </c>
      <c r="D3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0.0%</t>
        </is>
      </c>
      <c r="I36" s="14" t="inlineStr">
        <is>
          <t>government</t>
        </is>
      </c>
      <c r="J36" s="14" t="inlineStr">
        <is>
          <t>2026-09-27</t>
        </is>
      </c>
      <c r="K36" s="14" t="inlineStr">
        <is>
          <t>-</t>
        </is>
      </c>
      <c r="L36" s="14" t="inlineStr">
        <is>
          <t>-</t>
        </is>
      </c>
      <c r="M36" s="14" t="inlineStr">
        <is>
          <t>75.0</t>
        </is>
      </c>
      <c r="N36" s="21" t="inlineStr">
        <is>
          <t>NEW</t>
        </is>
      </c>
      <c r="O36" s="14" t="inlineStr">
        <is>
          <t>غير متوافقة مع اختصاصات KBM</t>
        </is>
      </c>
      <c r="P36" s="22">
        <f>HYPERLINK("https://kuwaitalyawm.media.gov.kw/Online/ViewAdsHTML?id=171681&amp;no=1", "عرض المصدر")</f>
        <v/>
      </c>
    </row>
    <row r="37">
      <c r="A37" s="11" t="inlineStr">
        <is>
          <t>2027/2026/38</t>
        </is>
      </c>
      <c r="B37" s="11" t="inlineStr">
        <is>
          <t>الهيئة العامة للتعليم التطبيقي والتدريب</t>
        </is>
      </c>
      <c r="C37" s="11" t="inlineStr">
        <is>
          <t>Eiman Ashkanani</t>
        </is>
      </c>
      <c r="D3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24.0%</t>
        </is>
      </c>
      <c r="I37" s="12" t="inlineStr">
        <is>
          <t>government</t>
        </is>
      </c>
      <c r="J37" s="12" t="inlineStr">
        <is>
          <t>2026-09-27</t>
        </is>
      </c>
      <c r="K37" s="12" t="inlineStr">
        <is>
          <t>-</t>
        </is>
      </c>
      <c r="L37" s="12" t="inlineStr">
        <is>
          <t>-</t>
        </is>
      </c>
      <c r="M37" s="12" t="inlineStr">
        <is>
          <t>75.0</t>
        </is>
      </c>
      <c r="N37" s="21" t="inlineStr">
        <is>
          <t>NEW</t>
        </is>
      </c>
      <c r="O37" s="12" t="inlineStr">
        <is>
          <t>غير متوافقة مع اختصاصات KBM</t>
        </is>
      </c>
      <c r="P37" s="23">
        <f>HYPERLINK("https://kuwaitalyawm.media.gov.kw/Online/ViewAdsHTML?id=171682&amp;no=1", "عرض المصدر")</f>
        <v/>
      </c>
    </row>
    <row r="38">
      <c r="A38" s="13" t="inlineStr">
        <is>
          <t>2027/2026/40</t>
        </is>
      </c>
      <c r="B38" s="13" t="inlineStr">
        <is>
          <t>الهيئة العامة للتعليم التطبيقي والتدريب</t>
        </is>
      </c>
      <c r="C38" s="13" t="inlineStr">
        <is>
          <t>Eiman Ashkanani</t>
        </is>
      </c>
      <c r="D3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24.0%</t>
        </is>
      </c>
      <c r="I38" s="14" t="inlineStr">
        <is>
          <t>government</t>
        </is>
      </c>
      <c r="J38" s="14" t="inlineStr">
        <is>
          <t>2026-09-27</t>
        </is>
      </c>
      <c r="K38" s="14" t="inlineStr">
        <is>
          <t>-</t>
        </is>
      </c>
      <c r="L38" s="14" t="inlineStr">
        <is>
          <t>-</t>
        </is>
      </c>
      <c r="M38" s="14" t="inlineStr">
        <is>
          <t>75.0</t>
        </is>
      </c>
      <c r="N38" s="21" t="inlineStr">
        <is>
          <t>NEW</t>
        </is>
      </c>
      <c r="O38" s="14" t="inlineStr">
        <is>
          <t>غير متوافقة مع اختصاصات KBM</t>
        </is>
      </c>
      <c r="P38" s="22">
        <f>HYPERLINK("https://kuwaitalyawm.media.gov.kw/Online/ViewAdsHTML?id=171683&amp;no=1", "عرض المصدر")</f>
        <v/>
      </c>
    </row>
    <row r="39">
      <c r="A39" s="11" t="inlineStr">
        <is>
          <t>هـ ع / ش أ م / 4/2026/2027</t>
        </is>
      </c>
      <c r="B39" s="11" t="inlineStr">
        <is>
          <t>الهيئة العامة للتعليم التطبيقي والتدريب</t>
        </is>
      </c>
      <c r="C39" s="11" t="inlineStr">
        <is>
          <t>Eiman Ashkanani</t>
        </is>
      </c>
      <c r="D39" s="11" t="inlineStr">
        <is>
          <t>توفير خدمة الانترنت و نقل المعلومات internet - wan للهيئة العامة للتعليم التطبيقي و التدريب</t>
        </is>
      </c>
      <c r="E39"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24.0%</t>
        </is>
      </c>
      <c r="I39" s="12" t="inlineStr">
        <is>
          <t>education_and_research</t>
        </is>
      </c>
      <c r="J39" s="12" t="inlineStr">
        <is>
          <t>2026-09-06</t>
        </is>
      </c>
      <c r="K39" s="12" t="inlineStr">
        <is>
          <t>2026-11-03</t>
        </is>
      </c>
      <c r="L39" s="12" t="inlineStr">
        <is>
          <t>6000.000 KWD</t>
        </is>
      </c>
      <c r="M39" s="12" t="inlineStr">
        <is>
          <t>300.000 KWD</t>
        </is>
      </c>
      <c r="N39" s="21" t="inlineStr">
        <is>
          <t>NEW</t>
        </is>
      </c>
      <c r="O39" s="12" t="inlineStr">
        <is>
          <t>غير متوافقة مع اختصاصات KBM</t>
        </is>
      </c>
      <c r="P39" s="23">
        <f>HYPERLINK("https://capt.gov.kw/ar/tenders/opening-tenders/#card-8", "عرض المصدر")</f>
        <v/>
      </c>
    </row>
    <row r="40">
      <c r="A40" s="13" t="inlineStr">
        <is>
          <t>هـ ع ص / 9 / 2024-2027</t>
        </is>
      </c>
      <c r="B40" s="13" t="inlineStr">
        <is>
          <t>الهيئة العامة للصناعة</t>
        </is>
      </c>
      <c r="C40" s="13" t="inlineStr">
        <is>
          <t>Eiman Ashkanani</t>
        </is>
      </c>
      <c r="D40"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0"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24" t="inlineStr">
        <is>
          <t>عام</t>
        </is>
      </c>
      <c r="H40" s="14" t="inlineStr">
        <is>
          <t>0.0%</t>
        </is>
      </c>
      <c r="I40" s="14" t="inlineStr">
        <is>
          <t>government</t>
        </is>
      </c>
      <c r="J40" s="14" t="inlineStr">
        <is>
          <t>2026-08-23</t>
        </is>
      </c>
      <c r="K40" s="14" t="inlineStr">
        <is>
          <t>2026-10-20</t>
        </is>
      </c>
      <c r="L40" s="14" t="inlineStr">
        <is>
          <t>23000.000 KWD</t>
        </is>
      </c>
      <c r="M40" s="14" t="inlineStr">
        <is>
          <t>1000.000 KWD</t>
        </is>
      </c>
      <c r="N40" s="21" t="inlineStr">
        <is>
          <t>NEW</t>
        </is>
      </c>
      <c r="O40" s="14" t="inlineStr">
        <is>
          <t>غير متوافقة مع اختصاصات KBM</t>
        </is>
      </c>
      <c r="P40" s="22">
        <f>HYPERLINK("https://capt.gov.kw/ar/tenders/opening-tenders/#card-3", "عرض المصدر")</f>
        <v/>
      </c>
    </row>
    <row r="41">
      <c r="A41" s="11" t="inlineStr">
        <is>
          <t>14/2024</t>
        </is>
      </c>
      <c r="B41" s="11" t="inlineStr">
        <is>
          <t>الهيئة العامة للصناعة</t>
        </is>
      </c>
      <c r="C41" s="11" t="inlineStr">
        <is>
          <t>Eiman Ashkanani</t>
        </is>
      </c>
      <c r="D41" s="11" t="inlineStr">
        <is>
          <t>المناقصة رقم (هـ ع ص/2024/14) بشأن صيانة وتطوير وتشغيل وضمان أنظمة (المشاريع - العقود - المواصفات) بالهيئة العامة للصناعة</t>
        </is>
      </c>
      <c r="E41"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24" t="inlineStr">
        <is>
          <t>عام</t>
        </is>
      </c>
      <c r="H41" s="12" t="inlineStr">
        <is>
          <t>0.0%</t>
        </is>
      </c>
      <c r="I41" s="12" t="inlineStr">
        <is>
          <t>government</t>
        </is>
      </c>
      <c r="J41" s="12" t="inlineStr">
        <is>
          <t>2026-09-06</t>
        </is>
      </c>
      <c r="K41" s="12" t="inlineStr">
        <is>
          <t>2026-11-03</t>
        </is>
      </c>
      <c r="L41" s="12" t="inlineStr">
        <is>
          <t>23000.000 KWD</t>
        </is>
      </c>
      <c r="M41" s="12" t="inlineStr">
        <is>
          <t>1000.000 KWD</t>
        </is>
      </c>
      <c r="N41" s="21" t="inlineStr">
        <is>
          <t>NEW</t>
        </is>
      </c>
      <c r="O41" s="12" t="inlineStr">
        <is>
          <t>غير متوافقة مع اختصاصات KBM</t>
        </is>
      </c>
      <c r="P41" s="23">
        <f>HYPERLINK("https://capt.gov.kw/ar/tenders/opening-tenders/#card-4", "عرض المصدر")</f>
        <v/>
      </c>
    </row>
    <row r="42">
      <c r="A42" s="13" t="inlineStr">
        <is>
          <t>12/2025</t>
        </is>
      </c>
      <c r="B42" s="13" t="inlineStr">
        <is>
          <t>الهيئة العامة للصناعة</t>
        </is>
      </c>
      <c r="C42" s="13" t="inlineStr">
        <is>
          <t>Eiman Ashkanani</t>
        </is>
      </c>
      <c r="D42"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42" s="13" t="inlineStr">
        <is>
          <t>أعمال صيانة وتشغيل وإصلاح وحدات ومحطات التكييف المركزي والمبردات وضواغط الهواء وشبكات مجاري الهواء.</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other</t>
        </is>
      </c>
      <c r="J42" s="14" t="inlineStr">
        <is>
          <t>سبتمبر 27, 2026</t>
        </is>
      </c>
      <c r="K42" s="14" t="inlineStr">
        <is>
          <t>ديسمبر 22, 2026</t>
        </is>
      </c>
      <c r="L42" s="14" t="inlineStr">
        <is>
          <t>45,000.000 د.ك</t>
        </is>
      </c>
      <c r="M42" s="14" t="inlineStr">
        <is>
          <t>1000.000 د.ك</t>
        </is>
      </c>
      <c r="N42" s="26" t="inlineStr">
        <is>
          <t>UNCHANGED</t>
        </is>
      </c>
      <c r="O42" s="14" t="inlineStr">
        <is>
          <t>غير متوافقة مع اختصاصات KBM</t>
        </is>
      </c>
      <c r="P42" s="22">
        <f>HYPERLINK("https://capt.gov.kw/ar/tenders/opening-tenders/#card-0", "عرض المصدر")</f>
        <v/>
      </c>
    </row>
    <row r="43">
      <c r="A43" s="11" t="inlineStr">
        <is>
          <t>2027/2026/11</t>
        </is>
      </c>
      <c r="B43" s="11" t="inlineStr">
        <is>
          <t>الهيئة العامة للطيران المدني</t>
        </is>
      </c>
      <c r="C43" s="11" t="inlineStr">
        <is>
          <t>Eiman Ashkanani</t>
        </is>
      </c>
      <c r="D43"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3"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2026-09-27</t>
        </is>
      </c>
      <c r="K43" s="12" t="inlineStr">
        <is>
          <t>-</t>
        </is>
      </c>
      <c r="L43" s="12" t="inlineStr">
        <is>
          <t>-</t>
        </is>
      </c>
      <c r="M43" s="12" t="inlineStr">
        <is>
          <t>-</t>
        </is>
      </c>
      <c r="N43" s="21" t="inlineStr">
        <is>
          <t>NEW</t>
        </is>
      </c>
      <c r="O43" s="12" t="inlineStr">
        <is>
          <t>غير متوافقة مع اختصاصات KBM</t>
        </is>
      </c>
      <c r="P43" s="23">
        <f>HYPERLINK("https://kuwaitalyawm.media.gov.kw/Online/ViewAdsHTML?id=171690&amp;no=1", "عرض المصدر")</f>
        <v/>
      </c>
    </row>
    <row r="44">
      <c r="A44" s="13" t="inlineStr">
        <is>
          <t>2027/2026/15</t>
        </is>
      </c>
      <c r="B44" s="13" t="inlineStr">
        <is>
          <t>الهيئة العامة للطيران المدني</t>
        </is>
      </c>
      <c r="C44" s="13" t="inlineStr">
        <is>
          <t>Eiman Ashkanani</t>
        </is>
      </c>
      <c r="D44" s="13" t="inlineStr">
        <is>
          <t>ممارسة رقم 2027/2026/15: ممارسة تطوير وصيانة أنظمة وأجهزة الحضور</t>
        </is>
      </c>
      <c r="E44"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44" s="13" t="inlineStr">
        <is>
          <t>• علماً بأن آخر موعد لتقديم العروض هو الساعة (الواحدة ظهراً) من يوم (الأربعاء) الموافق (21/10/2026) ويرفض أي عرض بعد هذا الموعد.</t>
        </is>
      </c>
      <c r="G44" s="14" t="inlineStr">
        <is>
          <t>قطاع العمليات المدارة والدعم الفني متعدد الموردين</t>
        </is>
      </c>
      <c r="H44" s="14" t="inlineStr">
        <is>
          <t>49.0%</t>
        </is>
      </c>
      <c r="I44" s="14" t="inlineStr">
        <is>
          <t>government</t>
        </is>
      </c>
      <c r="J44" s="14" t="inlineStr">
        <is>
          <t>2026-09-27</t>
        </is>
      </c>
      <c r="K44" s="14" t="inlineStr">
        <is>
          <t>2026-10-21</t>
        </is>
      </c>
      <c r="L44" s="14" t="inlineStr">
        <is>
          <t>-</t>
        </is>
      </c>
      <c r="M44" s="14" t="inlineStr">
        <is>
          <t>75.0</t>
        </is>
      </c>
      <c r="N44" s="21" t="inlineStr">
        <is>
          <t>NEW</t>
        </is>
      </c>
      <c r="O44" s="14" t="inlineStr">
        <is>
          <t>فرصة تتطلب شراكة أو دراسة نطاق</t>
        </is>
      </c>
      <c r="P44" s="22">
        <f>HYPERLINK("https://kuwaitalyawm.media.gov.kw/Online/ViewAdsHTML?id=171693&amp;no=1", "عرض المصدر")</f>
        <v/>
      </c>
    </row>
    <row r="45">
      <c r="A45" s="11" t="inlineStr">
        <is>
          <t>2027/2026/9</t>
        </is>
      </c>
      <c r="B45" s="11" t="inlineStr">
        <is>
          <t>الهيئة العامة للمعلومات المدنية</t>
        </is>
      </c>
      <c r="C45" s="11" t="inlineStr">
        <is>
          <t>Raed Obeid</t>
        </is>
      </c>
      <c r="D45" s="11" t="inlineStr">
        <is>
          <t>ممارسة رقم 2027/2026/9: بشـأن صيانة المعدات الميكانيكية والكهربائية بالهيئة</t>
        </is>
      </c>
      <c r="E45"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15.0%</t>
        </is>
      </c>
      <c r="I45" s="12" t="inlineStr">
        <is>
          <t>government</t>
        </is>
      </c>
      <c r="J45" s="12" t="inlineStr">
        <is>
          <t>2026-09-27</t>
        </is>
      </c>
      <c r="K45" s="12" t="inlineStr">
        <is>
          <t>-</t>
        </is>
      </c>
      <c r="L45" s="12" t="inlineStr">
        <is>
          <t>-</t>
        </is>
      </c>
      <c r="M45" s="12" t="inlineStr">
        <is>
          <t>50.0</t>
        </is>
      </c>
      <c r="N45" s="21" t="inlineStr">
        <is>
          <t>NEW</t>
        </is>
      </c>
      <c r="O45" s="12" t="inlineStr">
        <is>
          <t>غير متوافقة مع اختصاصات KBM</t>
        </is>
      </c>
      <c r="P45" s="23">
        <f>HYPERLINK("https://kuwaitalyawm.media.gov.kw/Online/ViewAdsHTML?id=171695&amp;no=1", "عرض المصدر")</f>
        <v/>
      </c>
    </row>
    <row r="46">
      <c r="A46" s="13" t="inlineStr">
        <is>
          <t>2027/2026/13</t>
        </is>
      </c>
      <c r="B46" s="13" t="inlineStr">
        <is>
          <t>بنك الائتمان الكويتي</t>
        </is>
      </c>
      <c r="C46" s="13" t="inlineStr">
        <is>
          <t>Eiman Ashkanani</t>
        </is>
      </c>
      <c r="D46"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6" s="13"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46"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46" s="14" t="inlineStr">
        <is>
          <t>عام</t>
        </is>
      </c>
      <c r="H46" s="14" t="inlineStr">
        <is>
          <t>0.0%</t>
        </is>
      </c>
      <c r="I46" s="14" t="inlineStr">
        <is>
          <t>government</t>
        </is>
      </c>
      <c r="J46" s="14" t="inlineStr">
        <is>
          <t>2026-09-27</t>
        </is>
      </c>
      <c r="K46" s="14" t="inlineStr">
        <is>
          <t>-</t>
        </is>
      </c>
      <c r="L46" s="14" t="inlineStr">
        <is>
          <t>2000.0</t>
        </is>
      </c>
      <c r="M46" s="14" t="inlineStr">
        <is>
          <t>20.0</t>
        </is>
      </c>
      <c r="N46" s="21" t="inlineStr">
        <is>
          <t>NEW</t>
        </is>
      </c>
      <c r="O46" s="14" t="inlineStr">
        <is>
          <t>غير متوافقة مع اختصاصات KBM</t>
        </is>
      </c>
      <c r="P46" s="22">
        <f>HYPERLINK("https://kuwaitalyawm.media.gov.kw/Online/ViewAdsHTML?id=171679&amp;no=1", "عرض المصدر")</f>
        <v/>
      </c>
    </row>
    <row r="47">
      <c r="A47" s="11" t="inlineStr">
        <is>
          <t>2027/2026/6</t>
        </is>
      </c>
      <c r="B47" s="11" t="inlineStr">
        <is>
          <t>بنك الائتمان الكويتي</t>
        </is>
      </c>
      <c r="C47" s="11" t="inlineStr">
        <is>
          <t>Eiman Ashkanani</t>
        </is>
      </c>
      <c r="D47"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7"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7"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7" s="12" t="inlineStr">
        <is>
          <t>عام</t>
        </is>
      </c>
      <c r="H47" s="12" t="inlineStr">
        <is>
          <t>0.0%</t>
        </is>
      </c>
      <c r="I47" s="12" t="inlineStr">
        <is>
          <t>government</t>
        </is>
      </c>
      <c r="J47" s="12" t="inlineStr">
        <is>
          <t>2026-09-27</t>
        </is>
      </c>
      <c r="K47" s="12" t="inlineStr">
        <is>
          <t>2026-10-26</t>
        </is>
      </c>
      <c r="L47" s="12" t="inlineStr">
        <is>
          <t>2000.0</t>
        </is>
      </c>
      <c r="M47" s="12" t="inlineStr">
        <is>
          <t>20.0</t>
        </is>
      </c>
      <c r="N47" s="21" t="inlineStr">
        <is>
          <t>NEW</t>
        </is>
      </c>
      <c r="O47" s="12" t="inlineStr">
        <is>
          <t>غير متوافقة مع اختصاصات KBM</t>
        </is>
      </c>
      <c r="P47" s="23">
        <f>HYPERLINK("https://kuwaitalyawm.media.gov.kw/Online/ViewAdsHTML?id=171559&amp;no=1", "عرض المصدر")</f>
        <v/>
      </c>
    </row>
    <row r="48">
      <c r="A48" s="13" t="inlineStr">
        <is>
          <t>4/2024/2025</t>
        </is>
      </c>
      <c r="B48" s="13" t="inlineStr">
        <is>
          <t>بنك الكويت المركزي</t>
        </is>
      </c>
      <c r="C48" s="13" t="inlineStr">
        <is>
          <t>Eiman Ashkanani</t>
        </is>
      </c>
      <c r="D48" s="13" t="inlineStr">
        <is>
          <t>أعمال تأهيل المبنى المساند وإنشاء متحف بنك الكويت المركزي</t>
        </is>
      </c>
      <c r="E48" s="13" t="inlineStr">
        <is>
          <t>تنفيذ الأعمال المدنية والإنشائية والترميم والصيانة العامة للمباني والمنشآت والمرافق التابعة للجهة.</t>
        </is>
      </c>
      <c r="F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8" s="14" t="inlineStr">
        <is>
          <t>عام</t>
        </is>
      </c>
      <c r="H48" s="14" t="inlineStr">
        <is>
          <t>0.0%</t>
        </is>
      </c>
      <c r="I48" s="14" t="inlineStr">
        <is>
          <t>banking_and_finance</t>
        </is>
      </c>
      <c r="J48" s="14" t="inlineStr">
        <is>
          <t>2026-10-04</t>
        </is>
      </c>
      <c r="K48" s="14" t="inlineStr">
        <is>
          <t>2026-11-03</t>
        </is>
      </c>
      <c r="L48" s="14" t="inlineStr">
        <is>
          <t>170000.000 KWD</t>
        </is>
      </c>
      <c r="M48" s="14" t="inlineStr">
        <is>
          <t>3500.000 KWD</t>
        </is>
      </c>
      <c r="N48" s="21" t="inlineStr">
        <is>
          <t>NEW</t>
        </is>
      </c>
      <c r="O48" s="14" t="inlineStr">
        <is>
          <t>غير متوافقة مع اختصاصات KBM</t>
        </is>
      </c>
      <c r="P48" s="22">
        <f>HYPERLINK("https://capt.gov.kw/ar/tenders/opening-tenders/#card-0", "عرض المصدر")</f>
        <v/>
      </c>
    </row>
    <row r="49">
      <c r="A49" s="11" t="inlineStr">
        <is>
          <t>2026/16</t>
        </is>
      </c>
      <c r="B49" s="11" t="inlineStr">
        <is>
          <t>بيت الزكـاة</t>
        </is>
      </c>
      <c r="C49" s="11" t="inlineStr">
        <is>
          <t>Eiman Ashkanani</t>
        </is>
      </c>
      <c r="D49" s="11" t="inlineStr">
        <is>
          <t>ممارسة رقم 2026/16: توفير خدمات إنشاء وتطوير وصيانة أنظمة أوراكل</t>
        </is>
      </c>
      <c r="E49"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49" s="11" t="inlineStr">
        <is>
          <t>• https://www.zakathouse.org.kw/tender.aspx</t>
        </is>
      </c>
      <c r="G49" s="24" t="inlineStr">
        <is>
          <t>قطاع العمليات المدارة والدعم الفني متعدد الموردين</t>
        </is>
      </c>
      <c r="H49" s="12" t="inlineStr">
        <is>
          <t>84.0%</t>
        </is>
      </c>
      <c r="I49" s="12" t="inlineStr">
        <is>
          <t>government</t>
        </is>
      </c>
      <c r="J49" s="12" t="inlineStr">
        <is>
          <t>2026-09-27</t>
        </is>
      </c>
      <c r="K49" s="12" t="inlineStr">
        <is>
          <t>-</t>
        </is>
      </c>
      <c r="L49" s="12" t="inlineStr">
        <is>
          <t>-</t>
        </is>
      </c>
      <c r="M49" s="12" t="inlineStr">
        <is>
          <t>75.0</t>
        </is>
      </c>
      <c r="N49" s="21" t="inlineStr">
        <is>
          <t>NEW</t>
        </is>
      </c>
      <c r="O49" s="12" t="inlineStr">
        <is>
          <t>فرصة استراتيجية رئيسية (موصى بالتقديم)</t>
        </is>
      </c>
      <c r="P49" s="23">
        <f>HYPERLINK("https://kuwaitalyawm.media.gov.kw/Online/ViewAdsHTML?id=171714&amp;no=1", "عرض المصدر")</f>
        <v/>
      </c>
    </row>
    <row r="50">
      <c r="A50" s="13" t="inlineStr">
        <is>
          <t>72-516</t>
        </is>
      </c>
      <c r="B50" s="13" t="inlineStr">
        <is>
          <t>جامعة الكويت</t>
        </is>
      </c>
      <c r="C50" s="13" t="inlineStr">
        <is>
          <t>Eiman Ashkanani</t>
        </is>
      </c>
      <c r="D50" s="13" t="inlineStr">
        <is>
          <t>ممارسة رقم 72/2026-2027: صيانة أجهزة التعرف على الوجه والأجهزة العلمية بمراكز عمل جامعة الكويت</t>
        </is>
      </c>
      <c r="E50" s="13" t="inlineStr">
        <is>
          <t>صيانة دورية ودعم فني لأجهزة التحقق البيومتري والتعرف على الوجه (Face Recognition Systems) والأجهزة التابعة لها بجامعة الكويت.</t>
        </is>
      </c>
      <c r="F50" s="13" t="inlineStr">
        <is>
          <t>• بيع الوثائق 75 د.ك، تأمين أولي 2% من قيمة العطاء، إغلاق 20/10/2026 بمقر الجامعة بالشدادية.</t>
        </is>
      </c>
      <c r="G50" s="24" t="inlineStr">
        <is>
          <t>قطاع الأمن السيبراني والدفاع الرقمي</t>
        </is>
      </c>
      <c r="H50" s="14" t="inlineStr">
        <is>
          <t>55.0%</t>
        </is>
      </c>
      <c r="I50" s="14" t="inlineStr">
        <is>
          <t>government</t>
        </is>
      </c>
      <c r="J50" s="14" t="inlineStr">
        <is>
          <t>2026-09-27</t>
        </is>
      </c>
      <c r="K50" s="14" t="inlineStr">
        <is>
          <t>2026-10-20</t>
        </is>
      </c>
      <c r="L50" s="14" t="inlineStr">
        <is>
          <t>2000.0</t>
        </is>
      </c>
      <c r="M50" s="14" t="inlineStr">
        <is>
          <t>75.0</t>
        </is>
      </c>
      <c r="N50" s="21" t="inlineStr">
        <is>
          <t>NEW</t>
        </is>
      </c>
      <c r="O50" s="14" t="inlineStr">
        <is>
          <t>فرصة محتملة</t>
        </is>
      </c>
      <c r="P50" s="22">
        <f>HYPERLINK("https://kuwaitalyawm.media.gov.kw/Online/ViewAdsHTML?id=171702&amp;no=1", "عرض المصدر")</f>
        <v/>
      </c>
    </row>
    <row r="51">
      <c r="A51" s="11" t="inlineStr">
        <is>
          <t>2027/2026/536</t>
        </is>
      </c>
      <c r="B51" s="11" t="inlineStr">
        <is>
          <t>جامعة الكويت</t>
        </is>
      </c>
      <c r="C51" s="11" t="inlineStr">
        <is>
          <t>Eiman Ashkanani</t>
        </is>
      </c>
      <c r="D51" s="11" t="inlineStr">
        <is>
          <t>ممارسة رقم 2027/2026/536 - جامعة الكويت</t>
        </is>
      </c>
      <c r="E51" s="11" t="inlineStr">
        <is>
          <t>أعمال وتوريدات ممارسة رقم 2027/2026/536 لصالح جامعة الكويت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15.0%</t>
        </is>
      </c>
      <c r="I51" s="12" t="inlineStr">
        <is>
          <t>government</t>
        </is>
      </c>
      <c r="J51" s="12" t="inlineStr">
        <is>
          <t>2026-09-27</t>
        </is>
      </c>
      <c r="K51" s="12" t="inlineStr">
        <is>
          <t>2026-10-27</t>
        </is>
      </c>
      <c r="L51" s="12" t="inlineStr">
        <is>
          <t>2.0</t>
        </is>
      </c>
      <c r="M51" s="12" t="inlineStr">
        <is>
          <t>75.0</t>
        </is>
      </c>
      <c r="N51" s="21" t="inlineStr">
        <is>
          <t>NEW</t>
        </is>
      </c>
      <c r="O51" s="12" t="inlineStr">
        <is>
          <t>غير متوافقة مع اختصاصات KBM</t>
        </is>
      </c>
      <c r="P51" s="23">
        <f>HYPERLINK("https://kuwaitalyawm.media.gov.kw/Online/ViewAdsHTML?id=171703&amp;no=1", "عرض المصدر")</f>
        <v/>
      </c>
    </row>
    <row r="52">
      <c r="A52" s="13" t="inlineStr">
        <is>
          <t>2027/2026/537</t>
        </is>
      </c>
      <c r="B52" s="13" t="inlineStr">
        <is>
          <t>جامعة الكويت</t>
        </is>
      </c>
      <c r="C52" s="13" t="inlineStr">
        <is>
          <t>Eiman Ashkanani</t>
        </is>
      </c>
      <c r="D52" s="13" t="inlineStr">
        <is>
          <t>ممارسة رقم 2027/2026/537 - جامعة الكويت</t>
        </is>
      </c>
      <c r="E52" s="13" t="inlineStr">
        <is>
          <t>أعمال وتوريدات ممارسة رقم 2027/2026/537 لصالح جامعة الكويت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15.0%</t>
        </is>
      </c>
      <c r="I52" s="14" t="inlineStr">
        <is>
          <t>government</t>
        </is>
      </c>
      <c r="J52" s="14" t="inlineStr">
        <is>
          <t>2026-09-27</t>
        </is>
      </c>
      <c r="K52" s="14" t="inlineStr">
        <is>
          <t>2026-10-27</t>
        </is>
      </c>
      <c r="L52" s="14" t="inlineStr">
        <is>
          <t>2000.0</t>
        </is>
      </c>
      <c r="M52" s="14" t="inlineStr">
        <is>
          <t>75.0</t>
        </is>
      </c>
      <c r="N52" s="21" t="inlineStr">
        <is>
          <t>NEW</t>
        </is>
      </c>
      <c r="O52" s="14" t="inlineStr">
        <is>
          <t>غير متوافقة مع اختصاصات KBM</t>
        </is>
      </c>
      <c r="P52" s="22">
        <f>HYPERLINK("https://kuwaitalyawm.media.gov.kw/Online/ViewAdsHTML?id=171704&amp;no=1", "عرض المصدر")</f>
        <v/>
      </c>
    </row>
    <row r="53">
      <c r="A53" s="11" t="inlineStr">
        <is>
          <t>14/2024/2025</t>
        </is>
      </c>
      <c r="B53" s="11" t="inlineStr">
        <is>
          <t>جامعة عبدالله السالم</t>
        </is>
      </c>
      <c r="C53" s="11" t="inlineStr">
        <is>
          <t>Eiman Ashkanani</t>
        </is>
      </c>
      <c r="D53" s="11" t="inlineStr">
        <is>
          <t>إحلال وصيانة وتشغيل وحدات مناولة الهواء وضواغط التكييف لمباني ( 11،2،10،35،31،32،12) بالخالدية</t>
        </is>
      </c>
      <c r="E53" s="11" t="inlineStr">
        <is>
          <t>أعمال صيانة وتشغيل وإصلاح وحدات ومحطات التكييف المركزي والمبردات وضواغط الهواء وشبكات مجاري الهواء.</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15.0%</t>
        </is>
      </c>
      <c r="I53" s="12" t="inlineStr">
        <is>
          <t>other</t>
        </is>
      </c>
      <c r="J53" s="12" t="inlineStr">
        <is>
          <t>سبتمبر 27, 2026</t>
        </is>
      </c>
      <c r="K53" s="12" t="inlineStr">
        <is>
          <t>أكتوبر 27, 2026</t>
        </is>
      </c>
      <c r="L53" s="12" t="inlineStr">
        <is>
          <t>6,000.000 د.ك</t>
        </is>
      </c>
      <c r="M53" s="12" t="inlineStr">
        <is>
          <t>300.000 د.ك</t>
        </is>
      </c>
      <c r="N53" s="26" t="inlineStr">
        <is>
          <t>UNCHANGED</t>
        </is>
      </c>
      <c r="O53" s="12" t="inlineStr">
        <is>
          <t>غير متوافقة مع اختصاصات KBM</t>
        </is>
      </c>
      <c r="P53" s="23">
        <f>HYPERLINK("https://capt.gov.kw/ar/tenders/opening-tenders/#card-1", "عرض المصدر")</f>
        <v/>
      </c>
    </row>
    <row r="54">
      <c r="A54" s="13" t="inlineStr">
        <is>
          <t>2027/2026/14</t>
        </is>
      </c>
      <c r="B54" s="13" t="inlineStr">
        <is>
          <t>جهاز المسؤولية الطبية</t>
        </is>
      </c>
      <c r="C54" s="13" t="inlineStr">
        <is>
          <t>Eiman Ashkanani</t>
        </is>
      </c>
      <c r="D54" s="13" t="inlineStr">
        <is>
          <t>ممارسة رقم 2027/2026/14: يعلن جهاز المسؤولية الطبية عن طرح ممارسة14/2026/2027 تقديم خدمات استشارية في مجال نظم المعلومات وفقًا للبيانات التالية:</t>
        </is>
      </c>
      <c r="E54" s="13" t="inlineStr">
        <is>
          <t>تنفيذ أعمال يعلن جهاز المسؤولية الطبية عن طرح ممارسة14/2026/2027 تقديم خدمات استشارية في مجال نظم المعلومات وفقًا للبيانات التالية:، وتوفير كافة الأجهزة والمعدات والأنظمة وخدمات الدعم الفني والضمان وفقاً لكراسة الشروط والمواصفات الفنية.</t>
        </is>
      </c>
      <c r="F54" s="13" t="inlineStr">
        <is>
          <t>• علماً بأن آخر موعد لتقديم العروض هو الساعة (الواحدة ظهراً) من يوم (الأربعاء) الموافق (28/10/2026) ويرفض أي عرض بعد هذا الموعد.</t>
        </is>
      </c>
      <c r="G54" s="14" t="inlineStr">
        <is>
          <t>عام</t>
        </is>
      </c>
      <c r="H54" s="14" t="inlineStr">
        <is>
          <t>0.0%</t>
        </is>
      </c>
      <c r="I54" s="14" t="inlineStr">
        <is>
          <t>government</t>
        </is>
      </c>
      <c r="J54" s="14" t="inlineStr">
        <is>
          <t>2026-09-27</t>
        </is>
      </c>
      <c r="K54" s="18" t="inlineStr">
        <is>
          <t>2026-10-11</t>
        </is>
      </c>
      <c r="L54" s="14" t="inlineStr">
        <is>
          <t>2.0</t>
        </is>
      </c>
      <c r="M54" s="14" t="inlineStr">
        <is>
          <t>75.0</t>
        </is>
      </c>
      <c r="N54" s="21" t="inlineStr">
        <is>
          <t>NEW</t>
        </is>
      </c>
      <c r="O54" s="14" t="inlineStr">
        <is>
          <t>غير متوافقة مع اختصاصات KBM</t>
        </is>
      </c>
      <c r="P54" s="22">
        <f>HYPERLINK("https://kuwaitalyawm.media.gov.kw/Online/ViewAdsHTML?id=171692&amp;no=1", "عرض المصدر")</f>
        <v/>
      </c>
    </row>
    <row r="55">
      <c r="A55" s="11" t="inlineStr">
        <is>
          <t>5/2025-2026</t>
        </is>
      </c>
      <c r="B55" s="11" t="inlineStr">
        <is>
          <t>ديوان المحاسبة</t>
        </is>
      </c>
      <c r="C55" s="11" t="inlineStr">
        <is>
          <t>Eiman Ashkanani</t>
        </is>
      </c>
      <c r="D55"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5"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24" t="inlineStr">
        <is>
          <t>عام</t>
        </is>
      </c>
      <c r="H55" s="12" t="inlineStr">
        <is>
          <t>24.0%</t>
        </is>
      </c>
      <c r="I55" s="12" t="inlineStr">
        <is>
          <t>government</t>
        </is>
      </c>
      <c r="J55" s="12" t="inlineStr">
        <is>
          <t>2026-09-06</t>
        </is>
      </c>
      <c r="K55" s="12" t="inlineStr">
        <is>
          <t>2026-10-27</t>
        </is>
      </c>
      <c r="L55" s="12" t="inlineStr">
        <is>
          <t>3500.000 KWD</t>
        </is>
      </c>
      <c r="M55" s="12" t="inlineStr">
        <is>
          <t>150.000 KWD</t>
        </is>
      </c>
      <c r="N55" s="21" t="inlineStr">
        <is>
          <t>NEW</t>
        </is>
      </c>
      <c r="O55" s="12" t="inlineStr">
        <is>
          <t>غير متوافقة مع اختصاصات KBM</t>
        </is>
      </c>
      <c r="P55" s="23">
        <f>HYPERLINK("https://capt.gov.kw/ar/tenders/opening-tenders/#card-5", "عرض المصدر")</f>
        <v/>
      </c>
    </row>
    <row r="56">
      <c r="A56" s="13" t="inlineStr">
        <is>
          <t>2026/8/10</t>
        </is>
      </c>
      <c r="B56" s="13" t="inlineStr">
        <is>
          <t>شركة إدارة المرافق العمومية</t>
        </is>
      </c>
      <c r="C56" s="13" t="inlineStr">
        <is>
          <t>Eiman Ashkanani</t>
        </is>
      </c>
      <c r="D56" s="13" t="inlineStr">
        <is>
          <t>مناقصة رقم 2026/8/10: بخصـوص القيام بأعمـال تعديل وصيانة وإعادة توزيع مكاتب مقر شركة إدارة المرافق العمومية - بموقف الأحمدية متعدد الأدوار</t>
        </is>
      </c>
      <c r="E56"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56"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56" s="14" t="inlineStr">
        <is>
          <t>عام</t>
        </is>
      </c>
      <c r="H56" s="14" t="inlineStr">
        <is>
          <t>0.0%</t>
        </is>
      </c>
      <c r="I56" s="14" t="inlineStr">
        <is>
          <t>government</t>
        </is>
      </c>
      <c r="J56" s="14" t="inlineStr">
        <is>
          <t>2026-08-30</t>
        </is>
      </c>
      <c r="K56" s="14" t="inlineStr">
        <is>
          <t>2026-09-10</t>
        </is>
      </c>
      <c r="L56" s="14" t="inlineStr">
        <is>
          <t>2000.0</t>
        </is>
      </c>
      <c r="M56" s="14" t="inlineStr">
        <is>
          <t>150.0</t>
        </is>
      </c>
      <c r="N56" s="21" t="inlineStr">
        <is>
          <t>NEW</t>
        </is>
      </c>
      <c r="O56" s="14" t="inlineStr">
        <is>
          <t>غير متوافقة مع اختصاصات KBM</t>
        </is>
      </c>
      <c r="P56" s="22">
        <f>HYPERLINK("https://kuwaitalyawm.media.gov.kw/Online/ViewAdsHTML?id=168758&amp;no=1", "عرض المصدر")</f>
        <v/>
      </c>
    </row>
    <row r="57">
      <c r="A57" s="11" t="inlineStr">
        <is>
          <t>2026/09/07</t>
        </is>
      </c>
      <c r="B57" s="11" t="inlineStr">
        <is>
          <t>شركة إدارة المرافق العمومية</t>
        </is>
      </c>
      <c r="C57" s="11" t="inlineStr">
        <is>
          <t>Eiman Ashkanani</t>
        </is>
      </c>
      <c r="D57" s="11" t="inlineStr">
        <is>
          <t>مناقصة رقم 2026/09/07: بخصـوص القيام بأعمال الصيانة والإصلاح وإعادة التأهيل</t>
        </is>
      </c>
      <c r="E57" s="11"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57" s="11"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57" s="12" t="inlineStr">
        <is>
          <t>عام</t>
        </is>
      </c>
      <c r="H57" s="12" t="inlineStr">
        <is>
          <t>0.0%</t>
        </is>
      </c>
      <c r="I57" s="12" t="inlineStr">
        <is>
          <t>government</t>
        </is>
      </c>
      <c r="J57" s="12" t="inlineStr">
        <is>
          <t>2026-09-13</t>
        </is>
      </c>
      <c r="K57" s="18" t="inlineStr">
        <is>
          <t>2026-10-08</t>
        </is>
      </c>
      <c r="L57" s="12" t="inlineStr">
        <is>
          <t>1500.0</t>
        </is>
      </c>
      <c r="M57" s="12" t="inlineStr">
        <is>
          <t>150.0</t>
        </is>
      </c>
      <c r="N57" s="21" t="inlineStr">
        <is>
          <t>NEW</t>
        </is>
      </c>
      <c r="O57" s="12" t="inlineStr">
        <is>
          <t>غير متوافقة مع اختصاصات KBM</t>
        </is>
      </c>
      <c r="P57" s="23">
        <f>HYPERLINK("https://kuwaitalyawm.media.gov.kw/Online/ViewAdsHTML?id=170505&amp;no=1", "عرض المصدر")</f>
        <v/>
      </c>
    </row>
    <row r="58">
      <c r="A58" s="13" t="inlineStr">
        <is>
          <t>601750</t>
        </is>
      </c>
      <c r="B58" s="13" t="inlineStr">
        <is>
          <t>شركة البترول الكويتية العالمية</t>
        </is>
      </c>
      <c r="C58" s="13" t="inlineStr">
        <is>
          <t>Eiman Ashkanani</t>
        </is>
      </c>
      <c r="D58" s="13" t="inlineStr">
        <is>
          <t>مناقصة رقم 601750 - شركة البترول الكويتية العالمية</t>
        </is>
      </c>
      <c r="E58" s="13" t="inlineStr">
        <is>
          <t>أعمال وتوريدات مناقصة رقم 601750 لصالح شركة البترول الكويتية العالمية وفقاً للشروط والمواصفات المعتمدة في وثائق الطرح.</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14" t="inlineStr">
        <is>
          <t>عام</t>
        </is>
      </c>
      <c r="H58" s="14" t="inlineStr">
        <is>
          <t>0.0%</t>
        </is>
      </c>
      <c r="I58" s="14" t="inlineStr">
        <is>
          <t>government</t>
        </is>
      </c>
      <c r="J58" s="14" t="inlineStr">
        <is>
          <t>2026-08-30</t>
        </is>
      </c>
      <c r="K58" s="14" t="inlineStr">
        <is>
          <t>2026-09-29</t>
        </is>
      </c>
      <c r="L58" s="14" t="inlineStr">
        <is>
          <t>2500.0</t>
        </is>
      </c>
      <c r="M58" s="14" t="inlineStr">
        <is>
          <t>-</t>
        </is>
      </c>
      <c r="N58" s="21" t="inlineStr">
        <is>
          <t>NEW</t>
        </is>
      </c>
      <c r="O58" s="14" t="inlineStr">
        <is>
          <t>غير متوافقة مع اختصاصات KBM</t>
        </is>
      </c>
      <c r="P58" s="22">
        <f>HYPERLINK("https://kuwaitalyawm.media.gov.kw/Online/ViewAdsHTML?id=168759&amp;no=1", "عرض المصدر")</f>
        <v/>
      </c>
    </row>
    <row r="59">
      <c r="A59" s="11" t="inlineStr">
        <is>
          <t>PR 901782</t>
        </is>
      </c>
      <c r="B59" s="11" t="inlineStr">
        <is>
          <t>شركة البترول الكويتية العالمية</t>
        </is>
      </c>
      <c r="C59" s="11" t="inlineStr">
        <is>
          <t>Eiman Ashkanani</t>
        </is>
      </c>
      <c r="D59" s="11" t="inlineStr">
        <is>
          <t>مناقصة رقم PR 901782 - شركة البترول الكويتية العالمية</t>
        </is>
      </c>
      <c r="E59" s="11" t="inlineStr">
        <is>
          <t>أعمال وتوريدات مناقصة رقم PR 901782 لصالح شركة البترول الكويتية العالمية وفقاً للشروط والمواصفات المعتمدة في وثائق الطرح.</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12" t="inlineStr">
        <is>
          <t>عام</t>
        </is>
      </c>
      <c r="H59" s="12" t="inlineStr">
        <is>
          <t>28.0%</t>
        </is>
      </c>
      <c r="I59" s="12" t="inlineStr">
        <is>
          <t>government</t>
        </is>
      </c>
      <c r="J59" s="12" t="inlineStr">
        <is>
          <t>2026-09-27</t>
        </is>
      </c>
      <c r="K59" s="12" t="inlineStr">
        <is>
          <t>2026-10-27</t>
        </is>
      </c>
      <c r="L59" s="12" t="inlineStr">
        <is>
          <t>15000.0</t>
        </is>
      </c>
      <c r="M59" s="12" t="inlineStr">
        <is>
          <t>-</t>
        </is>
      </c>
      <c r="N59" s="21" t="inlineStr">
        <is>
          <t>NEW</t>
        </is>
      </c>
      <c r="O59" s="12" t="inlineStr">
        <is>
          <t>غير متوافقة مع اختصاصات KBM</t>
        </is>
      </c>
      <c r="P59" s="23">
        <f>HYPERLINK("https://kuwaitalyawm.media.gov.kw/Online/ViewAdsHTML?id=171723&amp;no=1", "عرض المصدر")</f>
        <v/>
      </c>
    </row>
    <row r="60">
      <c r="A60" s="13" t="inlineStr">
        <is>
          <t>CB/CPC/2564/CNSL</t>
        </is>
      </c>
      <c r="B60" s="13" t="inlineStr">
        <is>
          <t>شركة البترول الوطنية الكويتية</t>
        </is>
      </c>
      <c r="C60" s="13" t="inlineStr">
        <is>
          <t>Abrar Al-Qallaf</t>
        </is>
      </c>
      <c r="D60" s="13" t="inlineStr">
        <is>
          <t>ممارسة رقم CB/CPC/2564/CNSL: توريد مواد ومهمات تشغيلية لزوم شركة البترول الوطنية الكويتية - شركة البترول الوطنية الكويتية</t>
        </is>
      </c>
      <c r="E60" s="13" t="inlineStr">
        <is>
          <t>أعمال وتوريدات تخصصية لزوم شركة البترول الوطنية الكويتية حسب وثائق الممارسة رقم CB/CPC/2564/CNSL عبر منصة K-Tendering.</t>
        </is>
      </c>
      <c r="F60" s="13" t="inlineStr">
        <is>
          <t>وفقاً لشروط وإجراءات المناقصات والتوريد لدى شركة البترول الوطنية الكويتية (KNPC) عبر منصة K-Tendering.</t>
        </is>
      </c>
      <c r="G60" s="14" t="inlineStr">
        <is>
          <t>عام</t>
        </is>
      </c>
      <c r="H60" s="14" t="inlineStr">
        <is>
          <t>15.0%</t>
        </is>
      </c>
      <c r="I60" s="14" t="inlineStr">
        <is>
          <t>oil_and_gas</t>
        </is>
      </c>
      <c r="J60" s="14" t="inlineStr">
        <is>
          <t>2026-09-27</t>
        </is>
      </c>
      <c r="K60" s="14" t="inlineStr">
        <is>
          <t>-</t>
        </is>
      </c>
      <c r="L60" s="14" t="inlineStr">
        <is>
          <t>-</t>
        </is>
      </c>
      <c r="M60" s="14" t="inlineStr">
        <is>
          <t>-</t>
        </is>
      </c>
      <c r="N60" s="21" t="inlineStr">
        <is>
          <t>NEW</t>
        </is>
      </c>
      <c r="O60" s="14" t="inlineStr">
        <is>
          <t>غير متوافقة</t>
        </is>
      </c>
      <c r="P60" s="22">
        <f>HYPERLINK("https://kuwaitalyawm.media.gov.kw/Online/ViewAdsHTML?id=171728&amp;no=1", "عرض المصدر")</f>
        <v/>
      </c>
    </row>
    <row r="61">
      <c r="A61" s="11" t="inlineStr">
        <is>
          <t>CA/CPC/0964</t>
        </is>
      </c>
      <c r="B61" s="11" t="inlineStr">
        <is>
          <t>شركة البترول الوطنية الكويتية</t>
        </is>
      </c>
      <c r="C61" s="11" t="inlineStr">
        <is>
          <t>Abrar Al-Qallaf</t>
        </is>
      </c>
      <c r="D61" s="11" t="inlineStr">
        <is>
          <t>ممارسة رقم CA/CPC/0964: توريد مواد ومهمات تشغيلية لزوم شركة البترول الوطنية الكويتية - شركة البترول الوطنية الكويتية</t>
        </is>
      </c>
      <c r="E61" s="11" t="inlineStr">
        <is>
          <t>أعمال وتوريدات تخصصية لزوم شركة البترول الوطنية الكويتية حسب وثائق الممارسة رقم CA/CPC/0964 عبر منصة K-Tendering.</t>
        </is>
      </c>
      <c r="F61" s="11" t="inlineStr">
        <is>
          <t>وفقاً لشروط وإجراءات المناقصات والتوريد لدى شركة البترول الوطنية الكويتية (KNPC) عبر منصة K-Tendering.</t>
        </is>
      </c>
      <c r="G61" s="12" t="inlineStr">
        <is>
          <t>عام</t>
        </is>
      </c>
      <c r="H61" s="12" t="inlineStr">
        <is>
          <t>15.0%</t>
        </is>
      </c>
      <c r="I61" s="12" t="inlineStr">
        <is>
          <t>oil_and_gas</t>
        </is>
      </c>
      <c r="J61" s="12" t="inlineStr">
        <is>
          <t>2026-09-06</t>
        </is>
      </c>
      <c r="K61" s="12" t="inlineStr">
        <is>
          <t>-</t>
        </is>
      </c>
      <c r="L61" s="12" t="inlineStr">
        <is>
          <t>-</t>
        </is>
      </c>
      <c r="M61" s="12" t="inlineStr">
        <is>
          <t>-</t>
        </is>
      </c>
      <c r="N61" s="21" t="inlineStr">
        <is>
          <t>NEW</t>
        </is>
      </c>
      <c r="O61" s="12" t="inlineStr">
        <is>
          <t>غير متوافقة</t>
        </is>
      </c>
      <c r="P61" s="23">
        <f>HYPERLINK("https://kuwaitalyawm.media.gov.kw/Online/ViewAdsHTML?id=171736&amp;no=1", "عرض المصدر")</f>
        <v/>
      </c>
    </row>
    <row r="62">
      <c r="A62" s="13" t="inlineStr">
        <is>
          <t>RFQ/2163185</t>
        </is>
      </c>
      <c r="B62" s="13" t="inlineStr">
        <is>
          <t>شركة البترول الوطنية الكويتية</t>
        </is>
      </c>
      <c r="C62" s="13" t="inlineStr">
        <is>
          <t>Abrar Al-Qallaf</t>
        </is>
      </c>
      <c r="D62" s="13" t="inlineStr">
        <is>
          <t>ممارسة رقم RFQ/2163185: 2163185 - شركة البترول الوطنية الكويتية</t>
        </is>
      </c>
      <c r="E62" s="13" t="inlineStr">
        <is>
          <t>أعمال وتوريدات تخصصية لزوم شركة البترول الوطنية الكويتية حسب وثائق الممارسة رقم RFQ/2163185 عبر منصة K-Tendering.</t>
        </is>
      </c>
      <c r="F62" s="13" t="inlineStr">
        <is>
          <t>وفقاً لشروط وإجراءات المناقصات والتوريد لدى شركة البترول الوطنية الكويتية (KNPC) عبر منصة K-Tendering.</t>
        </is>
      </c>
      <c r="G62" s="14" t="inlineStr">
        <is>
          <t>عام</t>
        </is>
      </c>
      <c r="H62" s="14" t="inlineStr">
        <is>
          <t>15.0%</t>
        </is>
      </c>
      <c r="I62" s="14" t="inlineStr">
        <is>
          <t>oil_and_gas</t>
        </is>
      </c>
      <c r="J62" s="14" t="inlineStr">
        <is>
          <t>2026-09-13</t>
        </is>
      </c>
      <c r="K62" s="14" t="inlineStr">
        <is>
          <t>-</t>
        </is>
      </c>
      <c r="L62" s="14" t="inlineStr">
        <is>
          <t>-</t>
        </is>
      </c>
      <c r="M62" s="14" t="inlineStr">
        <is>
          <t>-</t>
        </is>
      </c>
      <c r="N62" s="21" t="inlineStr">
        <is>
          <t>NEW</t>
        </is>
      </c>
      <c r="O62" s="14" t="inlineStr">
        <is>
          <t>غير متوافقة</t>
        </is>
      </c>
      <c r="P62" s="22">
        <f>HYPERLINK("https://kuwaitalyawm.media.gov.kw/Online/ViewAdsHTML?id=170525&amp;no=1", "عرض المصدر")</f>
        <v/>
      </c>
    </row>
    <row r="63">
      <c r="A63" s="11" t="inlineStr">
        <is>
          <t>RFQ/2163729</t>
        </is>
      </c>
      <c r="B63" s="11" t="inlineStr">
        <is>
          <t>شركة البترول الوطنية الكويتية</t>
        </is>
      </c>
      <c r="C63" s="11" t="inlineStr">
        <is>
          <t>Abrar Al-Qallaf</t>
        </is>
      </c>
      <c r="D63" s="11" t="inlineStr">
        <is>
          <t>ممارسة رقم RFQ/2163729: 2163729 - شركة البترول الوطنية الكويتية</t>
        </is>
      </c>
      <c r="E63" s="11" t="inlineStr">
        <is>
          <t>أعمال وتوريدات تخصصية لزوم شركة البترول الوطنية الكويتية حسب وثائق الممارسة رقم RFQ/2163729 عبر منصة K-Tendering.</t>
        </is>
      </c>
      <c r="F63" s="11" t="inlineStr">
        <is>
          <t>وفقاً لشروط وإجراءات المناقصات والتوريد لدى شركة البترول الوطنية الكويتية (KNPC) عبر منصة K-Tendering.</t>
        </is>
      </c>
      <c r="G63" s="12" t="inlineStr">
        <is>
          <t>عام</t>
        </is>
      </c>
      <c r="H63" s="12" t="inlineStr">
        <is>
          <t>15.0%</t>
        </is>
      </c>
      <c r="I63" s="12" t="inlineStr">
        <is>
          <t>oil_and_gas</t>
        </is>
      </c>
      <c r="J63" s="12" t="inlineStr">
        <is>
          <t>2026-09-13</t>
        </is>
      </c>
      <c r="K63" s="12" t="inlineStr">
        <is>
          <t>-</t>
        </is>
      </c>
      <c r="L63" s="12" t="inlineStr">
        <is>
          <t>-</t>
        </is>
      </c>
      <c r="M63" s="12" t="inlineStr">
        <is>
          <t>-</t>
        </is>
      </c>
      <c r="N63" s="21" t="inlineStr">
        <is>
          <t>NEW</t>
        </is>
      </c>
      <c r="O63" s="12" t="inlineStr">
        <is>
          <t>غير متوافقة</t>
        </is>
      </c>
      <c r="P63" s="23">
        <f>HYPERLINK("https://kuwaitalyawm.media.gov.kw/Online/ViewAdsHTML?id=170526&amp;no=1", "عرض المصدر")</f>
        <v/>
      </c>
    </row>
    <row r="64">
      <c r="A64" s="13" t="inlineStr">
        <is>
          <t>RFQ/2162788</t>
        </is>
      </c>
      <c r="B64" s="13" t="inlineStr">
        <is>
          <t>شركة البترول الوطنية الكويتية</t>
        </is>
      </c>
      <c r="C64" s="13" t="inlineStr">
        <is>
          <t>Abrar Al-Qallaf</t>
        </is>
      </c>
      <c r="D64" s="13" t="inlineStr">
        <is>
          <t>ممارسة رقم RFQ/2162788: 2162788 - شركة البترول الوطنية الكويتية</t>
        </is>
      </c>
      <c r="E64" s="13" t="inlineStr">
        <is>
          <t>أعمال وتوريدات تخصصية لزوم شركة البترول الوطنية الكويتية حسب وثائق الممارسة رقم RFQ/2162788 عبر منصة K-Tendering.</t>
        </is>
      </c>
      <c r="F64" s="13" t="inlineStr">
        <is>
          <t>وفقاً لشروط وإجراءات المناقصات والتوريد لدى شركة البترول الوطنية الكويتية (KNPC) عبر منصة K-Tendering.</t>
        </is>
      </c>
      <c r="G64" s="14" t="inlineStr">
        <is>
          <t>عام</t>
        </is>
      </c>
      <c r="H64" s="14" t="inlineStr">
        <is>
          <t>15.0%</t>
        </is>
      </c>
      <c r="I64" s="14" t="inlineStr">
        <is>
          <t>oil_and_gas</t>
        </is>
      </c>
      <c r="J64" s="14" t="inlineStr">
        <is>
          <t>2026-08-30</t>
        </is>
      </c>
      <c r="K64" s="14" t="inlineStr">
        <is>
          <t>-</t>
        </is>
      </c>
      <c r="L64" s="14" t="inlineStr">
        <is>
          <t>-</t>
        </is>
      </c>
      <c r="M64" s="14" t="inlineStr">
        <is>
          <t>-</t>
        </is>
      </c>
      <c r="N64" s="21" t="inlineStr">
        <is>
          <t>NEW</t>
        </is>
      </c>
      <c r="O64" s="14" t="inlineStr">
        <is>
          <t>غير متوافقة</t>
        </is>
      </c>
      <c r="P64" s="22">
        <f>HYPERLINK("https://kuwaitalyawm.media.gov.kw/Online/ViewAdsHTML?id=170528&amp;no=1", "عرض المصدر")</f>
        <v/>
      </c>
    </row>
    <row r="65">
      <c r="A65" s="11" t="inlineStr">
        <is>
          <t>RFQ/2163773</t>
        </is>
      </c>
      <c r="B65" s="11" t="inlineStr">
        <is>
          <t>شركة البترول الوطنية الكويتية</t>
        </is>
      </c>
      <c r="C65" s="11" t="inlineStr">
        <is>
          <t>Abrar Al-Qallaf</t>
        </is>
      </c>
      <c r="D65" s="11" t="inlineStr">
        <is>
          <t>ممارسة رقم RFQ/2163773: 2163773 - شركة البترول الوطنية الكويتية</t>
        </is>
      </c>
      <c r="E65" s="11" t="inlineStr">
        <is>
          <t>أعمال وتوريدات تخصصية لزوم شركة البترول الوطنية الكويتية حسب وثائق الممارسة رقم RFQ/2163773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2026-09-13</t>
        </is>
      </c>
      <c r="K65" s="12" t="inlineStr">
        <is>
          <t>-</t>
        </is>
      </c>
      <c r="L65" s="12" t="inlineStr">
        <is>
          <t>-</t>
        </is>
      </c>
      <c r="M65" s="12" t="inlineStr">
        <is>
          <t>-</t>
        </is>
      </c>
      <c r="N65" s="21" t="inlineStr">
        <is>
          <t>NEW</t>
        </is>
      </c>
      <c r="O65" s="12" t="inlineStr">
        <is>
          <t>غير متوافقة</t>
        </is>
      </c>
      <c r="P65" s="23">
        <f>HYPERLINK("https://kuwaitalyawm.media.gov.kw/Online/ViewAdsHTML?id=170530&amp;no=1", "عرض المصدر")</f>
        <v/>
      </c>
    </row>
    <row r="66">
      <c r="A66" s="13" t="inlineStr">
        <is>
          <t>RFP/2161888</t>
        </is>
      </c>
      <c r="B66" s="13" t="inlineStr">
        <is>
          <t>شركة البترول الوطنية الكويتية</t>
        </is>
      </c>
      <c r="C66" s="13" t="inlineStr">
        <is>
          <t>Abrar Al-Qallaf</t>
        </is>
      </c>
      <c r="D66" s="13" t="inlineStr">
        <is>
          <t>ممارسة رقم RFP/2161888: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RFP/2161888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t>
        </is>
      </c>
      <c r="L66" s="14" t="inlineStr">
        <is>
          <t>-</t>
        </is>
      </c>
      <c r="M66" s="14" t="inlineStr">
        <is>
          <t>250.0</t>
        </is>
      </c>
      <c r="N66" s="21" t="inlineStr">
        <is>
          <t>NEW</t>
        </is>
      </c>
      <c r="O66" s="14" t="inlineStr">
        <is>
          <t>غير متوافقة</t>
        </is>
      </c>
      <c r="P66" s="22">
        <f>HYPERLINK("https://kuwaitalyawm.media.gov.kw/Online/ViewAdsHTML?id=170536&amp;no=1", "عرض المصدر")</f>
        <v/>
      </c>
    </row>
    <row r="67">
      <c r="A67" s="11" t="inlineStr">
        <is>
          <t>CB CPC 2551</t>
        </is>
      </c>
      <c r="B67" s="11" t="inlineStr">
        <is>
          <t>شركة البترول الوطنية الكويتية</t>
        </is>
      </c>
      <c r="C67" s="11" t="inlineStr">
        <is>
          <t>Abrar Al-Qallaf</t>
        </is>
      </c>
      <c r="D67" s="11" t="inlineStr">
        <is>
          <t>ممارسة رقم CB CPC 2551: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CB CPC 2551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2026-09-06</t>
        </is>
      </c>
      <c r="K67" s="12" t="inlineStr">
        <is>
          <t>-</t>
        </is>
      </c>
      <c r="L67" s="12" t="inlineStr">
        <is>
          <t>-</t>
        </is>
      </c>
      <c r="M67" s="12" t="inlineStr">
        <is>
          <t>-</t>
        </is>
      </c>
      <c r="N67" s="21" t="inlineStr">
        <is>
          <t>NEW</t>
        </is>
      </c>
      <c r="O67" s="12" t="inlineStr">
        <is>
          <t>غير متوافقة</t>
        </is>
      </c>
      <c r="P67" s="23">
        <f>HYPERLINK("https://kuwaitalyawm.media.gov.kw/Online/ViewAdsHTML?id=169420&amp;no=1", "عرض المصدر")</f>
        <v/>
      </c>
    </row>
    <row r="68">
      <c r="A68" s="13" t="inlineStr">
        <is>
          <t>RFQ 1061885</t>
        </is>
      </c>
      <c r="B68" s="13" t="inlineStr">
        <is>
          <t>شركة البترول الوطنية الكويتية</t>
        </is>
      </c>
      <c r="C68" s="13" t="inlineStr">
        <is>
          <t>Abrar Al-Qallaf</t>
        </is>
      </c>
      <c r="D68" s="13" t="inlineStr">
        <is>
          <t>ممارسة رقم RFQ 1061885: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 1061885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2026-09-06</t>
        </is>
      </c>
      <c r="K68" s="14" t="inlineStr">
        <is>
          <t>-</t>
        </is>
      </c>
      <c r="L68" s="14" t="inlineStr">
        <is>
          <t>-</t>
        </is>
      </c>
      <c r="M68" s="14" t="inlineStr">
        <is>
          <t>-</t>
        </is>
      </c>
      <c r="N68" s="21" t="inlineStr">
        <is>
          <t>NEW</t>
        </is>
      </c>
      <c r="O68" s="14" t="inlineStr">
        <is>
          <t>غير متوافقة</t>
        </is>
      </c>
      <c r="P68" s="22">
        <f>HYPERLINK("https://kuwaitalyawm.media.gov.kw/Online/ViewAdsHTML?id=169422&amp;no=1", "عرض المصدر")</f>
        <v/>
      </c>
    </row>
    <row r="69">
      <c r="A69" s="11" t="inlineStr">
        <is>
          <t>126</t>
        </is>
      </c>
      <c r="B69" s="11" t="inlineStr">
        <is>
          <t>شركة البترول الوطنية الكويتية</t>
        </is>
      </c>
      <c r="C69" s="11" t="inlineStr">
        <is>
          <t>Abrar Al-Qallaf</t>
        </is>
      </c>
      <c r="D69" s="11" t="inlineStr">
        <is>
          <t>ممارسة رقم 126: توريد مواد ومهمات تشغيلية لزوم شركة البترول الوطنية الكويتية - شركة البترول الوطنية الكويتية</t>
        </is>
      </c>
      <c r="E69" s="11" t="inlineStr">
        <is>
          <t>أعمال وتوريدات تخصصية لزوم شركة البترول الوطنية الكويتية حسب وثائق الممارسة رقم 126 عبر منصة K-Tendering.</t>
        </is>
      </c>
      <c r="F69" s="11" t="inlineStr">
        <is>
          <t>وفقاً لشروط وإجراءات المناقصات والتوريد لدى شركة البترول الوطنية الكويتية (KNPC) عبر منصة K-Tendering.</t>
        </is>
      </c>
      <c r="G69" s="12" t="inlineStr">
        <is>
          <t>عام</t>
        </is>
      </c>
      <c r="H69" s="12" t="inlineStr">
        <is>
          <t>15.0%</t>
        </is>
      </c>
      <c r="I69" s="12" t="inlineStr">
        <is>
          <t>oil_and_gas</t>
        </is>
      </c>
      <c r="J69" s="12" t="inlineStr">
        <is>
          <t>2026-08-30</t>
        </is>
      </c>
      <c r="K69" s="12" t="inlineStr">
        <is>
          <t>-</t>
        </is>
      </c>
      <c r="L69" s="12" t="inlineStr">
        <is>
          <t>-</t>
        </is>
      </c>
      <c r="M69" s="12" t="inlineStr">
        <is>
          <t>-</t>
        </is>
      </c>
      <c r="N69" s="21" t="inlineStr">
        <is>
          <t>NEW</t>
        </is>
      </c>
      <c r="O69" s="12" t="inlineStr">
        <is>
          <t>غير متوافقة</t>
        </is>
      </c>
      <c r="P69" s="23">
        <f>HYPERLINK("https://kuwaitalyawm.media.gov.kw/Online/ViewAdsHTML?id=168769&amp;no=1", "عرض المصدر")</f>
        <v/>
      </c>
    </row>
    <row r="70">
      <c r="A70" s="13" t="inlineStr">
        <is>
          <t>RFQ 2163800</t>
        </is>
      </c>
      <c r="B70" s="13" t="inlineStr">
        <is>
          <t>شركة البترول الوطنية الكويتية</t>
        </is>
      </c>
      <c r="C70" s="13" t="inlineStr">
        <is>
          <t>Abrar Al-Qallaf</t>
        </is>
      </c>
      <c r="D70" s="13" t="inlineStr">
        <is>
          <t>ممارسة رقم RFQ 2163800: 2163800 - شركة البترول الوطنية الكويتية</t>
        </is>
      </c>
      <c r="E70" s="13" t="inlineStr">
        <is>
          <t>أعمال وتوريدات تخصصية لزوم شركة البترول الوطنية الكويتية حسب وثائق الممارسة رقم RFQ 2163800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2026-08-30</t>
        </is>
      </c>
      <c r="K70" s="14" t="inlineStr">
        <is>
          <t>-</t>
        </is>
      </c>
      <c r="L70" s="14" t="inlineStr">
        <is>
          <t>-</t>
        </is>
      </c>
      <c r="M70" s="14" t="inlineStr">
        <is>
          <t>-</t>
        </is>
      </c>
      <c r="N70" s="21" t="inlineStr">
        <is>
          <t>NEW</t>
        </is>
      </c>
      <c r="O70" s="14" t="inlineStr">
        <is>
          <t>غير متوافقة</t>
        </is>
      </c>
      <c r="P70" s="22">
        <f>HYPERLINK("https://kuwaitalyawm.media.gov.kw/Online/ViewAdsHTML?id=168778&amp;no=1", "عرض المصدر")</f>
        <v/>
      </c>
    </row>
    <row r="71">
      <c r="A71" s="11" t="inlineStr">
        <is>
          <t>RFQ 2161955</t>
        </is>
      </c>
      <c r="B71" s="11" t="inlineStr">
        <is>
          <t>شركة البترول الوطنية الكويتية</t>
        </is>
      </c>
      <c r="C71" s="11" t="inlineStr">
        <is>
          <t>Abrar Al-Qallaf</t>
        </is>
      </c>
      <c r="D71" s="11" t="inlineStr">
        <is>
          <t>ممارسة رقم RFQ 2161955: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 2161955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2026-08-30</t>
        </is>
      </c>
      <c r="K71" s="12" t="inlineStr">
        <is>
          <t>-</t>
        </is>
      </c>
      <c r="L71" s="12" t="inlineStr">
        <is>
          <t>-</t>
        </is>
      </c>
      <c r="M71" s="12" t="inlineStr">
        <is>
          <t>-</t>
        </is>
      </c>
      <c r="N71" s="21" t="inlineStr">
        <is>
          <t>NEW</t>
        </is>
      </c>
      <c r="O71" s="12" t="inlineStr">
        <is>
          <t>غير متوافقة</t>
        </is>
      </c>
      <c r="P71" s="23">
        <f>HYPERLINK("https://kuwaitalyawm.media.gov.kw/Online/ViewAdsHTML?id=168779&amp;no=1", "عرض المصدر")</f>
        <v/>
      </c>
    </row>
    <row r="72">
      <c r="A72" s="13" t="inlineStr">
        <is>
          <t>RFQ 2151259</t>
        </is>
      </c>
      <c r="B72" s="13" t="inlineStr">
        <is>
          <t>شركة البترول الوطنية الكويتية</t>
        </is>
      </c>
      <c r="C72" s="13" t="inlineStr">
        <is>
          <t>Abrar Al-Qallaf</t>
        </is>
      </c>
      <c r="D72" s="13" t="inlineStr">
        <is>
          <t>ممارسة رقم RFQ 2151259: PALEOZOIC HPHT ONSHORE EXPLORATORY WELLS - شركة البترول الوطنية الكويتية</t>
        </is>
      </c>
      <c r="E72" s="13" t="inlineStr">
        <is>
          <t>أعمال وتوريدات تخصصية لزوم شركة البترول الوطنية الكويتية حسب وثائق الممارسة رقم RFQ 2151259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t>
        </is>
      </c>
      <c r="L72" s="14" t="inlineStr">
        <is>
          <t>-</t>
        </is>
      </c>
      <c r="M72" s="14" t="inlineStr">
        <is>
          <t>-</t>
        </is>
      </c>
      <c r="N72" s="21" t="inlineStr">
        <is>
          <t>NEW</t>
        </is>
      </c>
      <c r="O72" s="14" t="inlineStr">
        <is>
          <t>غير متوافقة</t>
        </is>
      </c>
      <c r="P72" s="22">
        <f>HYPERLINK("https://kuwaitalyawm.media.gov.kw/Online/ViewAdsHTML?id=168780&amp;no=1", "عرض المصدر")</f>
        <v/>
      </c>
    </row>
    <row r="73">
      <c r="A73" s="11" t="inlineStr">
        <is>
          <t>RFQ 2160432</t>
        </is>
      </c>
      <c r="B73" s="11" t="inlineStr">
        <is>
          <t>شركة البترول الوطنية الكويتية</t>
        </is>
      </c>
      <c r="C73" s="11" t="inlineStr">
        <is>
          <t>Abrar Al-Qallaf</t>
        </is>
      </c>
      <c r="D73" s="11" t="inlineStr">
        <is>
          <t>ممارسة رقم RFQ 2160432: 2160432 - شركة البترول الوطنية الكويتية</t>
        </is>
      </c>
      <c r="E73" s="11" t="inlineStr">
        <is>
          <t>أعمال وتوريدات تخصصية لزوم شركة البترول الوطنية الكويتية حسب وثائق الممارسة رقم RFQ 2160432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1" t="inlineStr">
        <is>
          <t>NEW</t>
        </is>
      </c>
      <c r="O73" s="12" t="inlineStr">
        <is>
          <t>غير متوافقة</t>
        </is>
      </c>
      <c r="P73" s="23">
        <f>HYPERLINK("https://kuwaitalyawm.media.gov.kw/Online/ViewAdsHTML?id=168781&amp;no=1", "عرض المصدر")</f>
        <v/>
      </c>
    </row>
    <row r="74">
      <c r="A74" s="13" t="inlineStr">
        <is>
          <t>1000</t>
        </is>
      </c>
      <c r="B74" s="13" t="inlineStr">
        <is>
          <t>شركة البترول الوطنية الكويتية</t>
        </is>
      </c>
      <c r="C74" s="13" t="inlineStr">
        <is>
          <t>Abrar Al-Qallaf</t>
        </is>
      </c>
      <c r="D74" s="13" t="inlineStr">
        <is>
          <t>ممارسة رقم 1000: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1000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2026-08-23</t>
        </is>
      </c>
      <c r="K74" s="14" t="inlineStr">
        <is>
          <t>-</t>
        </is>
      </c>
      <c r="L74" s="14" t="inlineStr">
        <is>
          <t>-</t>
        </is>
      </c>
      <c r="M74" s="14" t="inlineStr">
        <is>
          <t>-</t>
        </is>
      </c>
      <c r="N74" s="21" t="inlineStr">
        <is>
          <t>NEW</t>
        </is>
      </c>
      <c r="O74" s="14" t="inlineStr">
        <is>
          <t>غير متوافقة</t>
        </is>
      </c>
      <c r="P74" s="22">
        <f>HYPERLINK("https://kuwaitalyawm.media.gov.kw/Online/ViewAdsHTML?id=167908&amp;no=1", "عرض المصدر")</f>
        <v/>
      </c>
    </row>
    <row r="75">
      <c r="A75" s="11" t="inlineStr">
        <is>
          <t>RFQ/2165292</t>
        </is>
      </c>
      <c r="B75" s="11" t="inlineStr">
        <is>
          <t>شركة البترول الوطنية الكويتية</t>
        </is>
      </c>
      <c r="C75" s="11" t="inlineStr">
        <is>
          <t>Abrar Al-Qallaf</t>
        </is>
      </c>
      <c r="D75" s="11" t="inlineStr">
        <is>
          <t>ممارسة رقم RFQ/2165292: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RFQ/2165292 عبر منصة K-Tendering.</t>
        </is>
      </c>
      <c r="F75" s="11" t="inlineStr">
        <is>
          <t>وفقاً لشروط وإجراءات المناقصات والتوريد لدى شركة البترول الوطنية الكويتية (KNPC)</t>
        </is>
      </c>
      <c r="G75" s="12" t="inlineStr">
        <is>
          <t>عام</t>
        </is>
      </c>
      <c r="H75" s="12" t="inlineStr">
        <is>
          <t>15.0%</t>
        </is>
      </c>
      <c r="I75" s="12" t="inlineStr">
        <is>
          <t>oil_and_gas</t>
        </is>
      </c>
      <c r="J75" s="12" t="inlineStr">
        <is>
          <t>2026-09-27</t>
        </is>
      </c>
      <c r="K75" s="12" t="inlineStr">
        <is>
          <t>-</t>
        </is>
      </c>
      <c r="L75" s="12" t="inlineStr">
        <is>
          <t>-</t>
        </is>
      </c>
      <c r="M75" s="12" t="inlineStr">
        <is>
          <t>-</t>
        </is>
      </c>
      <c r="N75" s="26" t="inlineStr">
        <is>
          <t>UNCHANGED</t>
        </is>
      </c>
      <c r="O75" s="12" t="inlineStr">
        <is>
          <t>غير متوافقة</t>
        </is>
      </c>
      <c r="P75" s="23">
        <f>HYPERLINK("https://kuwaitalyawm.media.gov.kw/flip/index?id=5599&amp;no=227", "عرض المصدر")</f>
        <v/>
      </c>
    </row>
    <row r="76">
      <c r="A76" s="13" t="inlineStr">
        <is>
          <t>RFQ/2162141</t>
        </is>
      </c>
      <c r="B76" s="13" t="inlineStr">
        <is>
          <t>شركة البترول الوطنية الكويتية</t>
        </is>
      </c>
      <c r="C76" s="13" t="inlineStr">
        <is>
          <t>Abrar Al-Qallaf</t>
        </is>
      </c>
      <c r="D76" s="13" t="inlineStr">
        <is>
          <t>ممارسة رقم RFQ/2162141: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RFQ/2162141 عبر منصة K-Tendering.</t>
        </is>
      </c>
      <c r="F76" s="13" t="inlineStr">
        <is>
          <t>وفقاً لشروط وإجراءات المناقصات والتوريد لدى شركة البترول الوطنية الكويتية (KNPC)</t>
        </is>
      </c>
      <c r="G76" s="14" t="inlineStr">
        <is>
          <t>عام</t>
        </is>
      </c>
      <c r="H76" s="14" t="inlineStr">
        <is>
          <t>15.0%</t>
        </is>
      </c>
      <c r="I76" s="14" t="inlineStr">
        <is>
          <t>oil_and_gas</t>
        </is>
      </c>
      <c r="J76" s="14" t="inlineStr">
        <is>
          <t>2026-09-27</t>
        </is>
      </c>
      <c r="K76" s="14" t="inlineStr">
        <is>
          <t>-</t>
        </is>
      </c>
      <c r="L76" s="14" t="inlineStr">
        <is>
          <t>-</t>
        </is>
      </c>
      <c r="M76" s="14" t="inlineStr">
        <is>
          <t>-</t>
        </is>
      </c>
      <c r="N76" s="21" t="inlineStr">
        <is>
          <t>NEW</t>
        </is>
      </c>
      <c r="O76" s="14" t="inlineStr">
        <is>
          <t>غير متوافقة</t>
        </is>
      </c>
      <c r="P76" s="22">
        <f>HYPERLINK("https://kuwaitalyawm.media.gov.kw/flip/index?id=5599&amp;no=232", "عرض المصدر")</f>
        <v/>
      </c>
    </row>
    <row r="77">
      <c r="A77" s="11" t="inlineStr">
        <is>
          <t>RFQ/2162882</t>
        </is>
      </c>
      <c r="B77" s="11" t="inlineStr">
        <is>
          <t>شركة البترول الوطنية الكويتية</t>
        </is>
      </c>
      <c r="C77" s="11" t="inlineStr">
        <is>
          <t>Abrar Al-Qallaf</t>
        </is>
      </c>
      <c r="D77" s="11" t="inlineStr">
        <is>
          <t>ممارسة رقم RFQ/2162882: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RFQ/2162882 عبر منصة K-Tendering.</t>
        </is>
      </c>
      <c r="F77" s="11" t="inlineStr">
        <is>
          <t>وفقاً لشروط وإجراءات المناقصات والتوريد لدى شركة البترول الوطنية الكويتية (KNPC)</t>
        </is>
      </c>
      <c r="G77" s="12" t="inlineStr">
        <is>
          <t>عام</t>
        </is>
      </c>
      <c r="H77" s="12" t="inlineStr">
        <is>
          <t>15.0%</t>
        </is>
      </c>
      <c r="I77" s="12" t="inlineStr">
        <is>
          <t>oil_and_gas</t>
        </is>
      </c>
      <c r="J77" s="12" t="inlineStr">
        <is>
          <t>2026-08-30</t>
        </is>
      </c>
      <c r="K77" s="12" t="inlineStr">
        <is>
          <t>-</t>
        </is>
      </c>
      <c r="L77" s="12" t="inlineStr">
        <is>
          <t>-</t>
        </is>
      </c>
      <c r="M77" s="12" t="inlineStr">
        <is>
          <t>-</t>
        </is>
      </c>
      <c r="N77" s="21" t="inlineStr">
        <is>
          <t>NEW</t>
        </is>
      </c>
      <c r="O77" s="12" t="inlineStr">
        <is>
          <t>غير متوافقة</t>
        </is>
      </c>
      <c r="P77" s="23">
        <f>HYPERLINK("https://kuwaitalyawm.media.gov.kw/flip/index?id=5599&amp;no=232", "عرض المصدر")</f>
        <v/>
      </c>
    </row>
    <row r="78">
      <c r="A78" s="13" t="inlineStr">
        <is>
          <t>RFP/2158821</t>
        </is>
      </c>
      <c r="B78" s="13" t="inlineStr">
        <is>
          <t>شركة البترول الوطنية الكويتية</t>
        </is>
      </c>
      <c r="C78" s="13" t="inlineStr">
        <is>
          <t>Abrar Al-Qallaf</t>
        </is>
      </c>
      <c r="D78" s="13" t="inlineStr">
        <is>
          <t>ممارسة رقم RFP/2158821: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RFP/2158821 عبر منصة K-Tendering.</t>
        </is>
      </c>
      <c r="F78" s="13" t="inlineStr">
        <is>
          <t>وفقاً لشروط وإجراءات المناقصات والتوريد لدى شركة البترول الوطنية الكويتية (KNPC)</t>
        </is>
      </c>
      <c r="G78" s="14" t="inlineStr">
        <is>
          <t>عام</t>
        </is>
      </c>
      <c r="H78" s="14" t="inlineStr">
        <is>
          <t>15.0%</t>
        </is>
      </c>
      <c r="I78" s="14" t="inlineStr">
        <is>
          <t>oil_and_gas</t>
        </is>
      </c>
      <c r="J78" s="14" t="inlineStr">
        <is>
          <t>2026-09-27</t>
        </is>
      </c>
      <c r="K78" s="14" t="inlineStr">
        <is>
          <t>-</t>
        </is>
      </c>
      <c r="L78" s="14" t="inlineStr">
        <is>
          <t>-</t>
        </is>
      </c>
      <c r="M78" s="14" t="inlineStr">
        <is>
          <t>-</t>
        </is>
      </c>
      <c r="N78" s="21" t="inlineStr">
        <is>
          <t>NEW</t>
        </is>
      </c>
      <c r="O78" s="14" t="inlineStr">
        <is>
          <t>غير متوافقة</t>
        </is>
      </c>
      <c r="P78" s="22">
        <f>HYPERLINK("https://kuwaitalyawm.media.gov.kw/flip/index?id=5599&amp;no=234", "عرض المصدر")</f>
        <v/>
      </c>
    </row>
    <row r="79">
      <c r="A79" s="11" t="inlineStr">
        <is>
          <t>RFP/2163368</t>
        </is>
      </c>
      <c r="B79" s="11" t="inlineStr">
        <is>
          <t>شركة البترول الوطنية الكويتية</t>
        </is>
      </c>
      <c r="C79" s="11" t="inlineStr">
        <is>
          <t>Abrar Al-Qallaf</t>
        </is>
      </c>
      <c r="D79" s="11" t="inlineStr">
        <is>
          <t>ممارسة رقم RFP/2163368: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RFP/2163368 عبر منصة K-Tendering.</t>
        </is>
      </c>
      <c r="F79" s="11" t="inlineStr">
        <is>
          <t>وفقاً لشروط وإجراءات المناقصات والتوريد لدى شركة البترول الوطنية الكويتية (KNPC)</t>
        </is>
      </c>
      <c r="G79" s="12" t="inlineStr">
        <is>
          <t>عام</t>
        </is>
      </c>
      <c r="H79" s="12" t="inlineStr">
        <is>
          <t>15.0%</t>
        </is>
      </c>
      <c r="I79" s="12" t="inlineStr">
        <is>
          <t>oil_and_gas</t>
        </is>
      </c>
      <c r="J79" s="12" t="inlineStr">
        <is>
          <t>2026-09-27</t>
        </is>
      </c>
      <c r="K79" s="12" t="inlineStr">
        <is>
          <t>-</t>
        </is>
      </c>
      <c r="L79" s="12" t="inlineStr">
        <is>
          <t>30000.0</t>
        </is>
      </c>
      <c r="M79" s="12" t="inlineStr">
        <is>
          <t>-</t>
        </is>
      </c>
      <c r="N79" s="26" t="inlineStr">
        <is>
          <t>UNCHANGED</t>
        </is>
      </c>
      <c r="O79" s="12" t="inlineStr">
        <is>
          <t>غير متوافقة</t>
        </is>
      </c>
      <c r="P79" s="23">
        <f>HYPERLINK("https://kuwaitalyawm.media.gov.kw/flip/index?id=5589&amp;no=190", "عرض المصدر")</f>
        <v/>
      </c>
    </row>
    <row r="80">
      <c r="A80" s="13" t="inlineStr">
        <is>
          <t>RFP/2163398</t>
        </is>
      </c>
      <c r="B80" s="13" t="inlineStr">
        <is>
          <t>شركة البترول الوطنية الكويتية</t>
        </is>
      </c>
      <c r="C80" s="13" t="inlineStr">
        <is>
          <t>Abrar Al-Qallaf</t>
        </is>
      </c>
      <c r="D80" s="13" t="inlineStr">
        <is>
          <t>ممارسة رقم RFP/2163398: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RFP/2163398 عبر منصة K-Tendering.</t>
        </is>
      </c>
      <c r="F80" s="13" t="inlineStr">
        <is>
          <t>وفقاً لشروط وإجراءات المناقصات والتوريد لدى شركة البترول الوطنية الكويتية (KNPC)</t>
        </is>
      </c>
      <c r="G80" s="14" t="inlineStr">
        <is>
          <t>عام</t>
        </is>
      </c>
      <c r="H80" s="14" t="inlineStr">
        <is>
          <t>15.0%</t>
        </is>
      </c>
      <c r="I80" s="14" t="inlineStr">
        <is>
          <t>oil_and_gas</t>
        </is>
      </c>
      <c r="J80" s="14" t="inlineStr">
        <is>
          <t>2026-09-27</t>
        </is>
      </c>
      <c r="K80" s="14" t="inlineStr">
        <is>
          <t>-</t>
        </is>
      </c>
      <c r="L80" s="14" t="inlineStr">
        <is>
          <t>50000.0</t>
        </is>
      </c>
      <c r="M80" s="14" t="inlineStr">
        <is>
          <t>-</t>
        </is>
      </c>
      <c r="N80" s="26" t="inlineStr">
        <is>
          <t>UNCHANGED</t>
        </is>
      </c>
      <c r="O80" s="14" t="inlineStr">
        <is>
          <t>غير متوافقة</t>
        </is>
      </c>
      <c r="P80" s="22">
        <f>HYPERLINK("https://kuwaitalyawm.media.gov.kw/flip/index?id=5599&amp;no=236", "عرض المصدر")</f>
        <v/>
      </c>
    </row>
    <row r="81">
      <c r="A81" s="11" t="inlineStr">
        <is>
          <t>RFP/2165997</t>
        </is>
      </c>
      <c r="B81" s="11" t="inlineStr">
        <is>
          <t>شركة البترول الوطنية الكويتية</t>
        </is>
      </c>
      <c r="C81" s="11" t="inlineStr">
        <is>
          <t>Abrar Al-Qallaf</t>
        </is>
      </c>
      <c r="D81" s="11" t="inlineStr">
        <is>
          <t>ممارسة رقم RFP/2165997: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RFP/2165997 عبر منصة K-Tendering.</t>
        </is>
      </c>
      <c r="F81" s="11" t="inlineStr">
        <is>
          <t>وفقاً لشروط وإجراءات المناقصات والتوريد لدى شركة البترول الوطنية الكويتية (KNPC)</t>
        </is>
      </c>
      <c r="G81" s="12" t="inlineStr">
        <is>
          <t>عام</t>
        </is>
      </c>
      <c r="H81" s="12" t="inlineStr">
        <is>
          <t>15.0%</t>
        </is>
      </c>
      <c r="I81" s="12" t="inlineStr">
        <is>
          <t>oil_and_gas</t>
        </is>
      </c>
      <c r="J81" s="12" t="inlineStr">
        <is>
          <t>2026-09-27</t>
        </is>
      </c>
      <c r="K81" s="12" t="inlineStr">
        <is>
          <t>-</t>
        </is>
      </c>
      <c r="L81" s="12" t="inlineStr">
        <is>
          <t>-</t>
        </is>
      </c>
      <c r="M81" s="12" t="inlineStr">
        <is>
          <t>250.0</t>
        </is>
      </c>
      <c r="N81" s="26" t="inlineStr">
        <is>
          <t>UNCHANGED</t>
        </is>
      </c>
      <c r="O81" s="12" t="inlineStr">
        <is>
          <t>غير متوافقة</t>
        </is>
      </c>
      <c r="P81" s="23">
        <f>HYPERLINK("https://kuwaitalyawm.media.gov.kw/flip/index?id=5599&amp;no=238", "عرض المصدر")</f>
        <v/>
      </c>
    </row>
    <row r="82">
      <c r="A82" s="13" t="inlineStr">
        <is>
          <t>RFQ/2161574</t>
        </is>
      </c>
      <c r="B82" s="13" t="inlineStr">
        <is>
          <t>شركة البترول الوطنية الكويتية</t>
        </is>
      </c>
      <c r="C82" s="13" t="inlineStr">
        <is>
          <t>Abrar Al-Qallaf</t>
        </is>
      </c>
      <c r="D82" s="13" t="inlineStr">
        <is>
          <t>ممارسة رقم RFQ/2161574: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RFQ/2161574 عبر منصة K-Tendering.</t>
        </is>
      </c>
      <c r="F82" s="13" t="inlineStr">
        <is>
          <t>وفقاً لشروط وإجراءات المناقصات والتوريد لدى شركة البترول الوطنية الكويتية (KNPC) عبر منصة K-Tendering.</t>
        </is>
      </c>
      <c r="G82" s="14" t="inlineStr">
        <is>
          <t>عام</t>
        </is>
      </c>
      <c r="H82" s="14" t="inlineStr">
        <is>
          <t>15.0%</t>
        </is>
      </c>
      <c r="I82" s="14" t="inlineStr">
        <is>
          <t>oil_and_gas</t>
        </is>
      </c>
      <c r="J82" s="14" t="inlineStr">
        <is>
          <t>2026-09-13</t>
        </is>
      </c>
      <c r="K82" s="14" t="inlineStr">
        <is>
          <t>2026-09-14</t>
        </is>
      </c>
      <c r="L82" s="14" t="inlineStr">
        <is>
          <t>-</t>
        </is>
      </c>
      <c r="M82" s="14" t="inlineStr">
        <is>
          <t>-</t>
        </is>
      </c>
      <c r="N82" s="21" t="inlineStr">
        <is>
          <t>NEW</t>
        </is>
      </c>
      <c r="O82" s="14" t="inlineStr">
        <is>
          <t>غير متوافقة</t>
        </is>
      </c>
      <c r="P82" s="22">
        <f>HYPERLINK("https://kuwaitalyawm.media.gov.kw/Online/ViewAdsHTML?id=170529&amp;no=1", "عرض المصدر")</f>
        <v/>
      </c>
    </row>
    <row r="83">
      <c r="A83" s="11" t="inlineStr">
        <is>
          <t>RFQ/2167273</t>
        </is>
      </c>
      <c r="B83" s="11" t="inlineStr">
        <is>
          <t>شركة البترول الوطنية الكويتية</t>
        </is>
      </c>
      <c r="C83" s="11" t="inlineStr">
        <is>
          <t>Abrar Al-Qallaf</t>
        </is>
      </c>
      <c r="D83" s="11" t="inlineStr">
        <is>
          <t>ممارسة رقم RFQ/2167273: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RFQ/2167273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2026-09-27</t>
        </is>
      </c>
      <c r="K83" s="12" t="inlineStr">
        <is>
          <t>2026-09-27</t>
        </is>
      </c>
      <c r="L83" s="12" t="inlineStr">
        <is>
          <t>5000.0</t>
        </is>
      </c>
      <c r="M83" s="12" t="inlineStr">
        <is>
          <t>-</t>
        </is>
      </c>
      <c r="N83" s="21" t="inlineStr">
        <is>
          <t>NEW</t>
        </is>
      </c>
      <c r="O83" s="12" t="inlineStr">
        <is>
          <t>غير متوافقة</t>
        </is>
      </c>
      <c r="P83" s="23">
        <f>HYPERLINK("https://kuwaitalyawm.media.gov.kw/Online/ViewAdsHTML?id=171743&amp;no=1", "عرض المصدر")</f>
        <v/>
      </c>
    </row>
    <row r="84">
      <c r="A84" s="13" t="inlineStr">
        <is>
          <t>RFQ/2164961</t>
        </is>
      </c>
      <c r="B84" s="13" t="inlineStr">
        <is>
          <t>شركة البترول الوطنية الكويتية</t>
        </is>
      </c>
      <c r="C84" s="13" t="inlineStr">
        <is>
          <t>Abrar Al-Qallaf</t>
        </is>
      </c>
      <c r="D84" s="13" t="inlineStr">
        <is>
          <t>ممارسة رقم RFQ/2164961: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RFQ/2164961 عبر منصة K-Tendering.</t>
        </is>
      </c>
      <c r="F84" s="13" t="inlineStr">
        <is>
          <t>وفقاً لشروط وإجراءات المناقصات والتوريد لدى شركة البترول الوطنية الكويتية (KNPC)</t>
        </is>
      </c>
      <c r="G84" s="14" t="inlineStr">
        <is>
          <t>عام</t>
        </is>
      </c>
      <c r="H84" s="14" t="inlineStr">
        <is>
          <t>15.0%</t>
        </is>
      </c>
      <c r="I84" s="14" t="inlineStr">
        <is>
          <t>oil_and_gas</t>
        </is>
      </c>
      <c r="J84" s="14" t="inlineStr">
        <is>
          <t>2026-09-27</t>
        </is>
      </c>
      <c r="K84" s="14" t="inlineStr">
        <is>
          <t>2026-09-27</t>
        </is>
      </c>
      <c r="L84" s="14" t="inlineStr">
        <is>
          <t>15000.0</t>
        </is>
      </c>
      <c r="M84" s="14" t="inlineStr">
        <is>
          <t>-</t>
        </is>
      </c>
      <c r="N84" s="21" t="inlineStr">
        <is>
          <t>NEW</t>
        </is>
      </c>
      <c r="O84" s="14" t="inlineStr">
        <is>
          <t>غير متوافقة</t>
        </is>
      </c>
      <c r="P84" s="22">
        <f>HYPERLINK("https://kuwaitalyawm.media.gov.kw/flip/index?id=5599&amp;no=232", "عرض المصدر")</f>
        <v/>
      </c>
    </row>
    <row r="85">
      <c r="A85" s="11" t="inlineStr">
        <is>
          <t>RFQ/2167837</t>
        </is>
      </c>
      <c r="B85" s="11" t="inlineStr">
        <is>
          <t>شركة البترول الوطنية الكويتية</t>
        </is>
      </c>
      <c r="C85" s="11" t="inlineStr">
        <is>
          <t>Abrar Al-Qallaf</t>
        </is>
      </c>
      <c r="D85" s="11" t="inlineStr">
        <is>
          <t>ممارسة رقم RFQ/2167837: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RFQ/2167837 عبر منصة K-Tendering.</t>
        </is>
      </c>
      <c r="F85" s="11" t="inlineStr">
        <is>
          <t>وفقاً لشروط وإجراءات المناقصات والتوريد لدى شركة البترول الوطنية الكويتية (KNPC)</t>
        </is>
      </c>
      <c r="G85" s="12" t="inlineStr">
        <is>
          <t>عام</t>
        </is>
      </c>
      <c r="H85" s="12" t="inlineStr">
        <is>
          <t>15.0%</t>
        </is>
      </c>
      <c r="I85" s="12" t="inlineStr">
        <is>
          <t>oil_and_gas</t>
        </is>
      </c>
      <c r="J85" s="12" t="inlineStr">
        <is>
          <t>2026-09-27</t>
        </is>
      </c>
      <c r="K85" s="12" t="inlineStr">
        <is>
          <t>2026-09-27</t>
        </is>
      </c>
      <c r="L85" s="12" t="inlineStr">
        <is>
          <t>15000.0</t>
        </is>
      </c>
      <c r="M85" s="12" t="inlineStr">
        <is>
          <t>-</t>
        </is>
      </c>
      <c r="N85" s="21" t="inlineStr">
        <is>
          <t>NEW</t>
        </is>
      </c>
      <c r="O85" s="12" t="inlineStr">
        <is>
          <t>غير متوافقة</t>
        </is>
      </c>
      <c r="P85" s="23">
        <f>HYPERLINK("https://kuwaitalyawm.media.gov.kw/flip/index?id=5599&amp;no=233", "عرض المصدر")</f>
        <v/>
      </c>
    </row>
    <row r="86">
      <c r="A86" s="13" t="inlineStr">
        <is>
          <t>CC CMS 6104</t>
        </is>
      </c>
      <c r="B86" s="13" t="inlineStr">
        <is>
          <t>شركة البترول الوطنية الكويتية</t>
        </is>
      </c>
      <c r="C86" s="13" t="inlineStr">
        <is>
          <t>Abrar Al-Qallaf</t>
        </is>
      </c>
      <c r="D86" s="13" t="inlineStr">
        <is>
          <t>ممارسة رقم CC CMS 6104: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CC CMS 6104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2026-08-30</t>
        </is>
      </c>
      <c r="K86" s="14" t="inlineStr">
        <is>
          <t>2026-10-01</t>
        </is>
      </c>
      <c r="L86" s="14" t="inlineStr">
        <is>
          <t>50000.0</t>
        </is>
      </c>
      <c r="M86" s="14" t="inlineStr">
        <is>
          <t>500.0</t>
        </is>
      </c>
      <c r="N86" s="21" t="inlineStr">
        <is>
          <t>NEW</t>
        </is>
      </c>
      <c r="O86" s="14" t="inlineStr">
        <is>
          <t>غير متوافقة</t>
        </is>
      </c>
      <c r="P86" s="22">
        <f>HYPERLINK("https://kuwaitalyawm.media.gov.kw/Online/ViewAdsHTML?id=168768&amp;no=1", "عرض المصدر")</f>
        <v/>
      </c>
    </row>
    <row r="87">
      <c r="A87" s="11" t="inlineStr">
        <is>
          <t>RFQ/2163705</t>
        </is>
      </c>
      <c r="B87" s="11" t="inlineStr">
        <is>
          <t>شركة البترول الوطنية الكويتية</t>
        </is>
      </c>
      <c r="C87" s="11" t="inlineStr">
        <is>
          <t>Abrar Al-Qallaf</t>
        </is>
      </c>
      <c r="D87" s="11" t="inlineStr">
        <is>
          <t>ممارسة رقم RFQ/2163705: 2163705 - شركة البترول الوطنية الكويتية</t>
        </is>
      </c>
      <c r="E87" s="11" t="inlineStr">
        <is>
          <t>أعمال وتوريدات تخصصية لزوم شركة البترول الوطنية الكويتية حسب وثائق الممارسة رقم RFQ/2163705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2026-08-30</t>
        </is>
      </c>
      <c r="K87" s="18" t="inlineStr">
        <is>
          <t>2026-10-05</t>
        </is>
      </c>
      <c r="L87" s="12" t="inlineStr">
        <is>
          <t>-</t>
        </is>
      </c>
      <c r="M87" s="12" t="inlineStr">
        <is>
          <t>-</t>
        </is>
      </c>
      <c r="N87" s="21" t="inlineStr">
        <is>
          <t>NEW</t>
        </is>
      </c>
      <c r="O87" s="12" t="inlineStr">
        <is>
          <t>غير متوافقة</t>
        </is>
      </c>
      <c r="P87" s="23">
        <f>HYPERLINK("https://kuwaitalyawm.media.gov.kw/Online/ViewAdsHTML?id=171745&amp;no=1", "عرض المصدر")</f>
        <v/>
      </c>
    </row>
    <row r="88">
      <c r="A88" s="13" t="inlineStr">
        <is>
          <t>RFQ/2160171</t>
        </is>
      </c>
      <c r="B88" s="13" t="inlineStr">
        <is>
          <t>شركة البترول الوطنية الكويتية</t>
        </is>
      </c>
      <c r="C88" s="13" t="inlineStr">
        <is>
          <t>Abrar Al-Qallaf</t>
        </is>
      </c>
      <c r="D88" s="13" t="inlineStr">
        <is>
          <t>ممارسة رقم RFQ/2160171: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RFQ/2160171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2026-08-30</t>
        </is>
      </c>
      <c r="K88" s="18" t="inlineStr">
        <is>
          <t>2026-10-05</t>
        </is>
      </c>
      <c r="L88" s="14" t="inlineStr">
        <is>
          <t>-</t>
        </is>
      </c>
      <c r="M88" s="14" t="inlineStr">
        <is>
          <t>-</t>
        </is>
      </c>
      <c r="N88" s="21" t="inlineStr">
        <is>
          <t>NEW</t>
        </is>
      </c>
      <c r="O88" s="14" t="inlineStr">
        <is>
          <t>غير متوافقة</t>
        </is>
      </c>
      <c r="P88" s="22">
        <f>HYPERLINK("https://kuwaitalyawm.media.gov.kw/Online/ViewAdsHTML?id=170527&amp;no=1", "عرض المصدر")</f>
        <v/>
      </c>
    </row>
    <row r="89">
      <c r="A89" s="11" t="inlineStr">
        <is>
          <t>RFQ/1063414</t>
        </is>
      </c>
      <c r="B89" s="11" t="inlineStr">
        <is>
          <t>شركة البترول الوطنية الكويتية</t>
        </is>
      </c>
      <c r="C89" s="11" t="inlineStr">
        <is>
          <t>Abrar Al-Qallaf</t>
        </is>
      </c>
      <c r="D89" s="11" t="inlineStr">
        <is>
          <t>ممارسة رقم RFQ/1063414: توريد مستلزمات وتجهيزات ميكانيكية وتشغيلية - شركة البترول الوطنية الكويتية</t>
        </is>
      </c>
      <c r="E89" s="11" t="inlineStr">
        <is>
          <t>توريد معدات ومستلزمات تشغيلية وميكانيكية لعمليات المصافي بشركة البترول الوطنية الكويتية.</t>
        </is>
      </c>
      <c r="F89" s="11" t="inlineStr">
        <is>
          <t>وفقاً لشروط وإجراءات المناقصات والتوريد لدى شركة البترول الوطنية الكويتية (KNPC)</t>
        </is>
      </c>
      <c r="G89" s="12" t="inlineStr">
        <is>
          <t>عام</t>
        </is>
      </c>
      <c r="H89" s="12" t="inlineStr">
        <is>
          <t>15.0%</t>
        </is>
      </c>
      <c r="I89" s="12" t="inlineStr">
        <is>
          <t>oil_and_gas</t>
        </is>
      </c>
      <c r="J89" s="12" t="inlineStr">
        <is>
          <t>2026-09-27</t>
        </is>
      </c>
      <c r="K89" s="18" t="inlineStr">
        <is>
          <t>2026-10-08</t>
        </is>
      </c>
      <c r="L89" s="12" t="inlineStr">
        <is>
          <t>2500.0</t>
        </is>
      </c>
      <c r="M89" s="12" t="inlineStr">
        <is>
          <t>100.0</t>
        </is>
      </c>
      <c r="N89" s="21" t="inlineStr">
        <is>
          <t>NEW</t>
        </is>
      </c>
      <c r="O89" s="12" t="inlineStr">
        <is>
          <t>غير متوافقة</t>
        </is>
      </c>
      <c r="P89" s="23">
        <f>HYPERLINK("https://kuwaitalyawm.media.gov.kw/flip/index?id=5599&amp;no=226", "عرض المصدر")</f>
        <v/>
      </c>
    </row>
    <row r="90">
      <c r="A90" s="13" t="inlineStr">
        <is>
          <t>RFP/2161845</t>
        </is>
      </c>
      <c r="B90" s="13" t="inlineStr">
        <is>
          <t>شركة البترول الوطنية الكويتية</t>
        </is>
      </c>
      <c r="C90" s="13" t="inlineStr">
        <is>
          <t>Abrar Al-Qallaf</t>
        </is>
      </c>
      <c r="D90" s="13" t="inlineStr">
        <is>
          <t>ممارسة رقم RFP/2161845: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RFP/2161845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8" t="inlineStr">
        <is>
          <t>2026-10-12</t>
        </is>
      </c>
      <c r="L90" s="14" t="inlineStr">
        <is>
          <t>30000.0</t>
        </is>
      </c>
      <c r="M90" s="14" t="inlineStr">
        <is>
          <t>-</t>
        </is>
      </c>
      <c r="N90" s="21" t="inlineStr">
        <is>
          <t>NEW</t>
        </is>
      </c>
      <c r="O90" s="14" t="inlineStr">
        <is>
          <t>غير متوافقة</t>
        </is>
      </c>
      <c r="P90" s="22">
        <f>HYPERLINK("https://kuwaitalyawm.media.gov.kw/Online/ViewAdsHTML?id=170535&amp;no=1", "عرض المصدر")</f>
        <v/>
      </c>
    </row>
    <row r="91">
      <c r="A91" s="11" t="inlineStr">
        <is>
          <t>RFP 2156844</t>
        </is>
      </c>
      <c r="B91" s="11" t="inlineStr">
        <is>
          <t>شركة البترول الوطنية الكويتية</t>
        </is>
      </c>
      <c r="C91" s="11" t="inlineStr">
        <is>
          <t>Abrar Al-Qallaf</t>
        </is>
      </c>
      <c r="D91" s="11" t="inlineStr">
        <is>
          <t>ممارسة رقم RFP 2156844: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2156844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8" t="inlineStr">
        <is>
          <t>2026-10-12</t>
        </is>
      </c>
      <c r="L91" s="12" t="inlineStr">
        <is>
          <t>30000.0</t>
        </is>
      </c>
      <c r="M91" s="12" t="inlineStr">
        <is>
          <t>-</t>
        </is>
      </c>
      <c r="N91" s="21" t="inlineStr">
        <is>
          <t>NEW</t>
        </is>
      </c>
      <c r="O91" s="12" t="inlineStr">
        <is>
          <t>غير متوافقة</t>
        </is>
      </c>
      <c r="P91" s="23">
        <f>HYPERLINK("https://kuwaitalyawm.media.gov.kw/Online/ViewAdsHTML?id=169429&amp;no=1", "عرض المصدر")</f>
        <v/>
      </c>
    </row>
    <row r="92">
      <c r="A92" s="13" t="inlineStr">
        <is>
          <t>RFP/2162144</t>
        </is>
      </c>
      <c r="B92" s="13" t="inlineStr">
        <is>
          <t>شركة البترول الوطنية الكويتية</t>
        </is>
      </c>
      <c r="C92" s="13" t="inlineStr">
        <is>
          <t>Abrar Al-Qallaf</t>
        </is>
      </c>
      <c r="D92" s="13" t="inlineStr">
        <is>
          <t>ممارسة رقم RFP/2162144: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RFP/2162144 عبر منصة K-Tendering.</t>
        </is>
      </c>
      <c r="F92" s="13" t="inlineStr">
        <is>
          <t>وفقاً لشروط وإجراءات المناقصات والتوريد لدى شركة البترول الوطنية الكويتية (KNPC)</t>
        </is>
      </c>
      <c r="G92" s="14" t="inlineStr">
        <is>
          <t>عام</t>
        </is>
      </c>
      <c r="H92" s="14" t="inlineStr">
        <is>
          <t>15.0%</t>
        </is>
      </c>
      <c r="I92" s="14" t="inlineStr">
        <is>
          <t>oil_and_gas</t>
        </is>
      </c>
      <c r="J92" s="14" t="inlineStr">
        <is>
          <t>2026-09-27</t>
        </is>
      </c>
      <c r="K92" s="18" t="inlineStr">
        <is>
          <t>2026-10-12</t>
        </is>
      </c>
      <c r="L92" s="14" t="inlineStr">
        <is>
          <t>-</t>
        </is>
      </c>
      <c r="M92" s="14" t="inlineStr">
        <is>
          <t>-</t>
        </is>
      </c>
      <c r="N92" s="26" t="inlineStr">
        <is>
          <t>UNCHANGED</t>
        </is>
      </c>
      <c r="O92" s="14" t="inlineStr">
        <is>
          <t>غير متوافقة</t>
        </is>
      </c>
      <c r="P92" s="22">
        <f>HYPERLINK("https://kuwaitalyawm.media.gov.kw/flip/index?id=5599&amp;no=234", "عرض المصدر")</f>
        <v/>
      </c>
    </row>
    <row r="93">
      <c r="A93" s="11" t="inlineStr">
        <is>
          <t>RFQ/1063250</t>
        </is>
      </c>
      <c r="B93" s="11" t="inlineStr">
        <is>
          <t>شركة البترول الوطنية الكويتية</t>
        </is>
      </c>
      <c r="C93" s="11" t="inlineStr">
        <is>
          <t>Abrar Al-Qallaf</t>
        </is>
      </c>
      <c r="D93" s="11" t="inlineStr">
        <is>
          <t>ممارسة رقم RFQ/1063250: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RFQ/1063250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2026-09-27</t>
        </is>
      </c>
      <c r="K93" s="12" t="inlineStr">
        <is>
          <t>2026-10-15</t>
        </is>
      </c>
      <c r="L93" s="12" t="inlineStr">
        <is>
          <t>1000.0</t>
        </is>
      </c>
      <c r="M93" s="12" t="inlineStr">
        <is>
          <t>-</t>
        </is>
      </c>
      <c r="N93" s="21" t="inlineStr">
        <is>
          <t>NEW</t>
        </is>
      </c>
      <c r="O93" s="12" t="inlineStr">
        <is>
          <t>غير متوافقة</t>
        </is>
      </c>
      <c r="P93" s="23">
        <f>HYPERLINK("https://kuwaitalyawm.media.gov.kw/Online/ViewAdsHTML?id=171729&amp;no=1", "عرض المصدر")</f>
        <v/>
      </c>
    </row>
    <row r="94">
      <c r="A94" s="13" t="inlineStr">
        <is>
          <t>RFQ/1063968</t>
        </is>
      </c>
      <c r="B94" s="13" t="inlineStr">
        <is>
          <t>شركة البترول الوطنية الكويتية</t>
        </is>
      </c>
      <c r="C94" s="13" t="inlineStr">
        <is>
          <t>Abrar Al-Qallaf</t>
        </is>
      </c>
      <c r="D94" s="13" t="inlineStr">
        <is>
          <t>ممارسة رقم RFQ/1063968: توريد مواد ومهمات تشغيلية لزوم شركة البترول الوطنية الكويتية - شركة البترول الوطنية الكويتية</t>
        </is>
      </c>
      <c r="E94" s="13" t="inlineStr">
        <is>
          <t>أعمال وتوريدات تخصصية لزوم شركة البترول الوطنية الكويتية حسب وثائق الممارسة رقم RFQ/1063968 عبر منصة K-Tendering.</t>
        </is>
      </c>
      <c r="F94" s="13" t="inlineStr">
        <is>
          <t>وفقاً لشروط وإجراءات المناقصات والتوريد لدى شركة البترول الوطنية الكويتية (KNPC)</t>
        </is>
      </c>
      <c r="G94" s="14" t="inlineStr">
        <is>
          <t>عام</t>
        </is>
      </c>
      <c r="H94" s="14" t="inlineStr">
        <is>
          <t>15.0%</t>
        </is>
      </c>
      <c r="I94" s="14" t="inlineStr">
        <is>
          <t>oil_and_gas</t>
        </is>
      </c>
      <c r="J94" s="14" t="inlineStr">
        <is>
          <t>2026-09-27</t>
        </is>
      </c>
      <c r="K94" s="14" t="inlineStr">
        <is>
          <t>2026-10-15</t>
        </is>
      </c>
      <c r="L94" s="14" t="inlineStr">
        <is>
          <t>1000.0</t>
        </is>
      </c>
      <c r="M94" s="14" t="inlineStr">
        <is>
          <t>-</t>
        </is>
      </c>
      <c r="N94" s="21" t="inlineStr">
        <is>
          <t>NEW</t>
        </is>
      </c>
      <c r="O94" s="14" t="inlineStr">
        <is>
          <t>غير متوافقة</t>
        </is>
      </c>
      <c r="P94" s="22">
        <f>HYPERLINK("https://kuwaitalyawm.media.gov.kw/flip/index?id=5599&amp;no=224", "عرض المصدر")</f>
        <v/>
      </c>
    </row>
    <row r="95">
      <c r="A95" s="11" t="inlineStr">
        <is>
          <t>RFQ/1061616</t>
        </is>
      </c>
      <c r="B95" s="11" t="inlineStr">
        <is>
          <t>شركة البترول الوطنية الكويتية</t>
        </is>
      </c>
      <c r="C95" s="11" t="inlineStr">
        <is>
          <t>Abrar Al-Qallaf</t>
        </is>
      </c>
      <c r="D95" s="11" t="inlineStr">
        <is>
          <t>ممارسة رقم RFQ/1061616: إعادة طرح توريد المواد المضافة للوقود (Stability Additive for 0.5% Sulfur IMO Bunker Fuel Oil - MAA) - شركة البترول الوطنية الكويتية</t>
        </is>
      </c>
      <c r="E95" s="11" t="inlineStr">
        <is>
          <t>توريد مواد مضافة كيميائية لتحسين ثبات منتج وقود السفن منخفض الكبريت 0.5% بمصفاة ميناء الأحمدي.</t>
        </is>
      </c>
      <c r="F95" s="11" t="inlineStr">
        <is>
          <t>وفقاً لشروط وإجراءات المناقصات والتوريد لدى شركة البترول الوطنية الكويتية (KNPC)</t>
        </is>
      </c>
      <c r="G95" s="12" t="inlineStr">
        <is>
          <t>عام</t>
        </is>
      </c>
      <c r="H95" s="12" t="inlineStr">
        <is>
          <t>15.0%</t>
        </is>
      </c>
      <c r="I95" s="12" t="inlineStr">
        <is>
          <t>oil_and_gas</t>
        </is>
      </c>
      <c r="J95" s="12" t="inlineStr">
        <is>
          <t>2026-09-27</t>
        </is>
      </c>
      <c r="K95" s="12" t="inlineStr">
        <is>
          <t>2026-10-15</t>
        </is>
      </c>
      <c r="L95" s="12" t="inlineStr">
        <is>
          <t>1000.0</t>
        </is>
      </c>
      <c r="M95" s="12" t="inlineStr">
        <is>
          <t>-</t>
        </is>
      </c>
      <c r="N95" s="21" t="inlineStr">
        <is>
          <t>NEW</t>
        </is>
      </c>
      <c r="O95" s="12" t="inlineStr">
        <is>
          <t>غير متوافقة</t>
        </is>
      </c>
      <c r="P95" s="23">
        <f>HYPERLINK("https://kuwaitalyawm.media.gov.kw/flip/index?id=5599&amp;no=225", "عرض المصدر")</f>
        <v/>
      </c>
    </row>
    <row r="96">
      <c r="A96" s="13" t="inlineStr">
        <is>
          <t>RFQ/1063554</t>
        </is>
      </c>
      <c r="B96" s="13" t="inlineStr">
        <is>
          <t>شركة البترول الوطنية الكويتية</t>
        </is>
      </c>
      <c r="C96" s="13" t="inlineStr">
        <is>
          <t>Abrar Al-Qallaf</t>
        </is>
      </c>
      <c r="D96" s="13" t="inlineStr">
        <is>
          <t>ممارسة رقم RFQ/1063554: توريد العوامل المساعدة لوحدة نزع الكبريت (OCR Catalyst for ARDS Unit-12 Tr-2 - MAB) - شركة البترول الوطنية الكويتية</t>
        </is>
      </c>
      <c r="E96" s="13" t="inlineStr">
        <is>
          <t>توريد مواد كيميائية وعوامل مساعدة تكريرية (Catalyst) لوحدة نزع الكبريت بمصفاة ميناء الأحمدي.</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2026-09-27</t>
        </is>
      </c>
      <c r="K96" s="14" t="inlineStr">
        <is>
          <t>2026-10-22</t>
        </is>
      </c>
      <c r="L96" s="14" t="inlineStr">
        <is>
          <t>50000.0</t>
        </is>
      </c>
      <c r="M96" s="14" t="inlineStr">
        <is>
          <t>500.0</t>
        </is>
      </c>
      <c r="N96" s="21" t="inlineStr">
        <is>
          <t>NEW</t>
        </is>
      </c>
      <c r="O96" s="14" t="inlineStr">
        <is>
          <t>غير متوافقة</t>
        </is>
      </c>
      <c r="P96" s="22">
        <f>HYPERLINK("https://kuwaitalyawm.media.gov.kw/Online/ViewAdsHTML?id=171724&amp;no=1", "عرض المصدر")</f>
        <v/>
      </c>
    </row>
    <row r="97">
      <c r="A97" s="11" t="inlineStr">
        <is>
          <t>RFQ/1063825</t>
        </is>
      </c>
      <c r="B97" s="11" t="inlineStr">
        <is>
          <t>شركة البترول الوطنية الكويتية</t>
        </is>
      </c>
      <c r="C97" s="11" t="inlineStr">
        <is>
          <t>Abrar Al-Qallaf</t>
        </is>
      </c>
      <c r="D97" s="11" t="inlineStr">
        <is>
          <t>ممارسة رقم RFQ/1063825: توريد قطع غيار أنظمة الاتصالات (Spares for the Telecommunication System - LBP) - شركة البترول الوطنية الكويتية</t>
        </is>
      </c>
      <c r="E97" s="11" t="inlineStr">
        <is>
          <t>توريد قطع غيار ومعدات شبكات الاتصالات وأنظمة التراسل السلكي واللاسلكي لمصفاة ميناء عبد الله (LBP).</t>
        </is>
      </c>
      <c r="F97" s="11" t="inlineStr">
        <is>
          <t>وفقاً لشروط وإجراءات المناقصات والتوريد لدى شركة البترول الوطنية الكويتية (KNPC) عبر منصة K-Tendering.</t>
        </is>
      </c>
      <c r="G97" s="24" t="inlineStr">
        <is>
          <t>قطاع العمليات المدارة والدعم الفني متعدد الموردين</t>
        </is>
      </c>
      <c r="H97" s="12" t="inlineStr">
        <is>
          <t>75.0%</t>
        </is>
      </c>
      <c r="I97" s="12" t="inlineStr">
        <is>
          <t>oil_and_gas</t>
        </is>
      </c>
      <c r="J97" s="12" t="inlineStr">
        <is>
          <t>2026-09-27</t>
        </is>
      </c>
      <c r="K97" s="12" t="inlineStr">
        <is>
          <t>2026-10-22</t>
        </is>
      </c>
      <c r="L97" s="12" t="inlineStr">
        <is>
          <t>1000.0</t>
        </is>
      </c>
      <c r="M97" s="12" t="inlineStr">
        <is>
          <t>-</t>
        </is>
      </c>
      <c r="N97" s="21" t="inlineStr">
        <is>
          <t>NEW</t>
        </is>
      </c>
      <c r="O97" s="12" t="inlineStr">
        <is>
          <t>موصى بالتقديم</t>
        </is>
      </c>
      <c r="P97" s="23">
        <f>HYPERLINK("https://kuwaitalyawm.media.gov.kw/Online/ViewAdsHTML?id=171725&amp;no=1", "عرض المصدر")</f>
        <v/>
      </c>
    </row>
    <row r="98">
      <c r="A98" s="13" t="inlineStr">
        <is>
          <t>RFQ/1064135</t>
        </is>
      </c>
      <c r="B98" s="13" t="inlineStr">
        <is>
          <t>شركة البترول الوطنية الكويتية</t>
        </is>
      </c>
      <c r="C98" s="13" t="inlineStr">
        <is>
          <t>Abrar Al-Qallaf</t>
        </is>
      </c>
      <c r="D98" s="13" t="inlineStr">
        <is>
          <t>ممارسة رقم RFQ/1064135: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RFQ/1064135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2026-09-27</t>
        </is>
      </c>
      <c r="K98" s="14" t="inlineStr">
        <is>
          <t>2026-10-22</t>
        </is>
      </c>
      <c r="L98" s="14" t="inlineStr">
        <is>
          <t>1000.0</t>
        </is>
      </c>
      <c r="M98" s="14" t="inlineStr">
        <is>
          <t>-</t>
        </is>
      </c>
      <c r="N98" s="21" t="inlineStr">
        <is>
          <t>NEW</t>
        </is>
      </c>
      <c r="O98" s="14" t="inlineStr">
        <is>
          <t>غير متوافقة</t>
        </is>
      </c>
      <c r="P98" s="22">
        <f>HYPERLINK("https://kuwaitalyawm.media.gov.kw/Online/ViewAdsHTML?id=171726&amp;no=1", "عرض المصدر")</f>
        <v/>
      </c>
    </row>
    <row r="99">
      <c r="A99" s="11" t="inlineStr">
        <is>
          <t>RFQ/1063478</t>
        </is>
      </c>
      <c r="B99" s="11" t="inlineStr">
        <is>
          <t>شركة البترول الوطنية الكويتية</t>
        </is>
      </c>
      <c r="C99" s="11" t="inlineStr">
        <is>
          <t>Abrar Al-Qallaf</t>
        </is>
      </c>
      <c r="D99" s="11" t="inlineStr">
        <is>
          <t>ممارسة رقم RFQ/1063478: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RFQ/1063478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2026-09-27</t>
        </is>
      </c>
      <c r="K99" s="12" t="inlineStr">
        <is>
          <t>2026-10-22</t>
        </is>
      </c>
      <c r="L99" s="12" t="inlineStr">
        <is>
          <t>1000.0</t>
        </is>
      </c>
      <c r="M99" s="12" t="inlineStr">
        <is>
          <t>-</t>
        </is>
      </c>
      <c r="N99" s="21" t="inlineStr">
        <is>
          <t>NEW</t>
        </is>
      </c>
      <c r="O99" s="12" t="inlineStr">
        <is>
          <t>غير متوافقة</t>
        </is>
      </c>
      <c r="P99" s="23">
        <f>HYPERLINK("https://kuwaitalyawm.media.gov.kw/Online/ViewAdsHTML?id=171727&amp;no=1", "عرض المصدر")</f>
        <v/>
      </c>
    </row>
    <row r="100">
      <c r="A100" s="13" t="inlineStr">
        <is>
          <t>RFQ/1062690</t>
        </is>
      </c>
      <c r="B100" s="13" t="inlineStr">
        <is>
          <t>شركة البترول الوطنية الكويتية</t>
        </is>
      </c>
      <c r="C100" s="13" t="inlineStr">
        <is>
          <t>Abrar Al-Qallaf</t>
        </is>
      </c>
      <c r="D100" s="13" t="inlineStr">
        <is>
          <t>ممارسة رقم RFQ/1062690: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RFQ/1062690 عبر منصة K-Tendering.</t>
        </is>
      </c>
      <c r="F100" s="13" t="inlineStr">
        <is>
          <t>وفقاً لشروط وإجراءات المناقصات والتوريد لدى شركة البترول الوطنية الكويتية (KNPC)</t>
        </is>
      </c>
      <c r="G100" s="14" t="inlineStr">
        <is>
          <t>عام</t>
        </is>
      </c>
      <c r="H100" s="14" t="inlineStr">
        <is>
          <t>15.0%</t>
        </is>
      </c>
      <c r="I100" s="14" t="inlineStr">
        <is>
          <t>oil_and_gas</t>
        </is>
      </c>
      <c r="J100" s="14" t="inlineStr">
        <is>
          <t>2026-09-27</t>
        </is>
      </c>
      <c r="K100" s="14" t="inlineStr">
        <is>
          <t>2026-10-22</t>
        </is>
      </c>
      <c r="L100" s="14" t="inlineStr">
        <is>
          <t>1000.0</t>
        </is>
      </c>
      <c r="M100" s="14" t="inlineStr">
        <is>
          <t>-</t>
        </is>
      </c>
      <c r="N100" s="21" t="inlineStr">
        <is>
          <t>NEW</t>
        </is>
      </c>
      <c r="O100" s="14" t="inlineStr">
        <is>
          <t>غير متوافقة</t>
        </is>
      </c>
      <c r="P100" s="22">
        <f>HYPERLINK("https://kuwaitalyawm.media.gov.kw/flip/index?id=5599&amp;no=223", "عرض المصدر")</f>
        <v/>
      </c>
    </row>
    <row r="101">
      <c r="A101" s="11" t="inlineStr">
        <is>
          <t>RFQ/1063246</t>
        </is>
      </c>
      <c r="B101" s="11" t="inlineStr">
        <is>
          <t>شركة البترول الوطنية الكويتية</t>
        </is>
      </c>
      <c r="C101" s="11" t="inlineStr">
        <is>
          <t>Abrar Al-Qallaf</t>
        </is>
      </c>
      <c r="D101" s="11" t="inlineStr">
        <is>
          <t>ممارسة رقم RFQ/1063246: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RFQ/1063246 عبر منصة K-Tendering.</t>
        </is>
      </c>
      <c r="F101" s="11" t="inlineStr">
        <is>
          <t>وفقاً لشروط وإجراءات المناقصات والتوريد لدى شركة البترول الوطنية الكويتية (KNPC)</t>
        </is>
      </c>
      <c r="G101" s="12" t="inlineStr">
        <is>
          <t>عام</t>
        </is>
      </c>
      <c r="H101" s="12" t="inlineStr">
        <is>
          <t>15.0%</t>
        </is>
      </c>
      <c r="I101" s="12" t="inlineStr">
        <is>
          <t>oil_and_gas</t>
        </is>
      </c>
      <c r="J101" s="12" t="inlineStr">
        <is>
          <t>2026-09-27</t>
        </is>
      </c>
      <c r="K101" s="12" t="inlineStr">
        <is>
          <t>2026-10-22</t>
        </is>
      </c>
      <c r="L101" s="12" t="inlineStr">
        <is>
          <t>1000.0</t>
        </is>
      </c>
      <c r="M101" s="12" t="inlineStr">
        <is>
          <t>-</t>
        </is>
      </c>
      <c r="N101" s="21" t="inlineStr">
        <is>
          <t>NEW</t>
        </is>
      </c>
      <c r="O101" s="12" t="inlineStr">
        <is>
          <t>غير متوافقة</t>
        </is>
      </c>
      <c r="P101" s="23">
        <f>HYPERLINK("https://kuwaitalyawm.media.gov.kw/flip/index?id=5599&amp;no=224", "عرض المصدر")</f>
        <v/>
      </c>
    </row>
    <row r="102">
      <c r="A102" s="13" t="inlineStr">
        <is>
          <t>RFQ/1063799</t>
        </is>
      </c>
      <c r="B102" s="13" t="inlineStr">
        <is>
          <t>شركة البترول الوطنية الكويتية</t>
        </is>
      </c>
      <c r="C102" s="13" t="inlineStr">
        <is>
          <t>Abrar Al-Qallaf</t>
        </is>
      </c>
      <c r="D102" s="13" t="inlineStr">
        <is>
          <t>ممارسة رقم RFQ/1063799: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RFQ/1063799 عبر منصة K-Tendering.</t>
        </is>
      </c>
      <c r="F102" s="13" t="inlineStr">
        <is>
          <t>وفقاً لشروط وإجراءات المناقصات والتوريد لدى شركة البترول الوطنية الكويتية (KNPC)</t>
        </is>
      </c>
      <c r="G102" s="14" t="inlineStr">
        <is>
          <t>عام</t>
        </is>
      </c>
      <c r="H102" s="14" t="inlineStr">
        <is>
          <t>15.0%</t>
        </is>
      </c>
      <c r="I102" s="14" t="inlineStr">
        <is>
          <t>oil_and_gas</t>
        </is>
      </c>
      <c r="J102" s="14" t="inlineStr">
        <is>
          <t>2026-09-27</t>
        </is>
      </c>
      <c r="K102" s="14" t="inlineStr">
        <is>
          <t>2026-10-22</t>
        </is>
      </c>
      <c r="L102" s="14" t="inlineStr">
        <is>
          <t>1000.0</t>
        </is>
      </c>
      <c r="M102" s="14" t="inlineStr">
        <is>
          <t>-</t>
        </is>
      </c>
      <c r="N102" s="21" t="inlineStr">
        <is>
          <t>NEW</t>
        </is>
      </c>
      <c r="O102" s="14" t="inlineStr">
        <is>
          <t>غير متوافقة</t>
        </is>
      </c>
      <c r="P102" s="22">
        <f>HYPERLINK("https://kuwaitalyawm.media.gov.kw/flip/index?id=5599&amp;no=225", "عرض المصدر")</f>
        <v/>
      </c>
    </row>
    <row r="103">
      <c r="A103" s="11" t="inlineStr">
        <is>
          <t>RFP/2159728</t>
        </is>
      </c>
      <c r="B103" s="11" t="inlineStr">
        <is>
          <t>شركة البترول الوطنية الكويتية</t>
        </is>
      </c>
      <c r="C103" s="11" t="inlineStr">
        <is>
          <t>Abrar Al-Qallaf</t>
        </is>
      </c>
      <c r="D103" s="11" t="inlineStr">
        <is>
          <t>ممارسة رقم RFP/2159728: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RFP/2159728 عبر منصة K-Tendering.</t>
        </is>
      </c>
      <c r="F103" s="11" t="inlineStr">
        <is>
          <t>وفقاً لشروط وإجراءات المناقصات والتوريد لدى شركة البترول الوطنية الكويتية (KNPC)</t>
        </is>
      </c>
      <c r="G103" s="12" t="inlineStr">
        <is>
          <t>عام</t>
        </is>
      </c>
      <c r="H103" s="12" t="inlineStr">
        <is>
          <t>15.0%</t>
        </is>
      </c>
      <c r="I103" s="12" t="inlineStr">
        <is>
          <t>oil_and_gas</t>
        </is>
      </c>
      <c r="J103" s="12" t="inlineStr">
        <is>
          <t>2026-09-27</t>
        </is>
      </c>
      <c r="K103" s="12" t="inlineStr">
        <is>
          <t>2026-10-26</t>
        </is>
      </c>
      <c r="L103" s="12" t="inlineStr">
        <is>
          <t>1000.0</t>
        </is>
      </c>
      <c r="M103" s="12" t="inlineStr">
        <is>
          <t>75.0</t>
        </is>
      </c>
      <c r="N103" s="26" t="inlineStr">
        <is>
          <t>UNCHANGED</t>
        </is>
      </c>
      <c r="O103" s="12" t="inlineStr">
        <is>
          <t>غير متوافقة</t>
        </is>
      </c>
      <c r="P103" s="23">
        <f>HYPERLINK("https://kuwaitalyawm.media.gov.kw/flip/index?id=5599&amp;no=238", "عرض المصدر")</f>
        <v/>
      </c>
    </row>
    <row r="104">
      <c r="A104" s="13" t="inlineStr">
        <is>
          <t>RFQ/2167075</t>
        </is>
      </c>
      <c r="B104" s="13" t="inlineStr">
        <is>
          <t>شركة البترول الوطنية الكويتية</t>
        </is>
      </c>
      <c r="C104" s="13" t="inlineStr">
        <is>
          <t>Abrar Al-Qallaf</t>
        </is>
      </c>
      <c r="D104" s="13" t="inlineStr">
        <is>
          <t>ممارسة رقم RFQ/2167075: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RFQ/2167075 عبر منصة K-Tendering.</t>
        </is>
      </c>
      <c r="F104" s="13" t="inlineStr">
        <is>
          <t>وفقاً لشروط وإجراءات المناقصات والتوريد لدى شركة البترول الوطنية الكويتية (KNPC)</t>
        </is>
      </c>
      <c r="G104" s="14" t="inlineStr">
        <is>
          <t>عام</t>
        </is>
      </c>
      <c r="H104" s="14" t="inlineStr">
        <is>
          <t>15.0%</t>
        </is>
      </c>
      <c r="I104" s="14" t="inlineStr">
        <is>
          <t>oil_and_gas</t>
        </is>
      </c>
      <c r="J104" s="14" t="inlineStr">
        <is>
          <t>2026-09-27</t>
        </is>
      </c>
      <c r="K104" s="14" t="inlineStr">
        <is>
          <t>2026-11-02</t>
        </is>
      </c>
      <c r="L104" s="14" t="inlineStr">
        <is>
          <t>500000.0</t>
        </is>
      </c>
      <c r="M104" s="14" t="inlineStr">
        <is>
          <t>-</t>
        </is>
      </c>
      <c r="N104" s="21" t="inlineStr">
        <is>
          <t>NEW</t>
        </is>
      </c>
      <c r="O104" s="14" t="inlineStr">
        <is>
          <t>غير متوافقة</t>
        </is>
      </c>
      <c r="P104" s="22">
        <f>HYPERLINK("https://kuwaitalyawm.media.gov.kw/flip/index?id=5599&amp;no=228", "عرض المصدر")</f>
        <v/>
      </c>
    </row>
    <row r="105">
      <c r="A105" s="11" t="inlineStr">
        <is>
          <t>RFQ/2167957</t>
        </is>
      </c>
      <c r="B105" s="11" t="inlineStr">
        <is>
          <t>شركة البترول الوطنية الكويتية</t>
        </is>
      </c>
      <c r="C105" s="11" t="inlineStr">
        <is>
          <t>Abrar Al-Qallaf</t>
        </is>
      </c>
      <c r="D105" s="11" t="inlineStr">
        <is>
          <t>ممارسة رقم RFQ/2167957: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RFQ/2167957 عبر منصة K-Tendering.</t>
        </is>
      </c>
      <c r="F105" s="11" t="inlineStr">
        <is>
          <t>وفقاً لشروط وإجراءات المناقصات والتوريد لدى شركة البترول الوطنية الكويتية (KNPC)</t>
        </is>
      </c>
      <c r="G105" s="12" t="inlineStr">
        <is>
          <t>عام</t>
        </is>
      </c>
      <c r="H105" s="12" t="inlineStr">
        <is>
          <t>15.0%</t>
        </is>
      </c>
      <c r="I105" s="12" t="inlineStr">
        <is>
          <t>oil_and_gas</t>
        </is>
      </c>
      <c r="J105" s="12" t="inlineStr">
        <is>
          <t>2026-09-27</t>
        </is>
      </c>
      <c r="K105" s="12" t="inlineStr">
        <is>
          <t>2026-11-02</t>
        </is>
      </c>
      <c r="L105" s="12" t="inlineStr">
        <is>
          <t>15000.0</t>
        </is>
      </c>
      <c r="M105" s="12" t="inlineStr">
        <is>
          <t>-</t>
        </is>
      </c>
      <c r="N105" s="26" t="inlineStr">
        <is>
          <t>UNCHANGED</t>
        </is>
      </c>
      <c r="O105" s="12" t="inlineStr">
        <is>
          <t>غير متوافقة</t>
        </is>
      </c>
      <c r="P105" s="23">
        <f>HYPERLINK("https://kuwaitalyawm.media.gov.kw/flip/index?id=5599&amp;no=227", "عرض المصدر")</f>
        <v/>
      </c>
    </row>
    <row r="106">
      <c r="A106" s="13" t="inlineStr">
        <is>
          <t>CB CPC 2562</t>
        </is>
      </c>
      <c r="B106" s="13" t="inlineStr">
        <is>
          <t>شركة البترول الوطنية الكويتية</t>
        </is>
      </c>
      <c r="C106" s="13" t="inlineStr">
        <is>
          <t>Abrar Al-Qallaf</t>
        </is>
      </c>
      <c r="D106" s="13" t="inlineStr">
        <is>
          <t>ممارسة رقم CB CPC 2562: Filter - شركة البترول الوطنية الكويتية</t>
        </is>
      </c>
      <c r="E106" s="13" t="inlineStr">
        <is>
          <t>أعمال وتوريدات تخصصية لزوم شركة البترول الوطنية الكويتية حسب وثائق الممارسة رقم CB CPC 2562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2026-08-23</t>
        </is>
      </c>
      <c r="K106" s="14" t="inlineStr">
        <is>
          <t>2026-11-26</t>
        </is>
      </c>
      <c r="L106" s="14" t="inlineStr">
        <is>
          <t>5000.0</t>
        </is>
      </c>
      <c r="M106" s="14" t="inlineStr">
        <is>
          <t>150.0</t>
        </is>
      </c>
      <c r="N106" s="21" t="inlineStr">
        <is>
          <t>NEW</t>
        </is>
      </c>
      <c r="O106" s="14" t="inlineStr">
        <is>
          <t>غير متوافقة</t>
        </is>
      </c>
      <c r="P106" s="22">
        <f>HYPERLINK("https://kuwaitalyawm.media.gov.kw/Online/ViewAdsHTML?id=167906&amp;no=1", "عرض المصدر")</f>
        <v/>
      </c>
    </row>
    <row r="107">
      <c r="A107" s="11" t="inlineStr">
        <is>
          <t>RFQ 2166316</t>
        </is>
      </c>
      <c r="B107" s="11" t="inlineStr">
        <is>
          <t>شركة البترول الوطنية الكويتية</t>
        </is>
      </c>
      <c r="C107" s="11" t="inlineStr">
        <is>
          <t>Abrar Al-Qallaf</t>
        </is>
      </c>
      <c r="D107" s="11" t="inlineStr">
        <is>
          <t>ممارسة رقم RFQ 2166316: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2166316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2026-11-30</t>
        </is>
      </c>
      <c r="L107" s="12" t="inlineStr">
        <is>
          <t>150000.0</t>
        </is>
      </c>
      <c r="M107" s="12" t="inlineStr">
        <is>
          <t>-</t>
        </is>
      </c>
      <c r="N107" s="21" t="inlineStr">
        <is>
          <t>NEW</t>
        </is>
      </c>
      <c r="O107" s="12" t="inlineStr">
        <is>
          <t>غير متوافقة</t>
        </is>
      </c>
      <c r="P107" s="23">
        <f>HYPERLINK("https://kuwaitalyawm.media.gov.kw/Online/ViewAdsHTML?id=168785&amp;no=1", "عرض المصدر")</f>
        <v/>
      </c>
    </row>
    <row r="108">
      <c r="A108" s="13" t="inlineStr">
        <is>
          <t>RFP 2162824</t>
        </is>
      </c>
      <c r="B108" s="13" t="inlineStr">
        <is>
          <t>شركة البترول الوطنية الكويتية</t>
        </is>
      </c>
      <c r="C108" s="13" t="inlineStr">
        <is>
          <t>Abrar Al-Qallaf</t>
        </is>
      </c>
      <c r="D108" s="13" t="inlineStr">
        <is>
          <t>ممارسة رقم RFP 2162824: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RFP 2162824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2026-11-30</t>
        </is>
      </c>
      <c r="L108" s="14" t="inlineStr">
        <is>
          <t>50000.0</t>
        </is>
      </c>
      <c r="M108" s="14" t="inlineStr">
        <is>
          <t>-</t>
        </is>
      </c>
      <c r="N108" s="21" t="inlineStr">
        <is>
          <t>NEW</t>
        </is>
      </c>
      <c r="O108" s="14" t="inlineStr">
        <is>
          <t>غير متوافقة</t>
        </is>
      </c>
      <c r="P108" s="22">
        <f>HYPERLINK("https://kuwaitalyawm.media.gov.kw/Online/ViewAdsHTML?id=168786&amp;no=1", "عرض المصدر")</f>
        <v/>
      </c>
    </row>
    <row r="109">
      <c r="A109" s="11" t="inlineStr">
        <is>
          <t>RFQ 1063574</t>
        </is>
      </c>
      <c r="B109" s="11" t="inlineStr">
        <is>
          <t>شركة البترول الوطنية الكويتية</t>
        </is>
      </c>
      <c r="C109" s="11" t="inlineStr">
        <is>
          <t>Abrar Al-Qallaf</t>
        </is>
      </c>
      <c r="D109" s="11" t="inlineStr">
        <is>
          <t>ممارسة رقم RFQ 1063574: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1063574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2026-08-23</t>
        </is>
      </c>
      <c r="K109" s="12" t="inlineStr">
        <is>
          <t>2026-12-03</t>
        </is>
      </c>
      <c r="L109" s="12" t="inlineStr">
        <is>
          <t>1000.0</t>
        </is>
      </c>
      <c r="M109" s="12" t="inlineStr">
        <is>
          <t>-</t>
        </is>
      </c>
      <c r="N109" s="21" t="inlineStr">
        <is>
          <t>NEW</t>
        </is>
      </c>
      <c r="O109" s="12" t="inlineStr">
        <is>
          <t>غير متوافقة</t>
        </is>
      </c>
      <c r="P109" s="23">
        <f>HYPERLINK("https://kuwaitalyawm.media.gov.kw/Online/ViewAdsHTML?id=167907&amp;no=1", "عرض المصدر")</f>
        <v/>
      </c>
    </row>
    <row r="110">
      <c r="A110" s="13" t="inlineStr">
        <is>
          <t>RFP 2165609</t>
        </is>
      </c>
      <c r="B110" s="13" t="inlineStr">
        <is>
          <t>شركة البترول الوطنية الكويتية</t>
        </is>
      </c>
      <c r="C110" s="13" t="inlineStr">
        <is>
          <t>Abrar Al-Qallaf</t>
        </is>
      </c>
      <c r="D110" s="13" t="inlineStr">
        <is>
          <t>ممارسة رقم RFP 2165609: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2165609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2026-09-06</t>
        </is>
      </c>
      <c r="K110" s="14" t="inlineStr">
        <is>
          <t>2026-12-07</t>
        </is>
      </c>
      <c r="L110" s="14" t="inlineStr">
        <is>
          <t>2500.0</t>
        </is>
      </c>
      <c r="M110" s="14" t="inlineStr">
        <is>
          <t>-</t>
        </is>
      </c>
      <c r="N110" s="21" t="inlineStr">
        <is>
          <t>NEW</t>
        </is>
      </c>
      <c r="O110" s="14" t="inlineStr">
        <is>
          <t>غير متوافقة</t>
        </is>
      </c>
      <c r="P110" s="22">
        <f>HYPERLINK("https://kuwaitalyawm.media.gov.kw/Online/ViewAdsHTML?id=169428&amp;no=1", "عرض المصدر")</f>
        <v/>
      </c>
    </row>
    <row r="111">
      <c r="A111" s="11" t="inlineStr">
        <is>
          <t>RFQ 2164511</t>
        </is>
      </c>
      <c r="B111" s="11" t="inlineStr">
        <is>
          <t>شركة البترول الوطنية الكويتية</t>
        </is>
      </c>
      <c r="C111" s="11" t="inlineStr">
        <is>
          <t>Abrar Al-Qallaf</t>
        </is>
      </c>
      <c r="D111" s="11" t="inlineStr">
        <is>
          <t>ممارسة رقم RFQ 2164511: توريد مواد ومهمات تشغيلية لزوم شركة البترول الوطنية الكويتية - شركة البترول الوطنية الكويتية</t>
        </is>
      </c>
      <c r="E111" s="11" t="inlineStr">
        <is>
          <t>أعمال وتوريدات تخصصية لزوم شركة البترول الوطنية الكويتية حسب وثائق الممارسة رقم RFQ 2164511 عبر منصة K-Tendering.</t>
        </is>
      </c>
      <c r="F111" s="11" t="inlineStr">
        <is>
          <t>وفقاً لشروط وإجراءات المناقصات والتوريد لدى شركة البترول الوطنية الكويتية (KNPC) عبر منصة K-Tendering.</t>
        </is>
      </c>
      <c r="G111" s="12" t="inlineStr">
        <is>
          <t>عام</t>
        </is>
      </c>
      <c r="H111" s="12" t="inlineStr">
        <is>
          <t>15.0%</t>
        </is>
      </c>
      <c r="I111" s="12" t="inlineStr">
        <is>
          <t>oil_and_gas</t>
        </is>
      </c>
      <c r="J111" s="12" t="inlineStr">
        <is>
          <t>2026-08-30</t>
        </is>
      </c>
      <c r="K111" s="12" t="inlineStr">
        <is>
          <t>2026-12-07</t>
        </is>
      </c>
      <c r="L111" s="12" t="inlineStr">
        <is>
          <t>5000.0</t>
        </is>
      </c>
      <c r="M111" s="12" t="inlineStr">
        <is>
          <t>-</t>
        </is>
      </c>
      <c r="N111" s="21" t="inlineStr">
        <is>
          <t>NEW</t>
        </is>
      </c>
      <c r="O111" s="12" t="inlineStr">
        <is>
          <t>غير متوافقة</t>
        </is>
      </c>
      <c r="P111" s="23">
        <f>HYPERLINK("https://kuwaitalyawm.media.gov.kw/Online/ViewAdsHTML?id=168784&amp;no=1", "عرض المصدر")</f>
        <v/>
      </c>
    </row>
    <row r="112">
      <c r="A112" s="13" t="inlineStr">
        <is>
          <t>RFQ/2166412</t>
        </is>
      </c>
      <c r="B112" s="13" t="inlineStr">
        <is>
          <t>شركة البترول الوطنية الكويتية</t>
        </is>
      </c>
      <c r="C112" s="13" t="inlineStr">
        <is>
          <t>Abrar Al-Qallaf</t>
        </is>
      </c>
      <c r="D112" s="13" t="inlineStr">
        <is>
          <t>ممارسة رقم RFQ/2166412: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RFQ/2166412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2026-09-13</t>
        </is>
      </c>
      <c r="K112" s="14" t="inlineStr">
        <is>
          <t>2026-12-14</t>
        </is>
      </c>
      <c r="L112" s="14" t="inlineStr">
        <is>
          <t>15000.0</t>
        </is>
      </c>
      <c r="M112" s="14" t="inlineStr">
        <is>
          <t>-</t>
        </is>
      </c>
      <c r="N112" s="21" t="inlineStr">
        <is>
          <t>NEW</t>
        </is>
      </c>
      <c r="O112" s="14" t="inlineStr">
        <is>
          <t>غير متوافقة</t>
        </is>
      </c>
      <c r="P112" s="22">
        <f>HYPERLINK("https://kuwaitalyawm.media.gov.kw/Online/ViewAdsHTML?id=170531&amp;no=1", "عرض المصدر")</f>
        <v/>
      </c>
    </row>
    <row r="113">
      <c r="A113" s="11" t="inlineStr">
        <is>
          <t>RFQ/2163441</t>
        </is>
      </c>
      <c r="B113" s="11" t="inlineStr">
        <is>
          <t>شركة البترول الوطنية الكويتية</t>
        </is>
      </c>
      <c r="C113" s="11" t="inlineStr">
        <is>
          <t>Abrar Al-Qallaf</t>
        </is>
      </c>
      <c r="D113" s="11" t="inlineStr">
        <is>
          <t>ممارسة رقم RFQ/2163441: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RFQ/2163441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2026-09-13</t>
        </is>
      </c>
      <c r="K113" s="12" t="inlineStr">
        <is>
          <t>2026-12-14</t>
        </is>
      </c>
      <c r="L113" s="12" t="inlineStr">
        <is>
          <t>1000.0</t>
        </is>
      </c>
      <c r="M113" s="12" t="inlineStr">
        <is>
          <t>100.0</t>
        </is>
      </c>
      <c r="N113" s="21" t="inlineStr">
        <is>
          <t>NEW</t>
        </is>
      </c>
      <c r="O113" s="12" t="inlineStr">
        <is>
          <t>غير متوافقة</t>
        </is>
      </c>
      <c r="P113" s="23">
        <f>HYPERLINK("https://kuwaitalyawm.media.gov.kw/Online/ViewAdsHTML?id=170534&amp;no=1", "عرض المصدر")</f>
        <v/>
      </c>
    </row>
    <row r="114">
      <c r="A114" s="13" t="inlineStr">
        <is>
          <t>CA CPC 4780</t>
        </is>
      </c>
      <c r="B114" s="13" t="inlineStr">
        <is>
          <t>شركة البترول الوطنية الكويتية</t>
        </is>
      </c>
      <c r="C114" s="13" t="inlineStr">
        <is>
          <t>Abrar Al-Qallaf</t>
        </is>
      </c>
      <c r="D114" s="13" t="inlineStr">
        <is>
          <t>ممارسة رقم CA CPC 4780: توريد مواد ومهمات تشغيلية لزوم شركة البترول الوطنية الكويتية - شركة البترول الوطنية الكويتية</t>
        </is>
      </c>
      <c r="E114" s="13" t="inlineStr">
        <is>
          <t>أعمال وتوريدات تخصصية لزوم شركة البترول الوطنية الكويتية حسب وثائق الممارسة رقم CA CPC 4780 عبر منصة K-Tendering.</t>
        </is>
      </c>
      <c r="F114" s="13" t="inlineStr">
        <is>
          <t>وفقاً لشروط وإجراءات المناقصات والتوريد لدى شركة البترول الوطنية الكويتية (KNPC) عبر منصة K-Tendering.</t>
        </is>
      </c>
      <c r="G114" s="14" t="inlineStr">
        <is>
          <t>عام</t>
        </is>
      </c>
      <c r="H114" s="14" t="inlineStr">
        <is>
          <t>15.0%</t>
        </is>
      </c>
      <c r="I114" s="14" t="inlineStr">
        <is>
          <t>oil_and_gas</t>
        </is>
      </c>
      <c r="J114" s="14" t="inlineStr">
        <is>
          <t>2026-09-13</t>
        </is>
      </c>
      <c r="K114" s="14" t="inlineStr">
        <is>
          <t>2026-12-17</t>
        </is>
      </c>
      <c r="L114" s="14" t="inlineStr">
        <is>
          <t>50000.0</t>
        </is>
      </c>
      <c r="M114" s="14" t="inlineStr">
        <is>
          <t>500.0</t>
        </is>
      </c>
      <c r="N114" s="21" t="inlineStr">
        <is>
          <t>NEW</t>
        </is>
      </c>
      <c r="O114" s="14" t="inlineStr">
        <is>
          <t>غير متوافقة</t>
        </is>
      </c>
      <c r="P114" s="22">
        <f>HYPERLINK("https://kuwaitalyawm.media.gov.kw/Online/ViewAdsHTML?id=170511&amp;no=1", "عرض المصدر")</f>
        <v/>
      </c>
    </row>
    <row r="115">
      <c r="A115" s="11" t="inlineStr">
        <is>
          <t>RFQ 1060201</t>
        </is>
      </c>
      <c r="B115" s="11" t="inlineStr">
        <is>
          <t>شركة البترول الوطنية الكويتية</t>
        </is>
      </c>
      <c r="C115" s="11" t="inlineStr">
        <is>
          <t>Abrar Al-Qallaf</t>
        </is>
      </c>
      <c r="D115" s="11" t="inlineStr">
        <is>
          <t>ممارسة رقم RFQ 1060201: Tendering) - شركة البترول الوطنية الكويتية</t>
        </is>
      </c>
      <c r="E115" s="11" t="inlineStr">
        <is>
          <t>أعمال وتوريدات تخصصية لزوم شركة البترول الوطنية الكويتية حسب وثائق الممارسة رقم RFQ 1060201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2026-09-13</t>
        </is>
      </c>
      <c r="K115" s="12" t="inlineStr">
        <is>
          <t>2026-12-17</t>
        </is>
      </c>
      <c r="L115" s="12" t="inlineStr">
        <is>
          <t>1000.0</t>
        </is>
      </c>
      <c r="M115" s="12" t="inlineStr">
        <is>
          <t>100.0</t>
        </is>
      </c>
      <c r="N115" s="21" t="inlineStr">
        <is>
          <t>NEW</t>
        </is>
      </c>
      <c r="O115" s="12" t="inlineStr">
        <is>
          <t>غير متوافقة</t>
        </is>
      </c>
      <c r="P115" s="23">
        <f>HYPERLINK("https://kuwaitalyawm.media.gov.kw/Online/ViewAdsHTML?id=170512&amp;no=1", "عرض المصدر")</f>
        <v/>
      </c>
    </row>
    <row r="116">
      <c r="A116" s="13" t="inlineStr">
        <is>
          <t>RFQ 1063791</t>
        </is>
      </c>
      <c r="B116" s="13" t="inlineStr">
        <is>
          <t>شركة البترول الوطنية الكويتية</t>
        </is>
      </c>
      <c r="C116" s="13" t="inlineStr">
        <is>
          <t>Abrar Al-Qallaf</t>
        </is>
      </c>
      <c r="D116" s="13" t="inlineStr">
        <is>
          <t>ممارسة رقم RFQ 1063791: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1063791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2026-09-13</t>
        </is>
      </c>
      <c r="K116" s="14" t="inlineStr">
        <is>
          <t>2026-12-17</t>
        </is>
      </c>
      <c r="L116" s="14" t="inlineStr">
        <is>
          <t>1000.0</t>
        </is>
      </c>
      <c r="M116" s="14" t="inlineStr">
        <is>
          <t>100.0</t>
        </is>
      </c>
      <c r="N116" s="21" t="inlineStr">
        <is>
          <t>NEW</t>
        </is>
      </c>
      <c r="O116" s="14" t="inlineStr">
        <is>
          <t>غير متوافقة</t>
        </is>
      </c>
      <c r="P116" s="22">
        <f>HYPERLINK("https://kuwaitalyawm.media.gov.kw/Online/ViewAdsHTML?id=170513&amp;no=1", "عرض المصدر")</f>
        <v/>
      </c>
    </row>
    <row r="117">
      <c r="A117" s="11" t="inlineStr">
        <is>
          <t>RFQ/2167182</t>
        </is>
      </c>
      <c r="B117" s="11" t="inlineStr">
        <is>
          <t>شركة البترول الوطنية الكويتية</t>
        </is>
      </c>
      <c r="C117" s="11" t="inlineStr">
        <is>
          <t>Abrar Al-Qallaf</t>
        </is>
      </c>
      <c r="D117" s="11" t="inlineStr">
        <is>
          <t>ممارسة رقم RFQ/2167182: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RFQ/2167182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2026-09-13</t>
        </is>
      </c>
      <c r="K117" s="12" t="inlineStr">
        <is>
          <t>2026-12-21</t>
        </is>
      </c>
      <c r="L117" s="12" t="inlineStr">
        <is>
          <t>2500.0</t>
        </is>
      </c>
      <c r="M117" s="12" t="inlineStr">
        <is>
          <t>-</t>
        </is>
      </c>
      <c r="N117" s="21" t="inlineStr">
        <is>
          <t>NEW</t>
        </is>
      </c>
      <c r="O117" s="12" t="inlineStr">
        <is>
          <t>غير متوافقة</t>
        </is>
      </c>
      <c r="P117" s="23">
        <f>HYPERLINK("https://kuwaitalyawm.media.gov.kw/Online/ViewAdsHTML?id=170532&amp;no=1", "عرض المصدر")</f>
        <v/>
      </c>
    </row>
    <row r="118">
      <c r="A118" s="13" t="inlineStr">
        <is>
          <t>RFQ/2167044</t>
        </is>
      </c>
      <c r="B118" s="13" t="inlineStr">
        <is>
          <t>شركة البترول الوطنية الكويتية</t>
        </is>
      </c>
      <c r="C118" s="13" t="inlineStr">
        <is>
          <t>Abrar Al-Qallaf</t>
        </is>
      </c>
      <c r="D118" s="13" t="inlineStr">
        <is>
          <t>ممارسة رقم RFQ/2167044: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RFQ/2167044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2026-09-13</t>
        </is>
      </c>
      <c r="K118" s="14" t="inlineStr">
        <is>
          <t>2026-12-21</t>
        </is>
      </c>
      <c r="L118" s="14" t="inlineStr">
        <is>
          <t>1000.0</t>
        </is>
      </c>
      <c r="M118" s="14" t="inlineStr">
        <is>
          <t>100.0</t>
        </is>
      </c>
      <c r="N118" s="21" t="inlineStr">
        <is>
          <t>NEW</t>
        </is>
      </c>
      <c r="O118" s="14" t="inlineStr">
        <is>
          <t>غير متوافقة</t>
        </is>
      </c>
      <c r="P118" s="22">
        <f>HYPERLINK("https://kuwaitalyawm.media.gov.kw/Online/ViewAdsHTML?id=170533&amp;no=1", "عرض المصدر")</f>
        <v/>
      </c>
    </row>
    <row r="119">
      <c r="A119" s="11" t="inlineStr">
        <is>
          <t>RFP-2162140</t>
        </is>
      </c>
      <c r="B119" s="11" t="inlineStr">
        <is>
          <t>شركة البترول الوطنية الكويتية</t>
        </is>
      </c>
      <c r="C119" s="11" t="inlineStr">
        <is>
          <t>Abrar Al-Qallaf</t>
        </is>
      </c>
      <c r="D119" s="11" t="inlineStr">
        <is>
          <t>ممارسة رقم RFP-2162140: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RFP-2162140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2026-09-27</t>
        </is>
      </c>
      <c r="K119" s="12" t="inlineStr">
        <is>
          <t>2026-12-22</t>
        </is>
      </c>
      <c r="L119" s="12" t="inlineStr">
        <is>
          <t>170000.000 KWD</t>
        </is>
      </c>
      <c r="M119" s="12" t="inlineStr">
        <is>
          <t>3500.000 KWD</t>
        </is>
      </c>
      <c r="N119" s="26" t="inlineStr">
        <is>
          <t>UNCHANGED</t>
        </is>
      </c>
      <c r="O119" s="12" t="inlineStr">
        <is>
          <t>غير متوافقة</t>
        </is>
      </c>
      <c r="P119" s="23">
        <f>HYPERLINK("https://capt.gov.kw/ar/tenders/opening-tenders/#card-5", "عرض المصدر")</f>
        <v/>
      </c>
    </row>
    <row r="120">
      <c r="A120" s="13" t="inlineStr">
        <is>
          <t>RFQ/2167277</t>
        </is>
      </c>
      <c r="B120" s="13" t="inlineStr">
        <is>
          <t>شركة البترول الوطنية الكويتية</t>
        </is>
      </c>
      <c r="C120" s="13" t="inlineStr">
        <is>
          <t>Abrar Al-Qallaf</t>
        </is>
      </c>
      <c r="D120" s="13" t="inlineStr">
        <is>
          <t>ممارسة رقم RFQ/2167277: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RFQ/2167277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2026-09-27</t>
        </is>
      </c>
      <c r="K120" s="14" t="inlineStr">
        <is>
          <t>2026-12-28</t>
        </is>
      </c>
      <c r="L120" s="14" t="inlineStr">
        <is>
          <t>1000.0</t>
        </is>
      </c>
      <c r="M120" s="14" t="inlineStr">
        <is>
          <t>100.0</t>
        </is>
      </c>
      <c r="N120" s="21" t="inlineStr">
        <is>
          <t>NEW</t>
        </is>
      </c>
      <c r="O120" s="14" t="inlineStr">
        <is>
          <t>غير متوافقة</t>
        </is>
      </c>
      <c r="P120" s="22">
        <f>HYPERLINK("https://kuwaitalyawm.media.gov.kw/Online/ViewAdsHTML?id=171744&amp;no=1", "عرض المصدر")</f>
        <v/>
      </c>
    </row>
    <row r="121">
      <c r="A121" s="11" t="inlineStr">
        <is>
          <t>MNA-19-2026</t>
        </is>
      </c>
      <c r="B121" s="11" t="inlineStr">
        <is>
          <t>شركة صناعة الكيماويات البترولية</t>
        </is>
      </c>
      <c r="C121" s="11" t="inlineStr">
        <is>
          <t>Abrar Al-Qallaf</t>
        </is>
      </c>
      <c r="D121" s="11" t="inlineStr">
        <is>
          <t>مناقصة رقم MNA-19-2026: Network Maintenance and Managed Network Support Services (صيانة الشبكات والدعم المدار) - شركة صناعة الكيماويات البترولية</t>
        </is>
      </c>
      <c r="E121"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21"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21" s="24" t="inlineStr">
        <is>
          <t>قطاع العمليات المدارة والدعم الفني متعدد الموردين</t>
        </is>
      </c>
      <c r="H121" s="12" t="inlineStr">
        <is>
          <t>95.0%</t>
        </is>
      </c>
      <c r="I121" s="12" t="inlineStr">
        <is>
          <t>oil_and_gas</t>
        </is>
      </c>
      <c r="J121" s="12" t="inlineStr">
        <is>
          <t>2026-09-06</t>
        </is>
      </c>
      <c r="K121" s="18" t="inlineStr">
        <is>
          <t>2026-10-06</t>
        </is>
      </c>
      <c r="L121" s="12" t="inlineStr">
        <is>
          <t>15000.0</t>
        </is>
      </c>
      <c r="M121" s="12" t="inlineStr">
        <is>
          <t>-</t>
        </is>
      </c>
      <c r="N121" s="21" t="inlineStr">
        <is>
          <t>NEW</t>
        </is>
      </c>
      <c r="O121" s="12" t="inlineStr">
        <is>
          <t>موصى بالتقديم</t>
        </is>
      </c>
      <c r="P121" s="23">
        <f>HYPERLINK("https://kuwaitalyawm.media.gov.kw/Online/ViewAdsHTML?id=169424&amp;no=1", "عرض المصدر")</f>
        <v/>
      </c>
    </row>
    <row r="122">
      <c r="A122" s="13" t="inlineStr">
        <is>
          <t>MNA-24-2026</t>
        </is>
      </c>
      <c r="B122" s="13" t="inlineStr">
        <is>
          <t>شركة صناعة الكيماويات البترولية</t>
        </is>
      </c>
      <c r="C122" s="13" t="inlineStr">
        <is>
          <t>Abrar Al-Qallaf</t>
        </is>
      </c>
      <c r="D122" s="13" t="inlineStr">
        <is>
          <t>مناقصة رقم MNA-24-2026: IBM Maximo Application Suite (MAS) MAS-IT (ICD) License Renewal and Support Services - شركة صناعة الكيماويات البترولية</t>
        </is>
      </c>
      <c r="E122"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22"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22" s="24" t="inlineStr">
        <is>
          <t>قطاع برمجيات IBM وحلول الذكاء الاصطناعي وRed Hat</t>
        </is>
      </c>
      <c r="H122" s="14" t="inlineStr">
        <is>
          <t>95.0%</t>
        </is>
      </c>
      <c r="I122" s="14" t="inlineStr">
        <is>
          <t>oil_and_gas</t>
        </is>
      </c>
      <c r="J122" s="14" t="inlineStr">
        <is>
          <t>2026-09-06</t>
        </is>
      </c>
      <c r="K122" s="18" t="inlineStr">
        <is>
          <t>2026-10-06</t>
        </is>
      </c>
      <c r="L122" s="14" t="inlineStr">
        <is>
          <t>15000.0</t>
        </is>
      </c>
      <c r="M122" s="14" t="inlineStr">
        <is>
          <t>-</t>
        </is>
      </c>
      <c r="N122" s="21" t="inlineStr">
        <is>
          <t>NEW</t>
        </is>
      </c>
      <c r="O122" s="14" t="inlineStr">
        <is>
          <t>موصى بالتقديم</t>
        </is>
      </c>
      <c r="P122" s="22">
        <f>HYPERLINK("https://kuwaitalyawm.media.gov.kw/Online/ViewAdsHTML?id=169425&amp;no=1", "عرض المصدر")</f>
        <v/>
      </c>
    </row>
    <row r="123">
      <c r="A123" s="11" t="inlineStr">
        <is>
          <t>MNA-14-2026</t>
        </is>
      </c>
      <c r="B123" s="11" t="inlineStr">
        <is>
          <t>شركة صناعة الكيماويات البترولية</t>
        </is>
      </c>
      <c r="C123" s="11" t="inlineStr">
        <is>
          <t>Abrar Al-Qallaf</t>
        </is>
      </c>
      <c r="D123" s="11" t="inlineStr">
        <is>
          <t>مناقصة رقم MNA-14-2026 - شركة صناعة الكيماويات البترولية</t>
        </is>
      </c>
      <c r="E123" s="11" t="inlineStr">
        <is>
          <t>أعمال وتوريدات مناقصة رقم MNA-14-2026 لصالح شركة صناعة الكيماويات البترولية وفقاً للشروط والمواصفات المعتمدة في وثائق الطرح.</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15.0%</t>
        </is>
      </c>
      <c r="I123" s="12" t="inlineStr">
        <is>
          <t>government</t>
        </is>
      </c>
      <c r="J123" s="12" t="inlineStr">
        <is>
          <t>2026-09-06</t>
        </is>
      </c>
      <c r="K123" s="18" t="inlineStr">
        <is>
          <t>2026-10-11</t>
        </is>
      </c>
      <c r="L123" s="12" t="inlineStr">
        <is>
          <t>750.0</t>
        </is>
      </c>
      <c r="M123" s="12" t="inlineStr">
        <is>
          <t>-</t>
        </is>
      </c>
      <c r="N123" s="21" t="inlineStr">
        <is>
          <t>NEW</t>
        </is>
      </c>
      <c r="O123" s="12" t="inlineStr">
        <is>
          <t>غير متوافقة مع اختصاصات KBM</t>
        </is>
      </c>
      <c r="P123" s="23">
        <f>HYPERLINK("https://kuwaitalyawm.media.gov.kw/Online/ViewAdsHTML?id=169423&amp;no=1", "عرض المصدر")</f>
        <v/>
      </c>
    </row>
    <row r="124">
      <c r="A124" s="13" t="inlineStr">
        <is>
          <t>2026/4</t>
        </is>
      </c>
      <c r="B124" s="13" t="inlineStr">
        <is>
          <t>شركة ناقلات النفط الكويتية</t>
        </is>
      </c>
      <c r="C124" s="13" t="inlineStr">
        <is>
          <t>Ahmed Habib</t>
        </is>
      </c>
      <c r="D124" s="13" t="inlineStr">
        <is>
          <t>مناقصة رقم 2026/4: إعلان طرح المناقصة الخاصة بتقديم خدمات النظافة والمناولة لشركة ناقلات النفط الكويتية</t>
        </is>
      </c>
      <c r="E124" s="13" t="inlineStr">
        <is>
          <t>توفير خدمات وأعمال النظافة العامة والشاملة للمباني والمرافق وتوفير العمالة والمعدات والمستهلكات اللازمة.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2026-08-30</t>
        </is>
      </c>
      <c r="K124" s="14" t="inlineStr">
        <is>
          <t>2026-10-13</t>
        </is>
      </c>
      <c r="L124" s="14" t="inlineStr">
        <is>
          <t>15000.0</t>
        </is>
      </c>
      <c r="M124" s="14" t="inlineStr">
        <is>
          <t>-</t>
        </is>
      </c>
      <c r="N124" s="21" t="inlineStr">
        <is>
          <t>NEW</t>
        </is>
      </c>
      <c r="O124" s="14" t="inlineStr">
        <is>
          <t>غير متوافقة مع اختصاصات KBM</t>
        </is>
      </c>
      <c r="P124" s="22">
        <f>HYPERLINK("https://kuwaitalyawm.media.gov.kw/Online/ViewAdsHTML?id=168772&amp;no=1", "عرض المصدر")</f>
        <v/>
      </c>
    </row>
    <row r="125">
      <c r="A125" s="11" t="inlineStr">
        <is>
          <t>2026/1</t>
        </is>
      </c>
      <c r="B125" s="11" t="inlineStr">
        <is>
          <t>شركة ناقلات النفط الكويتية</t>
        </is>
      </c>
      <c r="C125" s="11" t="inlineStr">
        <is>
          <t>Ahmed Habib</t>
        </is>
      </c>
      <c r="D125" s="11" t="inlineStr">
        <is>
          <t>مناقصة رقم 2026/1: إعلان طرح المناقصة الخاصة بتقديم خدمات الانترنت</t>
        </is>
      </c>
      <c r="E125"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2026-09-13</t>
        </is>
      </c>
      <c r="K125" s="12" t="inlineStr">
        <is>
          <t>2026-10-20</t>
        </is>
      </c>
      <c r="L125" s="12" t="inlineStr">
        <is>
          <t>2500.0</t>
        </is>
      </c>
      <c r="M125" s="12" t="inlineStr">
        <is>
          <t>100.0</t>
        </is>
      </c>
      <c r="N125" s="21" t="inlineStr">
        <is>
          <t>NEW</t>
        </is>
      </c>
      <c r="O125" s="12" t="inlineStr">
        <is>
          <t>غير متوافقة مع اختصاصات KBM</t>
        </is>
      </c>
      <c r="P125" s="23">
        <f>HYPERLINK("https://kuwaitalyawm.media.gov.kw/Online/ViewAdsHTML?id=170514&amp;no=1", "عرض المصدر")</f>
        <v/>
      </c>
    </row>
    <row r="126">
      <c r="A126" s="13" t="inlineStr">
        <is>
          <t>P&amp;MAB-04/2025</t>
        </is>
      </c>
      <c r="B126" s="13" t="inlineStr">
        <is>
          <t>شركة ناقلات النفط الكويتية</t>
        </is>
      </c>
      <c r="C126" s="13" t="inlineStr">
        <is>
          <t>Ahmed Habib</t>
        </is>
      </c>
      <c r="D126" s="13" t="inlineStr">
        <is>
          <t>ممارسة رقم P&amp;MAB-04/2025: ممارسة التصميم والإشراف على مشروع أرض مساحتها</t>
        </is>
      </c>
      <c r="E126"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26" s="13" t="inlineStr">
        <is>
          <t>وفقاً لشروط وإجراءات المناقصات والتوريد لدى شركة البترول الوطنية الكويتية (KNPC)</t>
        </is>
      </c>
      <c r="G126" s="14" t="inlineStr">
        <is>
          <t>عام</t>
        </is>
      </c>
      <c r="H126" s="14" t="inlineStr">
        <is>
          <t>0.0%</t>
        </is>
      </c>
      <c r="I126" s="14" t="inlineStr">
        <is>
          <t>oil_and_gas</t>
        </is>
      </c>
      <c r="J126" s="14" t="inlineStr">
        <is>
          <t>2026-09-27</t>
        </is>
      </c>
      <c r="K126" s="14" t="inlineStr">
        <is>
          <t>2026-11-03</t>
        </is>
      </c>
      <c r="L126" s="14" t="inlineStr">
        <is>
          <t>2500.0</t>
        </is>
      </c>
      <c r="M126" s="14" t="inlineStr">
        <is>
          <t>-</t>
        </is>
      </c>
      <c r="N126" s="26" t="inlineStr">
        <is>
          <t>UNCHANGED</t>
        </is>
      </c>
      <c r="O126" s="14" t="inlineStr">
        <is>
          <t>غير متوافقة مع اختصاصات KBM</t>
        </is>
      </c>
      <c r="P126" s="22">
        <f>HYPERLINK("https://kuwaitalyawm.media.gov.kw/flip/index?id=5599&amp;no=227", "عرض المصدر")</f>
        <v/>
      </c>
    </row>
    <row r="127">
      <c r="A127" s="11" t="inlineStr">
        <is>
          <t>CATEGORY KS 01.21</t>
        </is>
      </c>
      <c r="B127" s="11" t="inlineStr">
        <is>
          <t>شركة نفط الكويت</t>
        </is>
      </c>
      <c r="C127" s="11" t="inlineStr">
        <is>
          <t>Ahmed Habib</t>
        </is>
      </c>
      <c r="D127" s="11" t="inlineStr">
        <is>
          <t>مناقصة رقم CATEGORY KS 01.21 - شركة نفط الكويت</t>
        </is>
      </c>
      <c r="E127" s="11" t="inlineStr">
        <is>
          <t>أعمال وتوريدات مناقصة رقم CATEGORY KS 01.21 لصالح شركة نفط الكويت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15.0%</t>
        </is>
      </c>
      <c r="I127" s="12" t="inlineStr">
        <is>
          <t>government</t>
        </is>
      </c>
      <c r="J127" s="12" t="inlineStr">
        <is>
          <t>2026-09-13</t>
        </is>
      </c>
      <c r="K127" s="12" t="inlineStr">
        <is>
          <t>-</t>
        </is>
      </c>
      <c r="L127" s="12" t="inlineStr">
        <is>
          <t>-</t>
        </is>
      </c>
      <c r="M127" s="12" t="inlineStr">
        <is>
          <t>-</t>
        </is>
      </c>
      <c r="N127" s="21" t="inlineStr">
        <is>
          <t>NEW</t>
        </is>
      </c>
      <c r="O127" s="12" t="inlineStr">
        <is>
          <t>غير متوافقة مع اختصاصات KBM</t>
        </is>
      </c>
      <c r="P127" s="23">
        <f>HYPERLINK("https://kuwaitalyawm.media.gov.kw/Online/ViewAdsHTML?id=170537&amp;no=1", "عرض المصدر")</f>
        <v/>
      </c>
    </row>
    <row r="128">
      <c r="A128" s="13" t="inlineStr">
        <is>
          <t>2147428</t>
        </is>
      </c>
      <c r="B128" s="13" t="inlineStr">
        <is>
          <t>شركة نفط الكويت</t>
        </is>
      </c>
      <c r="C128" s="13" t="inlineStr">
        <is>
          <t>Ahmed Habib</t>
        </is>
      </c>
      <c r="D128" s="13" t="inlineStr">
        <is>
          <t>تقديم خدمات الامن السيبراني المدارة</t>
        </is>
      </c>
      <c r="E128" s="13" t="inlineStr">
        <is>
          <t>أعمال وتوريدات تقديم خدمات الامن السيبراني المدارة لصالح شركة نفط الكويت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قطاع الأمن السيبراني والدفاع الرقمي</t>
        </is>
      </c>
      <c r="H128" s="14" t="inlineStr">
        <is>
          <t>47.0%</t>
        </is>
      </c>
      <c r="I128" s="14" t="inlineStr">
        <is>
          <t>oil_and_gas</t>
        </is>
      </c>
      <c r="J128" s="14" t="inlineStr">
        <is>
          <t>2026-08-23</t>
        </is>
      </c>
      <c r="K128" s="14" t="inlineStr">
        <is>
          <t>2026-11-17</t>
        </is>
      </c>
      <c r="L128" s="14" t="inlineStr">
        <is>
          <t>220000.000 KWD</t>
        </is>
      </c>
      <c r="M128" s="14" t="inlineStr">
        <is>
          <t>3500.000 KWD</t>
        </is>
      </c>
      <c r="N128" s="21" t="inlineStr">
        <is>
          <t>NEW</t>
        </is>
      </c>
      <c r="O128" s="14" t="inlineStr">
        <is>
          <t>فرصة تتطلب شراكة أو دراسة نطاق</t>
        </is>
      </c>
      <c r="P128" s="22">
        <f>HYPERLINK("https://capt.gov.kw/ar/tenders/opening-tenders/#card-9", "عرض المصدر")</f>
        <v/>
      </c>
    </row>
    <row r="129">
      <c r="A129" s="11" t="inlineStr">
        <is>
          <t>2026/504</t>
        </is>
      </c>
      <c r="B129" s="11" t="inlineStr">
        <is>
          <t>مؤسسة البترول الكويتية</t>
        </is>
      </c>
      <c r="C129" s="11" t="inlineStr">
        <is>
          <t>Eiman Ashkanani</t>
        </is>
      </c>
      <c r="D129" s="11" t="inlineStr">
        <is>
          <t>مناقصة رقم 2026/504: توريد مواد تموينية غذائية</t>
        </is>
      </c>
      <c r="E129" s="11" t="inlineStr">
        <is>
          <t>أعمال وتوريدات توريد مواد تموينية غذائية لصالح مؤسسة البترول الكويتية وفقاً للشروط والمواصفات المعتمدة في وثائق الطرح.</t>
        </is>
      </c>
      <c r="F1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9" s="12" t="inlineStr">
        <is>
          <t>عام</t>
        </is>
      </c>
      <c r="H129" s="12" t="inlineStr">
        <is>
          <t>0.0%</t>
        </is>
      </c>
      <c r="I129" s="12" t="inlineStr">
        <is>
          <t>government</t>
        </is>
      </c>
      <c r="J129" s="12" t="inlineStr">
        <is>
          <t>2026-08-30</t>
        </is>
      </c>
      <c r="K129" s="12" t="inlineStr">
        <is>
          <t>-</t>
        </is>
      </c>
      <c r="L129" s="12" t="inlineStr">
        <is>
          <t>-</t>
        </is>
      </c>
      <c r="M129" s="12" t="inlineStr">
        <is>
          <t>-</t>
        </is>
      </c>
      <c r="N129" s="21" t="inlineStr">
        <is>
          <t>NEW</t>
        </is>
      </c>
      <c r="O129" s="12" t="inlineStr">
        <is>
          <t>غير متوافقة مع اختصاصات KBM</t>
        </is>
      </c>
      <c r="P129" s="23">
        <f>HYPERLINK("https://kuwaitalyawm.media.gov.kw/Online/ViewAdsHTML?id=168747&amp;no=1", "عرض المصدر")</f>
        <v/>
      </c>
    </row>
    <row r="130">
      <c r="A130" s="13" t="inlineStr">
        <is>
          <t>507</t>
        </is>
      </c>
      <c r="B130" s="13" t="inlineStr">
        <is>
          <t>مؤسسة البترول الكويتية</t>
        </is>
      </c>
      <c r="C130" s="13" t="inlineStr">
        <is>
          <t>Eiman Ashkanani</t>
        </is>
      </c>
      <c r="D130" s="13" t="inlineStr">
        <is>
          <t>مناقصة رقم 507: استئجار آلات تصوير مستندات</t>
        </is>
      </c>
      <c r="E130" s="13" t="inlineStr">
        <is>
          <t>أعمال وتوريدات استئجار آلات تصوير مستندات لصالح مؤسسة البترول الكويتية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0.0%</t>
        </is>
      </c>
      <c r="I130" s="14" t="inlineStr">
        <is>
          <t>government</t>
        </is>
      </c>
      <c r="J130" s="14" t="inlineStr">
        <is>
          <t>2026-09-06</t>
        </is>
      </c>
      <c r="K130" s="14" t="inlineStr">
        <is>
          <t>2026-10-13</t>
        </is>
      </c>
      <c r="L130" s="14" t="inlineStr">
        <is>
          <t>2500.0</t>
        </is>
      </c>
      <c r="M130" s="14" t="inlineStr">
        <is>
          <t>100.0</t>
        </is>
      </c>
      <c r="N130" s="21" t="inlineStr">
        <is>
          <t>NEW</t>
        </is>
      </c>
      <c r="O130" s="14" t="inlineStr">
        <is>
          <t>غير متوافقة مع اختصاصات KBM</t>
        </is>
      </c>
      <c r="P130" s="22">
        <f>HYPERLINK("https://kuwaitalyawm.media.gov.kw/Online/ViewAdsHTML?id=169407&amp;no=1", "عرض المصدر")</f>
        <v/>
      </c>
    </row>
    <row r="131">
      <c r="A131" s="11" t="inlineStr">
        <is>
          <t>2027/2026/4</t>
        </is>
      </c>
      <c r="B131" s="11" t="inlineStr">
        <is>
          <t>مؤسسة الموانئ الكويتية</t>
        </is>
      </c>
      <c r="C131" s="11" t="inlineStr">
        <is>
          <t>Eiman Ashkanani</t>
        </is>
      </c>
      <c r="D131" s="11" t="inlineStr">
        <is>
          <t>ممارسة رقم 2027/2026/4: تمديد موعد الاقفال الممارسة رقم م م ك (/2026/4/2027) بشأن عمل مسح بحري للأرصفة والأحواض</t>
        </is>
      </c>
      <c r="E131"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131"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الأمر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أن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31" s="12" t="inlineStr">
        <is>
          <t>عام</t>
        </is>
      </c>
      <c r="H131" s="12" t="inlineStr">
        <is>
          <t>0.0%</t>
        </is>
      </c>
      <c r="I131" s="12" t="inlineStr">
        <is>
          <t>government</t>
        </is>
      </c>
      <c r="J131" s="12" t="inlineStr">
        <is>
          <t>2026-09-27</t>
        </is>
      </c>
      <c r="K131" s="12" t="inlineStr">
        <is>
          <t>-</t>
        </is>
      </c>
      <c r="L131" s="12" t="inlineStr">
        <is>
          <t>1000.0</t>
        </is>
      </c>
      <c r="M131" s="12" t="inlineStr">
        <is>
          <t>20.0</t>
        </is>
      </c>
      <c r="N131" s="21" t="inlineStr">
        <is>
          <t>NEW</t>
        </is>
      </c>
      <c r="O131" s="12" t="inlineStr">
        <is>
          <t>غير متوافقة مع اختصاصات KBM</t>
        </is>
      </c>
      <c r="P131" s="23">
        <f>HYPERLINK("https://kuwaitalyawm.media.gov.kw/Online/ViewAdsHTML?id=171711&amp;no=1", "عرض المصدر")</f>
        <v/>
      </c>
    </row>
    <row r="132">
      <c r="A132" s="13" t="inlineStr">
        <is>
          <t>2027/2026/84</t>
        </is>
      </c>
      <c r="B132" s="13" t="inlineStr">
        <is>
          <t>معهد الكـويت للابحاث العلمية</t>
        </is>
      </c>
      <c r="C132" s="13" t="inlineStr">
        <is>
          <t>Eiman Ashkanani</t>
        </is>
      </c>
      <c r="D132"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132"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2026-09-27</t>
        </is>
      </c>
      <c r="K132" s="14" t="inlineStr">
        <is>
          <t>-</t>
        </is>
      </c>
      <c r="L132" s="14" t="inlineStr">
        <is>
          <t>-</t>
        </is>
      </c>
      <c r="M132" s="14" t="inlineStr">
        <is>
          <t>75.0</t>
        </is>
      </c>
      <c r="N132" s="21" t="inlineStr">
        <is>
          <t>NEW</t>
        </is>
      </c>
      <c r="O132" s="14" t="inlineStr">
        <is>
          <t>غير متوافقة مع اختصاصات KBM</t>
        </is>
      </c>
      <c r="P132" s="22">
        <f>HYPERLINK("https://kuwaitalyawm.media.gov.kw/Online/ViewAdsHTML?id=171717&amp;no=1", "عرض المصدر")</f>
        <v/>
      </c>
    </row>
    <row r="133">
      <c r="A133" s="11" t="inlineStr">
        <is>
          <t>2027/2026/86</t>
        </is>
      </c>
      <c r="B133" s="11" t="inlineStr">
        <is>
          <t>معهد الكـويت للابحاث العلمية</t>
        </is>
      </c>
      <c r="C133" s="11" t="inlineStr">
        <is>
          <t>Eiman Ashkanani</t>
        </is>
      </c>
      <c r="D133" s="11" t="inlineStr">
        <is>
          <t>ممارسة رقم 2027/2026/86: يعلن معهد الكويت للأبحـاث العلمية عن طـــرح ممارسة رقم 86-M-2026/2027 توريد جهاز تحليل الخصائص الباردة للنفط الخام والمنتجات البترولية، ويمكن الحصول على وثائق الممارسة من موقع المعهد التالي: -</t>
        </is>
      </c>
      <c r="E133" s="11" t="inlineStr">
        <is>
          <t>أعمال وتوريدات يعلن معهد الكويت للأبحـاث العلمية عن طـــرح ممارسة رقم 86-M-2026/2027 توريد جهاز تحليل الخصائص الباردة للنفط الخام والمنتجات البترولية، ويمكن الحصول على وثائق الممارسة من موقع المعهد التالي: - لصالح معهد الكـويت للابحاث العلمية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government</t>
        </is>
      </c>
      <c r="J133" s="12" t="inlineStr">
        <is>
          <t>2026-09-27</t>
        </is>
      </c>
      <c r="K133" s="12" t="inlineStr">
        <is>
          <t>2026-10-13</t>
        </is>
      </c>
      <c r="L133" s="12" t="inlineStr">
        <is>
          <t>-</t>
        </is>
      </c>
      <c r="M133" s="12" t="inlineStr">
        <is>
          <t>75.0</t>
        </is>
      </c>
      <c r="N133" s="21" t="inlineStr">
        <is>
          <t>NEW</t>
        </is>
      </c>
      <c r="O133" s="12" t="inlineStr">
        <is>
          <t>غير متوافقة مع اختصاصات KBM</t>
        </is>
      </c>
      <c r="P133" s="23">
        <f>HYPERLINK("https://kuwaitalyawm.media.gov.kw/Online/ViewAdsHTML?id=171718&amp;no=1", "عرض المصدر")</f>
        <v/>
      </c>
    </row>
    <row r="134">
      <c r="A134" s="13" t="inlineStr">
        <is>
          <t>ممارسة 1 /2026/2027</t>
        </is>
      </c>
      <c r="B134" s="13" t="inlineStr">
        <is>
          <t>هيئة تشجيع الاستثمار المباشر</t>
        </is>
      </c>
      <c r="C134" s="13" t="inlineStr">
        <is>
          <t>Eiman Ashkanani</t>
        </is>
      </c>
      <c r="D134" s="13"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34" s="13" t="inlineStr">
        <is>
          <t>تنفيذ الأعمال المدنية والإنشائية والترميم والصيانة العامة للمباني والمنشآت والمرافق التابعة للجهة.</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government</t>
        </is>
      </c>
      <c r="J134" s="14" t="inlineStr">
        <is>
          <t>2026-08-30</t>
        </is>
      </c>
      <c r="K134" s="14" t="inlineStr">
        <is>
          <t>2026-10-13</t>
        </is>
      </c>
      <c r="L134" s="14" t="inlineStr">
        <is>
          <t>62000.000 KWD</t>
        </is>
      </c>
      <c r="M134" s="14" t="inlineStr">
        <is>
          <t>3500.000 KWD</t>
        </is>
      </c>
      <c r="N134" s="21" t="inlineStr">
        <is>
          <t>NEW</t>
        </is>
      </c>
      <c r="O134" s="14" t="inlineStr">
        <is>
          <t>غير متوافقة مع اختصاصات KBM</t>
        </is>
      </c>
      <c r="P134" s="22">
        <f>HYPERLINK("https://capt.gov.kw/ar/tenders/opening-tenders/#card-7", "عرض المصدر")</f>
        <v/>
      </c>
    </row>
    <row r="135">
      <c r="A135" s="11" t="inlineStr">
        <is>
          <t>2026/2025/10/2</t>
        </is>
      </c>
      <c r="B135" s="11" t="inlineStr">
        <is>
          <t>وزارة الأشغال العامة</t>
        </is>
      </c>
      <c r="C135" s="11" t="inlineStr">
        <is>
          <t>Eiman Ashkanani</t>
        </is>
      </c>
      <c r="D135" s="11" t="inlineStr">
        <is>
          <t>ممارسة رقم 2026/2025/10/2: تشغيل وصيانة كاميرات مراقبة أمنية لمواقع وزارة الأشغال العامة</t>
        </is>
      </c>
      <c r="E135" s="11" t="inlineStr">
        <is>
          <t>تنفيذ أعمال تشغيل وصيانة كاميرات مراقبة أمنية لمواقع وزارة الأشغال العامة، وتوفير كافة الأجهزة والمعدات والأنظمة وخدمات الدعم الفني والضمان وفقاً لكراسة الشروط والمواصفات الفنية.</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24" t="inlineStr">
        <is>
          <t>قطاع الأمن السيبراني والدفاع الرقمي</t>
        </is>
      </c>
      <c r="H135" s="12" t="inlineStr">
        <is>
          <t>72.0%</t>
        </is>
      </c>
      <c r="I135" s="12" t="inlineStr">
        <is>
          <t>government</t>
        </is>
      </c>
      <c r="J135" s="12" t="inlineStr">
        <is>
          <t>2026-09-13</t>
        </is>
      </c>
      <c r="K135" s="12" t="inlineStr">
        <is>
          <t>2026-09-20</t>
        </is>
      </c>
      <c r="L135" s="12" t="inlineStr">
        <is>
          <t>-</t>
        </is>
      </c>
      <c r="M135" s="12" t="inlineStr">
        <is>
          <t>125.0</t>
        </is>
      </c>
      <c r="N135" s="21" t="inlineStr">
        <is>
          <t>NEW</t>
        </is>
      </c>
      <c r="O135" s="12" t="inlineStr">
        <is>
          <t>فرصة ICT متوافقة مع قدرات KBM</t>
        </is>
      </c>
      <c r="P135" s="23">
        <f>HYPERLINK("https://kuwaitalyawm.media.gov.kw/Online/ViewAdsHTML?id=169481&amp;no=1", "عرض المصدر")</f>
        <v/>
      </c>
    </row>
    <row r="136">
      <c r="A136" s="13" t="inlineStr">
        <is>
          <t>2027/2026/25</t>
        </is>
      </c>
      <c r="B136" s="13" t="inlineStr">
        <is>
          <t>وزارة الأوقاف والشؤون الإسلامية</t>
        </is>
      </c>
      <c r="C136" s="13" t="inlineStr">
        <is>
          <t>Eiman Ashkanani</t>
        </is>
      </c>
      <c r="D136" s="13" t="inlineStr">
        <is>
          <t>ممارسة رقم 2027/2026/25: أعمال النظافة الخاصة بالمباني والمراكز التابعة لإدارتي الدراسات وعلوم القرآن الكريم بمحافظتي الأحمدي ومبارك الكبير</t>
        </is>
      </c>
      <c r="E136" s="13" t="inlineStr">
        <is>
          <t>توفير خدمات وأعمال النظافة العامة والشاملة للمباني والمرافق وتوفير العمالة والمعدات والمستهلكات اللازمة.</t>
        </is>
      </c>
      <c r="F136"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36" s="14" t="inlineStr">
        <is>
          <t>عام</t>
        </is>
      </c>
      <c r="H136" s="14" t="inlineStr">
        <is>
          <t>0.0%</t>
        </is>
      </c>
      <c r="I136" s="14" t="inlineStr">
        <is>
          <t>government</t>
        </is>
      </c>
      <c r="J136" s="14" t="inlineStr">
        <is>
          <t>2026-09-13</t>
        </is>
      </c>
      <c r="K136" s="14" t="inlineStr">
        <is>
          <t>2026-10-18</t>
        </is>
      </c>
      <c r="L136" s="14" t="inlineStr">
        <is>
          <t>2000.0</t>
        </is>
      </c>
      <c r="M136" s="14" t="inlineStr">
        <is>
          <t>75.0</t>
        </is>
      </c>
      <c r="N136" s="25" t="inlineStr">
        <is>
          <t>UPDATED</t>
        </is>
      </c>
      <c r="O136" s="14" t="inlineStr">
        <is>
          <t>غير متوافقة مع اختصاصات KBM</t>
        </is>
      </c>
      <c r="P136" s="22">
        <f>HYPERLINK("https://kuwaitalyawm.media.gov.kw/flip/index?id=5600&amp;no=81", "عرض المصدر")</f>
        <v/>
      </c>
    </row>
    <row r="137">
      <c r="A137" s="11" t="inlineStr">
        <is>
          <t>2027/2026/19</t>
        </is>
      </c>
      <c r="B137" s="11" t="inlineStr">
        <is>
          <t>وزارة الأوقاف والشئون الإسلامية</t>
        </is>
      </c>
      <c r="C137" s="11" t="inlineStr">
        <is>
          <t>Eiman Ashkanani</t>
        </is>
      </c>
      <c r="D137" s="11" t="inlineStr">
        <is>
          <t>ممارسة رقم 2027/2026/19: بتقديم خدمات إنترنت وخطوط اتصال لاسلكية للمواقع</t>
        </is>
      </c>
      <c r="E137" s="11" t="inlineStr">
        <is>
          <t>أعمال وتوريدات بتقديم خدمات إنترنت وخطوط اتصال لاسلكية للمواقع لصالح وزارة الأوقاف والشئون الإسلامية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0.0%</t>
        </is>
      </c>
      <c r="I137" s="12" t="inlineStr">
        <is>
          <t>government</t>
        </is>
      </c>
      <c r="J137" s="12" t="inlineStr">
        <is>
          <t>2026-09-20</t>
        </is>
      </c>
      <c r="K137" s="18" t="inlineStr">
        <is>
          <t>2026-10-11</t>
        </is>
      </c>
      <c r="L137" s="12" t="inlineStr">
        <is>
          <t>600.0</t>
        </is>
      </c>
      <c r="M137" s="12" t="inlineStr">
        <is>
          <t>75.0</t>
        </is>
      </c>
      <c r="N137" s="21" t="inlineStr">
        <is>
          <t>NEW</t>
        </is>
      </c>
      <c r="O137" s="12" t="inlineStr">
        <is>
          <t>غير متوافقة مع اختصاصات KBM</t>
        </is>
      </c>
      <c r="P137" s="23">
        <f>HYPERLINK("https://kuwaitalyawm.media.gov.kw/Online/ViewAdsHTML?id=170600&amp;no=1", "عرض المصدر")</f>
        <v/>
      </c>
    </row>
    <row r="138">
      <c r="A138" s="13" t="inlineStr">
        <is>
          <t>2026/2</t>
        </is>
      </c>
      <c r="B138" s="13" t="inlineStr">
        <is>
          <t>وزارة الأوقاف والشئون الإسلامية</t>
        </is>
      </c>
      <c r="C138" s="13" t="inlineStr">
        <is>
          <t>Eiman Ashkanani</t>
        </is>
      </c>
      <c r="D138" s="13" t="inlineStr">
        <is>
          <t>مناقصة رقم 2026/2: الخاصة بأعمال توريد وتركيب سجاد ولباد للمساجد التابعة</t>
        </is>
      </c>
      <c r="E138" s="13"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15.0%</t>
        </is>
      </c>
      <c r="I138" s="14" t="inlineStr">
        <is>
          <t>government</t>
        </is>
      </c>
      <c r="J138" s="14" t="inlineStr">
        <is>
          <t>2026-09-27</t>
        </is>
      </c>
      <c r="K138" s="14" t="inlineStr">
        <is>
          <t>2026-10-15</t>
        </is>
      </c>
      <c r="L138" s="14" t="inlineStr">
        <is>
          <t>500.0</t>
        </is>
      </c>
      <c r="M138" s="14" t="inlineStr">
        <is>
          <t>500.0</t>
        </is>
      </c>
      <c r="N138" s="21" t="inlineStr">
        <is>
          <t>NEW</t>
        </is>
      </c>
      <c r="O138" s="14" t="inlineStr">
        <is>
          <t>غير متوافقة مع اختصاصات KBM</t>
        </is>
      </c>
      <c r="P138" s="22">
        <f>HYPERLINK("https://kuwaitalyawm.media.gov.kw/Online/ViewAdsHTML?id=171071&amp;no=1", "عرض المصدر")</f>
        <v/>
      </c>
    </row>
    <row r="139">
      <c r="A139" s="11" t="inlineStr">
        <is>
          <t>2027/2026/967</t>
        </is>
      </c>
      <c r="B139" s="11" t="inlineStr">
        <is>
          <t>وزارة الاعلام</t>
        </is>
      </c>
      <c r="C139" s="11" t="inlineStr">
        <is>
          <t>Eiman Ashkanani</t>
        </is>
      </c>
      <c r="D139" s="11" t="inlineStr">
        <is>
          <t>ممارسة رقم 2027/2026/967: ستقوم وزارة الإعلام بعقد اجتماع تمهيدي يوم الأحد الموافق 27/9/2026 في تمام الساعة الحادية عشر ظهراً بقاعة اجتماعات السيد/ مدير عام الإدارة العامة للخدمات الهندسية و المساندة / الوكيل المساعد للشؤون الهندسية (سابقا) الدور الأرضي - مبنى الإذاعة -مجمع الإعلام - شارع السور ، وذلك للرد على الاستفسارات المقدمة بشأن الممارسة ، ويجوز لكل من قام بشراء وثائق الممارسة حضور الاجتماع بشخصه أو من يمثله ، ويعتبر كل ما يدون بمحضر الاجتماع جزءاً لا يتجزأ من وثائق الممارسة ، ويسرى في مواجهة مقدمي العطاءات ، وستقوم الوزارة بتعميم الاسئلة والاستفسارات والردود عليها بعد اعتمادها على جميع الممارسين قبل موعد اقفال العطاءات .</t>
        </is>
      </c>
      <c r="E139" s="11" t="inlineStr">
        <is>
          <t>أعمال وتوريدات ستقوم وزارة الإعلام بعقد اجتماع تمهيدي يوم الأحد الموافق 27/9/2026 في تمام الساعة الحادية عشر ظهراً بقاعة اجتماعات السيد/ مدير عام الإدارة العامة للخدمات الهندسية و المساندة / الوكيل المساعد للشؤون الهندسية (سابقا) الدور الأرضي - مبنى الإذاعة -مجمع الإعلام - شارع السور ، وذلك للرد على الاستفسارات المقدمة بشأن الممارسة ، ويجوز لكل من قام بشراء وثائق الممارسة حضور الاجتماع بشخصه أو من يمثله ، ويعتبر كل ما يدون بمحضر الاجتماع جزءاً لا يتجزأ من وثائق الممارسة ، ويسرى في مواجهة مقدمي العطاءات ، وستقوم الوزارة بتعميم الاسئلة والاستفسارات والردود عليها بعد اعتمادها على جميع الممارسين قبل موعد اقفال العطاءات . لصالح وزارة الاعلام وفقاً للشروط والمواصفات المعتمدة في وثائق الطرح.</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government</t>
        </is>
      </c>
      <c r="J139" s="12" t="inlineStr">
        <is>
          <t>2026-09-20</t>
        </is>
      </c>
      <c r="K139" s="18" t="inlineStr">
        <is>
          <t>2026-10-08</t>
        </is>
      </c>
      <c r="L139" s="12" t="inlineStr">
        <is>
          <t>-</t>
        </is>
      </c>
      <c r="M139" s="12" t="inlineStr">
        <is>
          <t>50.0</t>
        </is>
      </c>
      <c r="N139" s="21" t="inlineStr">
        <is>
          <t>NEW</t>
        </is>
      </c>
      <c r="O139" s="12" t="inlineStr">
        <is>
          <t>غير متوافقة مع اختصاصات KBM</t>
        </is>
      </c>
      <c r="P139" s="23">
        <f>HYPERLINK("https://kuwaitalyawm.media.gov.kw/Online/ViewAdsHTML?id=170599&amp;no=1", "عرض المصدر")</f>
        <v/>
      </c>
    </row>
    <row r="140">
      <c r="A140" s="13" t="inlineStr">
        <is>
          <t>و أ / 406/2026/2027</t>
        </is>
      </c>
      <c r="B140" s="13" t="inlineStr">
        <is>
          <t>وزارة الاعلام</t>
        </is>
      </c>
      <c r="C140" s="13" t="inlineStr">
        <is>
          <t>Eiman Ashkanani</t>
        </is>
      </c>
      <c r="D140" s="13" t="inlineStr">
        <is>
          <t>تجهيز خدمات التنظيف و النقل الداخلي و التخلص من النفايات بمبنى مجمع الاعلام و المحطات الخارجية التابعة له</t>
        </is>
      </c>
      <c r="E140" s="13" t="inlineStr">
        <is>
          <t>توفير خدمات وأعمال النظافة العامة والشاملة للمباني والمرافق وتوفير العمالة والمعدات والمستهلكات اللازمة.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14" t="inlineStr">
        <is>
          <t>عام</t>
        </is>
      </c>
      <c r="H140" s="14" t="inlineStr">
        <is>
          <t>0.0%</t>
        </is>
      </c>
      <c r="I140" s="14" t="inlineStr">
        <is>
          <t>telecom_and_media</t>
        </is>
      </c>
      <c r="J140" s="14" t="inlineStr">
        <is>
          <t>2026-09-20</t>
        </is>
      </c>
      <c r="K140" s="14" t="inlineStr">
        <is>
          <t>2026-12-15</t>
        </is>
      </c>
      <c r="L140" s="14" t="inlineStr">
        <is>
          <t>23000.000 KWD</t>
        </is>
      </c>
      <c r="M140" s="14" t="inlineStr">
        <is>
          <t>1000.000 KWD</t>
        </is>
      </c>
      <c r="N140" s="26" t="inlineStr">
        <is>
          <t>UNCHANGED</t>
        </is>
      </c>
      <c r="O140" s="14" t="inlineStr">
        <is>
          <t>غير متوافقة مع اختصاصات KBM</t>
        </is>
      </c>
      <c r="P140" s="22">
        <f>HYPERLINK("https://capt.gov.kw/ar/tenders/opening-tenders/#card-3", "عرض المصدر")</f>
        <v/>
      </c>
    </row>
    <row r="141">
      <c r="A141" s="11" t="inlineStr">
        <is>
          <t>م ع/23/2025/2026</t>
        </is>
      </c>
      <c r="B141" s="11" t="inlineStr">
        <is>
          <t>وزارة التربية</t>
        </is>
      </c>
      <c r="C141" s="11" t="inlineStr">
        <is>
          <t>Eiman Ashkanani</t>
        </is>
      </c>
      <c r="D141" s="11" t="inlineStr">
        <is>
          <t>تنفيذ أعمال التشغيل والصيانة وإدارة مبنى ديوان عام الوزارة الجديد بجنوب السرة</t>
        </is>
      </c>
      <c r="E141"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education_and_research</t>
        </is>
      </c>
      <c r="J141" s="12" t="inlineStr">
        <is>
          <t>2026-08-23</t>
        </is>
      </c>
      <c r="K141" s="12" t="inlineStr">
        <is>
          <t>2026-11-17</t>
        </is>
      </c>
      <c r="L141" s="12" t="inlineStr">
        <is>
          <t>62000.000 KWD</t>
        </is>
      </c>
      <c r="M141" s="12" t="inlineStr">
        <is>
          <t>3500.000 KWD</t>
        </is>
      </c>
      <c r="N141" s="21" t="inlineStr">
        <is>
          <t>NEW</t>
        </is>
      </c>
      <c r="O141" s="12" t="inlineStr">
        <is>
          <t>غير متوافقة مع اختصاصات KBM</t>
        </is>
      </c>
      <c r="P141" s="23">
        <f>HYPERLINK("https://capt.gov.kw/ar/tenders/opening-tenders/#card-2", "عرض المصدر")</f>
        <v/>
      </c>
    </row>
    <row r="142">
      <c r="A142" s="13" t="inlineStr">
        <is>
          <t>م ع /6/2022/2023</t>
        </is>
      </c>
      <c r="B142" s="13" t="inlineStr">
        <is>
          <t>وزارة التربية</t>
        </is>
      </c>
      <c r="C142" s="13" t="inlineStr">
        <is>
          <t>Eiman Ashkanani</t>
        </is>
      </c>
      <c r="D142" s="13" t="inlineStr">
        <is>
          <t>أعمال  فحص واصلاح وتشغيل وصيانة شبكة الإنذار ومكافحة الحريق لمباني ومدارس تابعة لمنطقة العاصمة التعليمية</t>
        </is>
      </c>
      <c r="E142"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24.0%</t>
        </is>
      </c>
      <c r="I142" s="14" t="inlineStr">
        <is>
          <t>education_and_research</t>
        </is>
      </c>
      <c r="J142" s="14" t="inlineStr">
        <is>
          <t>2026-09-27</t>
        </is>
      </c>
      <c r="K142" s="14" t="inlineStr">
        <is>
          <t>2026-12-22</t>
        </is>
      </c>
      <c r="L142" s="14" t="inlineStr">
        <is>
          <t>3500.000 KWD</t>
        </is>
      </c>
      <c r="M142" s="14" t="inlineStr">
        <is>
          <t>150.000 KWD</t>
        </is>
      </c>
      <c r="N142" s="26" t="inlineStr">
        <is>
          <t>UNCHANGED</t>
        </is>
      </c>
      <c r="O142" s="14" t="inlineStr">
        <is>
          <t>غير متوافقة مع اختصاصات KBM</t>
        </is>
      </c>
      <c r="P142" s="22">
        <f>HYPERLINK("https://capt.gov.kw/ar/tenders/opening-tenders/#card-6", "عرض المصدر")</f>
        <v/>
      </c>
    </row>
    <row r="143">
      <c r="A143" s="11" t="inlineStr">
        <is>
          <t>2027/2026/2</t>
        </is>
      </c>
      <c r="B143" s="11" t="inlineStr">
        <is>
          <t>وزارة الداخلية</t>
        </is>
      </c>
      <c r="C143" s="11" t="inlineStr">
        <is>
          <t>Khaled Alabdallah</t>
        </is>
      </c>
      <c r="D143" s="11" t="inlineStr">
        <is>
          <t>مناقصة رقم 2027/2026/2: بتمديد موعد الإغلاق للمناقصة رقم (ل.ع 2/2026 - 2027) توريد وضمان وصيانة قوارب متنوعة الأحجام ومتعددة المهام ومستلزماتها والمعدات المطلوبة اللازمة لها لزوم الإدارة العامة لخفر السواحل ـ بوزارة الداخلية</t>
        </is>
      </c>
      <c r="E143" s="11" t="inlineStr">
        <is>
          <t>أعمال وتوريدات بتمديد موعد الإغلاق للمناقصة رقم (ل.ع 2/2026 - 2027) توريد وضمان وصيانة قوارب متنوعة الأحجام ومتعددة المهام ومستلزماتها والمعدات المطلوبة اللازمة لها لزوم الإدارة العامة لخفر السواحل ـ بوزارة الداخلية لصالح وزارة الداخلية وفقاً للشروط والمواصفات المعتمدة في وثائق الطرح.</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15.0%</t>
        </is>
      </c>
      <c r="I143" s="12" t="inlineStr">
        <is>
          <t>government</t>
        </is>
      </c>
      <c r="J143" s="12" t="inlineStr">
        <is>
          <t>2026-08-30</t>
        </is>
      </c>
      <c r="K143" s="12" t="inlineStr">
        <is>
          <t>-</t>
        </is>
      </c>
      <c r="L143" s="12" t="inlineStr">
        <is>
          <t>-</t>
        </is>
      </c>
      <c r="M143" s="12" t="inlineStr">
        <is>
          <t>75.0</t>
        </is>
      </c>
      <c r="N143" s="21" t="inlineStr">
        <is>
          <t>NEW</t>
        </is>
      </c>
      <c r="O143" s="12" t="inlineStr">
        <is>
          <t>غير متوافقة مع اختصاصات KBM</t>
        </is>
      </c>
      <c r="P143" s="23">
        <f>HYPERLINK("https://kuwaitalyawm.media.gov.kw/Online/ViewAdsHTML?id=171678&amp;no=1", "عرض المصدر")</f>
        <v/>
      </c>
    </row>
    <row r="144">
      <c r="A144" s="13" t="inlineStr">
        <is>
          <t>2026/2025/41</t>
        </is>
      </c>
      <c r="B144" s="13" t="inlineStr">
        <is>
          <t>وزارة الداخلية</t>
        </is>
      </c>
      <c r="C144" s="13" t="inlineStr">
        <is>
          <t>Khaled Alabdallah</t>
        </is>
      </c>
      <c r="D144"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44"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government</t>
        </is>
      </c>
      <c r="J144" s="14" t="inlineStr">
        <is>
          <t>2026-08-23</t>
        </is>
      </c>
      <c r="K144" s="14" t="inlineStr">
        <is>
          <t>-</t>
        </is>
      </c>
      <c r="L144" s="14" t="inlineStr">
        <is>
          <t>12000.0</t>
        </is>
      </c>
      <c r="M144" s="14" t="inlineStr">
        <is>
          <t>-</t>
        </is>
      </c>
      <c r="N144" s="21" t="inlineStr">
        <is>
          <t>NEW</t>
        </is>
      </c>
      <c r="O144" s="14" t="inlineStr">
        <is>
          <t>غير متوافقة مع اختصاصات KBM</t>
        </is>
      </c>
      <c r="P144" s="22">
        <f>HYPERLINK("https://kuwaitalyawm.media.gov.kw/Online/ViewAdsHTML?id=167483&amp;no=1", "عرض المصدر")</f>
        <v/>
      </c>
    </row>
    <row r="145">
      <c r="A145" s="11" t="inlineStr">
        <is>
          <t>2027/2026/16</t>
        </is>
      </c>
      <c r="B145" s="11" t="inlineStr">
        <is>
          <t>وزارة الداخلية</t>
        </is>
      </c>
      <c r="C145" s="11" t="inlineStr">
        <is>
          <t>Khaled Alabdallah</t>
        </is>
      </c>
      <c r="D145" s="11" t="inlineStr">
        <is>
          <t>مناقصة رقم 2027/2026/16: توريد وضمان مواد متفجرة لزوم إدارة التجهيزات الأمنية</t>
        </is>
      </c>
      <c r="E145" s="11" t="inlineStr">
        <is>
          <t>توفير خدمات الحراسة والأمن والسلامة للمباني والمنشآت وتأمين المداخل وتوفير الكوادر الأمنية المدربة.</t>
        </is>
      </c>
      <c r="F145"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5" s="12" t="inlineStr">
        <is>
          <t>عام</t>
        </is>
      </c>
      <c r="H145" s="12" t="inlineStr">
        <is>
          <t>15.0%</t>
        </is>
      </c>
      <c r="I145" s="12" t="inlineStr">
        <is>
          <t>education_and_research</t>
        </is>
      </c>
      <c r="J145" s="12" t="inlineStr">
        <is>
          <t>2026-08-23</t>
        </is>
      </c>
      <c r="K145" s="12" t="inlineStr">
        <is>
          <t>-</t>
        </is>
      </c>
      <c r="L145" s="12" t="inlineStr">
        <is>
          <t>2000.0</t>
        </is>
      </c>
      <c r="M145" s="12" t="inlineStr">
        <is>
          <t>-</t>
        </is>
      </c>
      <c r="N145" s="21" t="inlineStr">
        <is>
          <t>NEW</t>
        </is>
      </c>
      <c r="O145" s="12" t="inlineStr">
        <is>
          <t>غير متوافقة مع اختصاصات KBM</t>
        </is>
      </c>
      <c r="P145" s="23">
        <f>HYPERLINK("https://kuwaitalyawm.media.gov.kw/Online/ViewAdsHTML?id=171532&amp;no=1", "عرض المصدر")</f>
        <v/>
      </c>
    </row>
    <row r="146">
      <c r="A146" s="13" t="inlineStr">
        <is>
          <t>2026/2025/37</t>
        </is>
      </c>
      <c r="B146" s="13" t="inlineStr">
        <is>
          <t>وزارة الداخلية</t>
        </is>
      </c>
      <c r="C146" s="13" t="inlineStr">
        <is>
          <t>Khaled Alabdallah</t>
        </is>
      </c>
      <c r="D146" s="13" t="inlineStr">
        <is>
          <t>مناقصة رقم 2026/2025/37: تطوير أنظمة الإدارة والمراقبة وتوفير خدمات تشغيلية لمراكز البيانات</t>
        </is>
      </c>
      <c r="E146"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government</t>
        </is>
      </c>
      <c r="J146" s="14" t="inlineStr">
        <is>
          <t>2026-08-30</t>
        </is>
      </c>
      <c r="K146" s="14" t="inlineStr">
        <is>
          <t>2026-09-23</t>
        </is>
      </c>
      <c r="L146" s="14" t="inlineStr">
        <is>
          <t>-</t>
        </is>
      </c>
      <c r="M146" s="14" t="inlineStr">
        <is>
          <t>-</t>
        </is>
      </c>
      <c r="N146" s="21" t="inlineStr">
        <is>
          <t>NEW</t>
        </is>
      </c>
      <c r="O146" s="14" t="inlineStr">
        <is>
          <t>غير متوافقة مع اختصاصات KBM</t>
        </is>
      </c>
      <c r="P146" s="22">
        <f>HYPERLINK("https://kuwaitalyawm.media.gov.kw/Online/ViewAdsHTML?id=168277&amp;no=1", "عرض المصدر")</f>
        <v/>
      </c>
    </row>
    <row r="147">
      <c r="A147" s="11" t="inlineStr">
        <is>
          <t>2027/2026/20</t>
        </is>
      </c>
      <c r="B147" s="11" t="inlineStr">
        <is>
          <t>وزارة الداخلية</t>
        </is>
      </c>
      <c r="C147" s="11" t="inlineStr">
        <is>
          <t>Khaled Alabdallah</t>
        </is>
      </c>
      <c r="D147" s="11" t="inlineStr">
        <is>
          <t>مناقصة رقم 2027/2026/20: صيانة وإصلاح وتدريب وتوريد قطع الغيار لعدد (8) أبراج كندور وسيميوليتر وتوريد وضمان وتركيب وتشغيل وصيانة وتدريب للمنظار المستقل للقائد (CIV) لأبراج مدرعات الكندور لزوم الإدارة العامة لقوات الأمن الخاصة – للإدارة العامة للإمداد والتموين</t>
        </is>
      </c>
      <c r="E147" s="11" t="inlineStr">
        <is>
          <t>توفير خدمات الحراسة والأمن والسلامة للمباني والمنشآت وتأمين المداخل وتوفير الكوادر الأمنية المدربة.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64.0%</t>
        </is>
      </c>
      <c r="I147" s="12" t="inlineStr">
        <is>
          <t>government</t>
        </is>
      </c>
      <c r="J147" s="12" t="inlineStr">
        <is>
          <t>2026-09-06</t>
        </is>
      </c>
      <c r="K147" s="18" t="inlineStr">
        <is>
          <t>2026-10-07</t>
        </is>
      </c>
      <c r="L147" s="12" t="inlineStr">
        <is>
          <t>700.0</t>
        </is>
      </c>
      <c r="M147" s="12" t="inlineStr">
        <is>
          <t>75.0</t>
        </is>
      </c>
      <c r="N147" s="21" t="inlineStr">
        <is>
          <t>NEW</t>
        </is>
      </c>
      <c r="O147" s="12" t="inlineStr">
        <is>
          <t>فرصة ICT متوافقة مع قدرات KBM</t>
        </is>
      </c>
      <c r="P147" s="23">
        <f>HYPERLINK("https://kuwaitalyawm.media.gov.kw/Online/ViewAdsHTML?id=170601&amp;no=1", "عرض المصدر")</f>
        <v/>
      </c>
    </row>
    <row r="148">
      <c r="A148" s="13" t="inlineStr">
        <is>
          <t>2027/2026/18</t>
        </is>
      </c>
      <c r="B148" s="13" t="inlineStr">
        <is>
          <t>وزارة الداخلية</t>
        </is>
      </c>
      <c r="C148" s="13" t="inlineStr">
        <is>
          <t>Khaled Alabdallah</t>
        </is>
      </c>
      <c r="D148" s="13" t="inlineStr">
        <is>
          <t>مناقصة رقم 2027/2026/18: توريد المواد الكيميائية ـ الطلبية السنوية للسنة المالية</t>
        </is>
      </c>
      <c r="E148"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15.0%</t>
        </is>
      </c>
      <c r="I148" s="14" t="inlineStr">
        <is>
          <t>government</t>
        </is>
      </c>
      <c r="J148" s="14" t="inlineStr">
        <is>
          <t>2026-09-06</t>
        </is>
      </c>
      <c r="K148" s="18" t="inlineStr">
        <is>
          <t>2026-10-12</t>
        </is>
      </c>
      <c r="L148" s="14" t="inlineStr">
        <is>
          <t>-</t>
        </is>
      </c>
      <c r="M148" s="14" t="inlineStr">
        <is>
          <t>-</t>
        </is>
      </c>
      <c r="N148" s="21" t="inlineStr">
        <is>
          <t>NEW</t>
        </is>
      </c>
      <c r="O148" s="14" t="inlineStr">
        <is>
          <t>غير متوافقة مع اختصاصات KBM</t>
        </is>
      </c>
      <c r="P148" s="22">
        <f>HYPERLINK("https://kuwaitalyawm.media.gov.kw/Online/ViewAdsHTML?id=169855&amp;no=1", "عرض المصدر")</f>
        <v/>
      </c>
    </row>
    <row r="149">
      <c r="A149" s="11" t="inlineStr">
        <is>
          <t>2027/2026/33</t>
        </is>
      </c>
      <c r="B149" s="11" t="inlineStr">
        <is>
          <t>وزارة الداخلية</t>
        </is>
      </c>
      <c r="C149" s="11" t="inlineStr">
        <is>
          <t>Khaled Alabdallah</t>
        </is>
      </c>
      <c r="D149" s="11" t="inlineStr">
        <is>
          <t>مناقصة رقم 2027/2026/33 - وزارة الداخلية</t>
        </is>
      </c>
      <c r="E149" s="11" t="inlineStr">
        <is>
          <t>أعمال وتوريدات مناقصة رقم 2027/2026/33 لصالح وزارة الداخلية وفقاً للشروط والمواصفات المعتمدة في وثائق الطرح.</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15.0%</t>
        </is>
      </c>
      <c r="I149" s="12" t="inlineStr">
        <is>
          <t>government</t>
        </is>
      </c>
      <c r="J149" s="12" t="inlineStr">
        <is>
          <t>2026-09-13</t>
        </is>
      </c>
      <c r="K149" s="12" t="inlineStr">
        <is>
          <t>2026-11-09</t>
        </is>
      </c>
      <c r="L149" s="12" t="inlineStr">
        <is>
          <t>-</t>
        </is>
      </c>
      <c r="M149" s="12" t="inlineStr">
        <is>
          <t>75.0</t>
        </is>
      </c>
      <c r="N149" s="21" t="inlineStr">
        <is>
          <t>NEW</t>
        </is>
      </c>
      <c r="O149" s="12" t="inlineStr">
        <is>
          <t>غير متوافقة مع اختصاصات KBM</t>
        </is>
      </c>
      <c r="P149" s="23">
        <f>HYPERLINK("https://kuwaitalyawm.media.gov.kw/Online/ViewAdsHTML?id=169856&amp;no=1", "عرض المصدر")</f>
        <v/>
      </c>
    </row>
    <row r="150">
      <c r="A150" s="13" t="inlineStr">
        <is>
          <t>2027/2026/24</t>
        </is>
      </c>
      <c r="B150" s="13" t="inlineStr">
        <is>
          <t>وزارة الداخلية</t>
        </is>
      </c>
      <c r="C150" s="13" t="inlineStr">
        <is>
          <t>Khaled Alabdallah</t>
        </is>
      </c>
      <c r="D150" s="13" t="inlineStr">
        <is>
          <t>مناقصة رقم 2027/2026/24: توريد وتركيب وتشغيل وصيانة وضمان مع تنفيذ مشروع منظومة مركز اتصال العمليات (112) للإدارة العامة لهندسة الاتصالات.</t>
        </is>
      </c>
      <c r="E150"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1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0" s="24" t="inlineStr">
        <is>
          <t>قطاع العمليات المدارة والدعم الفني متعدد الموردين</t>
        </is>
      </c>
      <c r="H150" s="14" t="inlineStr">
        <is>
          <t>85.0%</t>
        </is>
      </c>
      <c r="I150" s="14" t="inlineStr">
        <is>
          <t>government</t>
        </is>
      </c>
      <c r="J150" s="14" t="inlineStr">
        <is>
          <t>2026-09-20</t>
        </is>
      </c>
      <c r="K150" s="14" t="inlineStr">
        <is>
          <t>2026-11-11</t>
        </is>
      </c>
      <c r="L150" s="14" t="inlineStr">
        <is>
          <t>1000.0</t>
        </is>
      </c>
      <c r="M150" s="14" t="inlineStr">
        <is>
          <t>-</t>
        </is>
      </c>
      <c r="N150" s="21" t="inlineStr">
        <is>
          <t>NEW</t>
        </is>
      </c>
      <c r="O150" s="14" t="inlineStr">
        <is>
          <t>فرصة استراتيجية رئيسية (موصى بالتقديم)</t>
        </is>
      </c>
      <c r="P150" s="22">
        <f>HYPERLINK("https://kuwaitalyawm.media.gov.kw/Online/ViewAdsHTML?id=170975&amp;no=1", "عرض المصدر")</f>
        <v/>
      </c>
    </row>
    <row r="151">
      <c r="A151" s="11" t="inlineStr">
        <is>
          <t>2027/2026/43</t>
        </is>
      </c>
      <c r="B151" s="11" t="inlineStr">
        <is>
          <t>وزارة الداخلية</t>
        </is>
      </c>
      <c r="C151" s="11" t="inlineStr">
        <is>
          <t>Khaled Alabdallah</t>
        </is>
      </c>
      <c r="D151" s="11" t="inlineStr">
        <is>
          <t>مناقصة رقم 2027/2026/43 - وزارة الداخلية</t>
        </is>
      </c>
      <c r="E151" s="11" t="inlineStr">
        <is>
          <t>أعمال وتوريدات مناقصة رقم 2027/2026/43 لصالح وزارة الداخلية وفقاً للشروط والمواصفات المعتمدة في وثائق الطرح.</t>
        </is>
      </c>
      <c r="F1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1" s="12" t="inlineStr">
        <is>
          <t>عام</t>
        </is>
      </c>
      <c r="H151" s="12" t="inlineStr">
        <is>
          <t>15.0%</t>
        </is>
      </c>
      <c r="I151" s="12" t="inlineStr">
        <is>
          <t>government</t>
        </is>
      </c>
      <c r="J151" s="12" t="inlineStr">
        <is>
          <t>2026-09-27</t>
        </is>
      </c>
      <c r="K151" s="12" t="inlineStr">
        <is>
          <t>2026-11-18</t>
        </is>
      </c>
      <c r="L151" s="12" t="inlineStr">
        <is>
          <t>6750.0</t>
        </is>
      </c>
      <c r="M151" s="12" t="inlineStr">
        <is>
          <t>250.0</t>
        </is>
      </c>
      <c r="N151" s="21" t="inlineStr">
        <is>
          <t>NEW</t>
        </is>
      </c>
      <c r="O151" s="12" t="inlineStr">
        <is>
          <t>غير متوافقة مع اختصاصات KBM</t>
        </is>
      </c>
      <c r="P151" s="23">
        <f>HYPERLINK("https://kuwaitalyawm.media.gov.kw/Online/ViewAdsHTML?id=171684&amp;no=1", "عرض المصدر")</f>
        <v/>
      </c>
    </row>
    <row r="152">
      <c r="A152" s="13" t="inlineStr">
        <is>
          <t>241121234261</t>
        </is>
      </c>
      <c r="B152" s="13" t="inlineStr">
        <is>
          <t>وزارة الدفاع</t>
        </is>
      </c>
      <c r="C152" s="13" t="inlineStr">
        <is>
          <t>Eiman Ashkanani</t>
        </is>
      </c>
      <c r="D152" s="13" t="inlineStr">
        <is>
          <t>مناقصة رقم 241121234261: لتوريد إطارات للآليات العسكرية الثقيلة والخفيفة لمدة سنة</t>
        </is>
      </c>
      <c r="E152"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152" s="13" t="inlineStr">
        <is>
          <t>• 1/ تقديم كتاب تفويض من الشركة بشراء وثائق المناقصة.
• 2/ تقديم صورة عن شهادة دعم العمالة الوطنية لدى الشركات غير الحكومية ( السنوية).</t>
        </is>
      </c>
      <c r="G152" s="14" t="inlineStr">
        <is>
          <t>عام</t>
        </is>
      </c>
      <c r="H152" s="14" t="inlineStr">
        <is>
          <t>15.0%</t>
        </is>
      </c>
      <c r="I152" s="14" t="inlineStr">
        <is>
          <t>government</t>
        </is>
      </c>
      <c r="J152" s="14" t="inlineStr">
        <is>
          <t>2026-09-20</t>
        </is>
      </c>
      <c r="K152" s="14" t="inlineStr">
        <is>
          <t>-</t>
        </is>
      </c>
      <c r="L152" s="14" t="inlineStr">
        <is>
          <t>14000.0</t>
        </is>
      </c>
      <c r="M152" s="14" t="inlineStr">
        <is>
          <t>1000.0</t>
        </is>
      </c>
      <c r="N152" s="21" t="inlineStr">
        <is>
          <t>NEW</t>
        </is>
      </c>
      <c r="O152" s="14" t="inlineStr">
        <is>
          <t>غير متوافقة مع اختصاصات KBM</t>
        </is>
      </c>
      <c r="P152" s="22">
        <f>HYPERLINK("https://kuwaitalyawm.media.gov.kw/Online/ViewAdsHTML?id=170978&amp;no=1", "عرض المصدر")</f>
        <v/>
      </c>
    </row>
    <row r="153">
      <c r="A153" s="11" t="inlineStr">
        <is>
          <t>1092925</t>
        </is>
      </c>
      <c r="B153" s="11" t="inlineStr">
        <is>
          <t>وزارة الدفاع</t>
        </is>
      </c>
      <c r="C153" s="11" t="inlineStr">
        <is>
          <t>Eiman Ashkanani</t>
        </is>
      </c>
      <c r="D153" s="11" t="inlineStr">
        <is>
          <t>مناقصة رقم 1092925: أعمال صيانة شاملة للمعسكرات التابعة لمراقبة لواء مبارك 15</t>
        </is>
      </c>
      <c r="E153"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3" s="12" t="inlineStr">
        <is>
          <t>عام</t>
        </is>
      </c>
      <c r="H153" s="12" t="inlineStr">
        <is>
          <t>15.0%</t>
        </is>
      </c>
      <c r="I153" s="12" t="inlineStr">
        <is>
          <t>government</t>
        </is>
      </c>
      <c r="J153" s="12" t="inlineStr">
        <is>
          <t>2026-08-30</t>
        </is>
      </c>
      <c r="K153" s="12" t="inlineStr">
        <is>
          <t>-</t>
        </is>
      </c>
      <c r="L153" s="12" t="inlineStr">
        <is>
          <t>23000.0</t>
        </is>
      </c>
      <c r="M153" s="12" t="inlineStr">
        <is>
          <t>1000.0</t>
        </is>
      </c>
      <c r="N153" s="21" t="inlineStr">
        <is>
          <t>NEW</t>
        </is>
      </c>
      <c r="O153" s="12" t="inlineStr">
        <is>
          <t>غير متوافقة مع اختصاصات KBM</t>
        </is>
      </c>
      <c r="P153" s="23">
        <f>HYPERLINK("https://kuwaitalyawm.media.gov.kw/Online/ViewAdsHTML?id=168278&amp;no=1", "عرض المصدر")</f>
        <v/>
      </c>
    </row>
    <row r="154">
      <c r="A154" s="13" t="inlineStr">
        <is>
          <t>24141071967826</t>
        </is>
      </c>
      <c r="B154" s="13" t="inlineStr">
        <is>
          <t>وزارة الدفاع</t>
        </is>
      </c>
      <c r="C154" s="13" t="inlineStr">
        <is>
          <t>Eiman Ashkanani</t>
        </is>
      </c>
      <c r="D154" s="13" t="inlineStr">
        <is>
          <t>ممارسة رقم 24141071967826: إعادة طرح توريد أجهزة تلفزيون لزوم / هيئة الإمداد والتموين</t>
        </is>
      </c>
      <c r="E154"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4"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4" s="14" t="inlineStr">
        <is>
          <t>عام</t>
        </is>
      </c>
      <c r="H154" s="14" t="inlineStr">
        <is>
          <t>15.0%</t>
        </is>
      </c>
      <c r="I154" s="14" t="inlineStr">
        <is>
          <t>defense_and_security</t>
        </is>
      </c>
      <c r="J154" s="14" t="inlineStr">
        <is>
          <t>2026-09-27</t>
        </is>
      </c>
      <c r="K154" s="14" t="inlineStr">
        <is>
          <t>-</t>
        </is>
      </c>
      <c r="L154" s="14" t="inlineStr">
        <is>
          <t>-</t>
        </is>
      </c>
      <c r="M154" s="14" t="inlineStr">
        <is>
          <t>-</t>
        </is>
      </c>
      <c r="N154" s="21" t="inlineStr">
        <is>
          <t>NEW</t>
        </is>
      </c>
      <c r="O154" s="14" t="inlineStr">
        <is>
          <t>غير متوافقة مع اختصاصات KBM</t>
        </is>
      </c>
      <c r="P154" s="22">
        <f>HYPERLINK("https://kuwaitalyawm.media.gov.kw/Online/ViewAdsHTML?id=171539&amp;no=1", "عرض المصدر")</f>
        <v/>
      </c>
    </row>
    <row r="155">
      <c r="A155" s="11" t="inlineStr">
        <is>
          <t>241113235253</t>
        </is>
      </c>
      <c r="B155" s="11" t="inlineStr">
        <is>
          <t>وزارة الدفاع</t>
        </is>
      </c>
      <c r="C155" s="11" t="inlineStr">
        <is>
          <t>Eiman Ashkanani</t>
        </is>
      </c>
      <c r="D155" s="11" t="inlineStr">
        <is>
          <t>مناقصة رقم 241113235253: لإصلاح وصيانة القاطرات والمقطورات</t>
        </is>
      </c>
      <c r="E155" s="11" t="inlineStr">
        <is>
          <t>أعمال وتوريدات لإصلاح وصيانة القاطرات والمقطورات لصالح وزارة الدفاع وفقاً للشروط والمواصفات المعتمدة في وثائق الطرح.</t>
        </is>
      </c>
      <c r="F155"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155" s="12" t="inlineStr">
        <is>
          <t>عام</t>
        </is>
      </c>
      <c r="H155" s="12" t="inlineStr">
        <is>
          <t>15.0%</t>
        </is>
      </c>
      <c r="I155" s="12" t="inlineStr">
        <is>
          <t>government</t>
        </is>
      </c>
      <c r="J155" s="12" t="inlineStr">
        <is>
          <t>2026-09-20</t>
        </is>
      </c>
      <c r="K155" s="12" t="inlineStr">
        <is>
          <t>2026-10-04</t>
        </is>
      </c>
      <c r="L155" s="12" t="inlineStr">
        <is>
          <t>2.0</t>
        </is>
      </c>
      <c r="M155" s="12" t="inlineStr">
        <is>
          <t>1000.0</t>
        </is>
      </c>
      <c r="N155" s="21" t="inlineStr">
        <is>
          <t>NEW</t>
        </is>
      </c>
      <c r="O155" s="12" t="inlineStr">
        <is>
          <t>غير متوافقة مع اختصاصات KBM</t>
        </is>
      </c>
      <c r="P155" s="23">
        <f>HYPERLINK("https://kuwaitalyawm.media.gov.kw/Online/ViewAdsHTML?id=170979&amp;no=1", "عرض المصدر")</f>
        <v/>
      </c>
    </row>
    <row r="156">
      <c r="A156" s="13" t="inlineStr">
        <is>
          <t>24114235253</t>
        </is>
      </c>
      <c r="B156" s="13" t="inlineStr">
        <is>
          <t>وزارة الدفاع</t>
        </is>
      </c>
      <c r="C156" s="13" t="inlineStr">
        <is>
          <t>Eiman Ashkanani</t>
        </is>
      </c>
      <c r="D156" s="13" t="inlineStr">
        <is>
          <t>مناقصة رقم 24114235253: لإصلاح وصيانة القاطرات والمقطورات والآليات المتوسطة شامل</t>
        </is>
      </c>
      <c r="E156"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56"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56" s="14" t="inlineStr">
        <is>
          <t>عام</t>
        </is>
      </c>
      <c r="H156" s="14" t="inlineStr">
        <is>
          <t>15.0%</t>
        </is>
      </c>
      <c r="I156" s="14" t="inlineStr">
        <is>
          <t>government</t>
        </is>
      </c>
      <c r="J156" s="14" t="inlineStr">
        <is>
          <t>2026-09-06</t>
        </is>
      </c>
      <c r="K156" s="14" t="inlineStr">
        <is>
          <t>2026-10-04</t>
        </is>
      </c>
      <c r="L156" s="14" t="inlineStr">
        <is>
          <t>2.0</t>
        </is>
      </c>
      <c r="M156" s="14" t="inlineStr">
        <is>
          <t>1000.0</t>
        </is>
      </c>
      <c r="N156" s="21" t="inlineStr">
        <is>
          <t>NEW</t>
        </is>
      </c>
      <c r="O156" s="14" t="inlineStr">
        <is>
          <t>غير متوافقة مع اختصاصات KBM</t>
        </is>
      </c>
      <c r="P156" s="22">
        <f>HYPERLINK("https://kuwaitalyawm.media.gov.kw/Online/ViewAdsHTML?id=169152&amp;no=1", "عرض المصدر")</f>
        <v/>
      </c>
    </row>
    <row r="157">
      <c r="A157" s="11" t="inlineStr">
        <is>
          <t>241410119341260</t>
        </is>
      </c>
      <c r="B157" s="11" t="inlineStr">
        <is>
          <t>وزارة الدفاع</t>
        </is>
      </c>
      <c r="C157" s="11" t="inlineStr">
        <is>
          <t>Eiman Ashkanani</t>
        </is>
      </c>
      <c r="D157" s="11" t="inlineStr">
        <is>
          <t>ممارسة رقم 241410119341260: تأثيث من خارج دليل الشراء</t>
        </is>
      </c>
      <c r="E157" s="11" t="inlineStr">
        <is>
          <t>أعمال وتوريدات تأثيث من خارج دليل الشراء لصالح وزارة الدفاع وفقاً للشروط والمواصفات المعتمدة في وثائق الطرح.</t>
        </is>
      </c>
      <c r="F157" s="11" t="inlineStr">
        <is>
          <t>• 1. تقديم كتاب تفويض من الشركة بشراء الوثائق .
• 2. أن تكون الشركة متخصصة في هذا المجال ومصنفة لدى مراقبة تصنيف الشركات بالوزارة لسنة 2026 .
• 3. أن تقدم الشركة شهادة دعم العمالة الوطنية لدى الشركات الغير حكومية .
• 4. سداد الرسوم المقررة لشراء وثائق الممارسة عن طريق الKent .
• 5. جميع التكاليف المترتبة على المشاركة في هذه الممارسة تقع على الممارسين المشاركين كما تحتفظ وزارة لدفاع بحقها بإلغاء أو تعديل أو الاستمرار في هذه الممارسة دون أدنى مسئولية تجاه الوزارة .
• للاستفسار: هاتف : 1844411 – 60395 .</t>
        </is>
      </c>
      <c r="G157" s="12" t="inlineStr">
        <is>
          <t>عام</t>
        </is>
      </c>
      <c r="H157" s="12" t="inlineStr">
        <is>
          <t>15.0%</t>
        </is>
      </c>
      <c r="I157" s="12" t="inlineStr">
        <is>
          <t>government</t>
        </is>
      </c>
      <c r="J157" s="12" t="inlineStr">
        <is>
          <t>2026-09-20</t>
        </is>
      </c>
      <c r="K157" s="18" t="inlineStr">
        <is>
          <t>2026-10-08</t>
        </is>
      </c>
      <c r="L157" s="12" t="inlineStr">
        <is>
          <t>2.0</t>
        </is>
      </c>
      <c r="M157" s="12" t="inlineStr">
        <is>
          <t>75.0</t>
        </is>
      </c>
      <c r="N157" s="21" t="inlineStr">
        <is>
          <t>NEW</t>
        </is>
      </c>
      <c r="O157" s="12" t="inlineStr">
        <is>
          <t>غير متوافقة مع اختصاصات KBM</t>
        </is>
      </c>
      <c r="P157" s="23">
        <f>HYPERLINK("https://kuwaitalyawm.media.gov.kw/Online/ViewAdsHTML?id=170976&amp;no=1", "عرض المصدر")</f>
        <v/>
      </c>
    </row>
    <row r="158">
      <c r="A158" s="13" t="inlineStr">
        <is>
          <t>2414/105/19973/26</t>
        </is>
      </c>
      <c r="B158" s="13" t="inlineStr">
        <is>
          <t>وزارة الدفاع</t>
        </is>
      </c>
      <c r="C158" s="13" t="inlineStr">
        <is>
          <t>Eiman Ashkanani</t>
        </is>
      </c>
      <c r="D158" s="13" t="inlineStr">
        <is>
          <t>ممارسة رقم 2414/105/19973/26: طلب شراء مفروشات لزوم / وزارة الدفاع</t>
        </is>
      </c>
      <c r="E158" s="13" t="inlineStr">
        <is>
          <t>أعمال وتوريدات طلب شراء مفروشات لزوم / وزارة الدفاع لصالح وزارة الدفاع وفقاً للشروط والمواصفات المعتمدة في وثائق الطرح.</t>
        </is>
      </c>
      <c r="F15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58" s="14" t="inlineStr">
        <is>
          <t>عام</t>
        </is>
      </c>
      <c r="H158" s="14" t="inlineStr">
        <is>
          <t>15.0%</t>
        </is>
      </c>
      <c r="I158" s="14" t="inlineStr">
        <is>
          <t>government</t>
        </is>
      </c>
      <c r="J158" s="14" t="inlineStr">
        <is>
          <t>2026-09-20</t>
        </is>
      </c>
      <c r="K158" s="14" t="inlineStr">
        <is>
          <t>2026-10-15</t>
        </is>
      </c>
      <c r="L158" s="14" t="inlineStr">
        <is>
          <t>2.0</t>
        </is>
      </c>
      <c r="M158" s="14" t="inlineStr">
        <is>
          <t>-</t>
        </is>
      </c>
      <c r="N158" s="21" t="inlineStr">
        <is>
          <t>NEW</t>
        </is>
      </c>
      <c r="O158" s="14" t="inlineStr">
        <is>
          <t>غير متوافقة مع اختصاصات KBM</t>
        </is>
      </c>
      <c r="P158" s="22">
        <f>HYPERLINK("https://kuwaitalyawm.media.gov.kw/Online/ViewAdsHTML?id=170977&amp;no=1", "عرض المصدر")</f>
        <v/>
      </c>
    </row>
    <row r="159">
      <c r="A159" s="11" t="inlineStr">
        <is>
          <t>2414/109/20167/26</t>
        </is>
      </c>
      <c r="B159" s="11" t="inlineStr">
        <is>
          <t>وزارة الدفاع</t>
        </is>
      </c>
      <c r="C159" s="11" t="inlineStr">
        <is>
          <t>Eiman Ashkanani</t>
        </is>
      </c>
      <c r="D159" s="11" t="inlineStr">
        <is>
          <t>ممارسة رقم 24141092016726: الطلبية العامة لشراء مواد المطبخ</t>
        </is>
      </c>
      <c r="E159" s="11" t="inlineStr">
        <is>
          <t>أعمال وتوريدات الطلبية العامة لشراء مواد المطبخ لصالح وزارة الدفاع وفقاً للشروط والمواصفات المعتمدة في وثائق الطرح.</t>
        </is>
      </c>
      <c r="F159"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9" s="12" t="inlineStr">
        <is>
          <t>عام</t>
        </is>
      </c>
      <c r="H159" s="12" t="inlineStr">
        <is>
          <t>15.0%</t>
        </is>
      </c>
      <c r="I159" s="12" t="inlineStr">
        <is>
          <t>defense_and_security</t>
        </is>
      </c>
      <c r="J159" s="12" t="inlineStr">
        <is>
          <t>2026-09-13</t>
        </is>
      </c>
      <c r="K159" s="12" t="inlineStr">
        <is>
          <t>2026-10-16</t>
        </is>
      </c>
      <c r="L159" s="12" t="inlineStr">
        <is>
          <t>2000.0</t>
        </is>
      </c>
      <c r="M159" s="12" t="inlineStr">
        <is>
          <t>75.0</t>
        </is>
      </c>
      <c r="N159" s="21" t="inlineStr">
        <is>
          <t>NEW</t>
        </is>
      </c>
      <c r="O159" s="12" t="inlineStr">
        <is>
          <t>غير متوافقة مع اختصاصات KBM</t>
        </is>
      </c>
      <c r="P159" s="23">
        <f>HYPERLINK("https://kuwaitalyawm.media.gov.kw/Online/ViewAdsHTML?id=171538&amp;no=1", "عرض المصدر")</f>
        <v/>
      </c>
    </row>
    <row r="160">
      <c r="A160" s="13" t="inlineStr">
        <is>
          <t>24141071982026</t>
        </is>
      </c>
      <c r="B160" s="13" t="inlineStr">
        <is>
          <t>وزارة الدفاع</t>
        </is>
      </c>
      <c r="C160" s="13" t="inlineStr">
        <is>
          <t>Eiman Ashkanani</t>
        </is>
      </c>
      <c r="D160" s="13" t="inlineStr">
        <is>
          <t>ممارسة رقم 24141071982026: طلب شراء ملفات طبية للمرضى</t>
        </is>
      </c>
      <c r="E160" s="13" t="inlineStr">
        <is>
          <t>توريد المستلزمات والمواد والمستهلكات الطبية أو المخبرية المتخصصة لصالح المرافق الصحية.</t>
        </is>
      </c>
      <c r="F160"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60" s="14" t="inlineStr">
        <is>
          <t>عام</t>
        </is>
      </c>
      <c r="H160" s="14" t="inlineStr">
        <is>
          <t>15.0%</t>
        </is>
      </c>
      <c r="I160" s="14" t="inlineStr">
        <is>
          <t>defense_and_security</t>
        </is>
      </c>
      <c r="J160" s="14" t="inlineStr">
        <is>
          <t>2026-09-27</t>
        </is>
      </c>
      <c r="K160" s="14" t="inlineStr">
        <is>
          <t>2026-10-22</t>
        </is>
      </c>
      <c r="L160" s="14" t="inlineStr">
        <is>
          <t>2000.0</t>
        </is>
      </c>
      <c r="M160" s="14" t="inlineStr">
        <is>
          <t>-</t>
        </is>
      </c>
      <c r="N160" s="21" t="inlineStr">
        <is>
          <t>NEW</t>
        </is>
      </c>
      <c r="O160" s="14" t="inlineStr">
        <is>
          <t>غير متوافقة مع اختصاصات KBM</t>
        </is>
      </c>
      <c r="P160" s="22">
        <f>HYPERLINK("https://kuwaitalyawm.media.gov.kw/Online/ViewAdsHTML?id=171541&amp;no=1", "عرض المصدر")</f>
        <v/>
      </c>
    </row>
    <row r="161">
      <c r="A161" s="11" t="inlineStr">
        <is>
          <t>24181118110</t>
        </is>
      </c>
      <c r="B161" s="11" t="inlineStr">
        <is>
          <t>وزارة الدفاع</t>
        </is>
      </c>
      <c r="C161" s="11" t="inlineStr">
        <is>
          <t>Eiman Ashkanani</t>
        </is>
      </c>
      <c r="D161" s="11" t="inlineStr">
        <is>
          <t>ممارسة رقم 24181118110: توريد وتركيب وتعريف واختبار أجهزة خوادم النظام المالي لزوم وزارة الدفاع</t>
        </is>
      </c>
      <c r="E161"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61"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61" s="24" t="inlineStr">
        <is>
          <t>قطاع الخوادم وحلول التخزين والبنية التحتية</t>
        </is>
      </c>
      <c r="H161" s="12" t="inlineStr">
        <is>
          <t>85.0%</t>
        </is>
      </c>
      <c r="I161" s="12" t="inlineStr">
        <is>
          <t>defense_and_security</t>
        </is>
      </c>
      <c r="J161" s="12" t="inlineStr">
        <is>
          <t>2026-09-27</t>
        </is>
      </c>
      <c r="K161" s="12" t="inlineStr">
        <is>
          <t>2026-10-25</t>
        </is>
      </c>
      <c r="L161" s="12" t="inlineStr">
        <is>
          <t>5000.0</t>
        </is>
      </c>
      <c r="M161" s="12" t="inlineStr">
        <is>
          <t>150.0</t>
        </is>
      </c>
      <c r="N161" s="21" t="inlineStr">
        <is>
          <t>NEW</t>
        </is>
      </c>
      <c r="O161" s="12" t="inlineStr">
        <is>
          <t>موصى بالتقديم</t>
        </is>
      </c>
      <c r="P161" s="23">
        <f>HYPERLINK("https://kuwaitalyawm.media.gov.kw/Online/ViewAdsHTML?id=171540&amp;no=1", "عرض المصدر")</f>
        <v/>
      </c>
    </row>
    <row r="162">
      <c r="A162" s="13" t="inlineStr">
        <is>
          <t>1042826</t>
        </is>
      </c>
      <c r="B162" s="13" t="inlineStr">
        <is>
          <t>وزارة الدفاع</t>
        </is>
      </c>
      <c r="C162" s="13" t="inlineStr">
        <is>
          <t>Eiman Ashkanani</t>
        </is>
      </c>
      <c r="D162" s="13" t="inlineStr">
        <is>
          <t>مناقصة رقم 1042826: تشغيل وصيانة وإصلاح لمحطات الوقود بمعسكرات</t>
        </is>
      </c>
      <c r="E162" s="13" t="inlineStr">
        <is>
          <t>أعمال وتوريدات تشغيل وصيانة وإصلاح لمحطات الوقود بمعسكرات لصالح وزارة الدفاع وفقاً للشروط والمواصفات المعتمدة في وثائق الطرح.</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24" t="inlineStr">
        <is>
          <t>قطاع العمليات المدارة والدعم الفني متعدد الموردين</t>
        </is>
      </c>
      <c r="H162" s="14" t="inlineStr">
        <is>
          <t>64.0%</t>
        </is>
      </c>
      <c r="I162" s="14" t="inlineStr">
        <is>
          <t>government</t>
        </is>
      </c>
      <c r="J162" s="14" t="inlineStr">
        <is>
          <t>2026-08-30</t>
        </is>
      </c>
      <c r="K162" s="14" t="inlineStr">
        <is>
          <t>2026-10-27</t>
        </is>
      </c>
      <c r="L162" s="14" t="inlineStr">
        <is>
          <t>15000.0</t>
        </is>
      </c>
      <c r="M162" s="14" t="inlineStr">
        <is>
          <t>1000.0</t>
        </is>
      </c>
      <c r="N162" s="21" t="inlineStr">
        <is>
          <t>NEW</t>
        </is>
      </c>
      <c r="O162" s="14" t="inlineStr">
        <is>
          <t>فرصة ICT متوافقة مع قدرات KBM</t>
        </is>
      </c>
      <c r="P162" s="22">
        <f>HYPERLINK("https://kuwaitalyawm.media.gov.kw/Online/ViewAdsHTML?id=168279&amp;no=1", "عرض المصدر")</f>
        <v/>
      </c>
    </row>
    <row r="163">
      <c r="A163" s="11" t="inlineStr">
        <is>
          <t>241717263</t>
        </is>
      </c>
      <c r="B163" s="11" t="inlineStr">
        <is>
          <t>وزارة الدفاع</t>
        </is>
      </c>
      <c r="C163" s="11" t="inlineStr">
        <is>
          <t>Eiman Ashkanani</t>
        </is>
      </c>
      <c r="D163" s="11" t="inlineStr">
        <is>
          <t>توريد زيت نباتي (ذرة) - لزوم / وحدات الجيش</t>
        </is>
      </c>
      <c r="E163" s="11" t="inlineStr">
        <is>
          <t>أعمال وتوريدات توريد زيت نباتي (ذرة) - لزوم / وحدات الجيش لصالح وزارة الدفاع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defense_and_security</t>
        </is>
      </c>
      <c r="J163" s="12" t="inlineStr">
        <is>
          <t>2026-08-30</t>
        </is>
      </c>
      <c r="K163" s="12" t="inlineStr">
        <is>
          <t>2026-11-24</t>
        </is>
      </c>
      <c r="L163" s="12" t="inlineStr">
        <is>
          <t>15000.000 KWD</t>
        </is>
      </c>
      <c r="M163" s="12" t="inlineStr">
        <is>
          <t>1000.000 KWD</t>
        </is>
      </c>
      <c r="N163" s="21" t="inlineStr">
        <is>
          <t>NEW</t>
        </is>
      </c>
      <c r="O163" s="12" t="inlineStr">
        <is>
          <t>غير متوافقة مع اختصاصات KBM</t>
        </is>
      </c>
      <c r="P163" s="23">
        <f>HYPERLINK("https://capt.gov.kw/ar/tenders/opening-tenders/#card-4", "عرض المصدر")</f>
        <v/>
      </c>
    </row>
    <row r="164">
      <c r="A164" s="13" t="inlineStr">
        <is>
          <t>و ش ج 12/2024/2025</t>
        </is>
      </c>
      <c r="B164" s="13" t="inlineStr">
        <is>
          <t>وزارة الشئون الاجتماعية</t>
        </is>
      </c>
      <c r="C164" s="13" t="inlineStr">
        <is>
          <t>Eiman Ashkanani</t>
        </is>
      </c>
      <c r="D164" s="13" t="inlineStr">
        <is>
          <t>اصلاح و تشغيل و صيانة و توريد و تركيب معدات التكييف و التبريد و التهوية و التدفئه لقطاع الرعاية الاجتماعيه و المباني التابعه له</t>
        </is>
      </c>
      <c r="E164" s="13" t="inlineStr">
        <is>
          <t>أعمال صيانة وتشغيل وإصلاح وحدات ومحطات التكييف المركزي والمبردات وضواغط الهواء وشبكات مجاري الهواء.</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government</t>
        </is>
      </c>
      <c r="J164" s="14" t="inlineStr">
        <is>
          <t>2026-08-23</t>
        </is>
      </c>
      <c r="K164" s="14" t="inlineStr">
        <is>
          <t>2026-11-22</t>
        </is>
      </c>
      <c r="L164" s="14" t="inlineStr">
        <is>
          <t>6000.000 KWD</t>
        </is>
      </c>
      <c r="M164" s="14" t="inlineStr">
        <is>
          <t>300.000 KWD</t>
        </is>
      </c>
      <c r="N164" s="21" t="inlineStr">
        <is>
          <t>NEW</t>
        </is>
      </c>
      <c r="O164" s="14" t="inlineStr">
        <is>
          <t>غير متوافقة مع اختصاصات KBM</t>
        </is>
      </c>
      <c r="P164" s="22">
        <f>HYPERLINK("https://capt.gov.kw/ar/tenders/opening-tenders/#card-4", "عرض المصدر")</f>
        <v/>
      </c>
    </row>
    <row r="165">
      <c r="A165" s="11" t="inlineStr">
        <is>
          <t>و ش ج 3/2025/2026</t>
        </is>
      </c>
      <c r="B165" s="11" t="inlineStr">
        <is>
          <t>وزارة الشئون الاجتماعية</t>
        </is>
      </c>
      <c r="C165" s="11" t="inlineStr">
        <is>
          <t>Eiman Ashkanani</t>
        </is>
      </c>
      <c r="D165" s="11" t="inlineStr">
        <is>
          <t>اعمال خدمة النزيل في قطاع الرعاية الأجتماعية</t>
        </is>
      </c>
      <c r="E165" s="11"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government</t>
        </is>
      </c>
      <c r="J165" s="12" t="inlineStr">
        <is>
          <t>2026-09-13</t>
        </is>
      </c>
      <c r="K165" s="12" t="inlineStr">
        <is>
          <t>2026-12-08</t>
        </is>
      </c>
      <c r="L165" s="12" t="inlineStr">
        <is>
          <t>45000.000 KWD</t>
        </is>
      </c>
      <c r="M165" s="12" t="inlineStr">
        <is>
          <t>1000.000 KWD</t>
        </is>
      </c>
      <c r="N165" s="21" t="inlineStr">
        <is>
          <t>NEW</t>
        </is>
      </c>
      <c r="O165" s="12" t="inlineStr">
        <is>
          <t>غير متوافقة مع اختصاصات KBM</t>
        </is>
      </c>
      <c r="P165" s="23">
        <f>HYPERLINK("https://capt.gov.kw/ar/tenders/opening-tenders/#card-2", "عرض المصدر")</f>
        <v/>
      </c>
    </row>
    <row r="166">
      <c r="A166" s="13" t="inlineStr">
        <is>
          <t>و ش ج /4/2025/2026</t>
        </is>
      </c>
      <c r="B166" s="13" t="inlineStr">
        <is>
          <t>وزارة الشئون الاجتماعية</t>
        </is>
      </c>
      <c r="C166" s="13" t="inlineStr">
        <is>
          <t>Eiman Ashkanani</t>
        </is>
      </c>
      <c r="D166" s="13" t="inlineStr">
        <is>
          <t>اعداد الدراسات الاستشارية لأعمال منتجع صباح الأحمد لرعاية المسنين التابع لوزارة الشئون الاجتماعية</t>
        </is>
      </c>
      <c r="E166" s="13"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0.0%</t>
        </is>
      </c>
      <c r="I166" s="14" t="inlineStr">
        <is>
          <t>government</t>
        </is>
      </c>
      <c r="J166" s="14" t="inlineStr">
        <is>
          <t>2026-09-13</t>
        </is>
      </c>
      <c r="K166" s="14" t="inlineStr">
        <is>
          <t>2026-12-08</t>
        </is>
      </c>
      <c r="L166" s="14" t="inlineStr">
        <is>
          <t>6000.000 KWD</t>
        </is>
      </c>
      <c r="M166" s="14" t="inlineStr">
        <is>
          <t>300.000 KWD</t>
        </is>
      </c>
      <c r="N166" s="21" t="inlineStr">
        <is>
          <t>NEW</t>
        </is>
      </c>
      <c r="O166" s="14" t="inlineStr">
        <is>
          <t>غير متوافقة مع اختصاصات KBM</t>
        </is>
      </c>
      <c r="P166" s="22">
        <f>HYPERLINK("https://capt.gov.kw/ar/tenders/opening-tenders/#card-1", "عرض المصدر")</f>
        <v/>
      </c>
    </row>
    <row r="167">
      <c r="A167" s="11" t="inlineStr">
        <is>
          <t>2/2025/2026</t>
        </is>
      </c>
      <c r="B167" s="11" t="inlineStr">
        <is>
          <t>وزارة الشئون الاجتماعية</t>
        </is>
      </c>
      <c r="C167" s="11" t="inlineStr">
        <is>
          <t>Eiman Ashkanani</t>
        </is>
      </c>
      <c r="D167" s="11" t="inlineStr">
        <is>
          <t>أعمال توريد الحفاظات لكبار السن المقيدين في وزارة الشئون الإجتماعية</t>
        </is>
      </c>
      <c r="E167"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0.0%</t>
        </is>
      </c>
      <c r="I167" s="12" t="inlineStr">
        <is>
          <t>government</t>
        </is>
      </c>
      <c r="J167" s="12" t="inlineStr">
        <is>
          <t>2026-09-20</t>
        </is>
      </c>
      <c r="K167" s="12" t="inlineStr">
        <is>
          <t>2026-12-15</t>
        </is>
      </c>
      <c r="L167" s="12" t="inlineStr">
        <is>
          <t>23000.000 KWD</t>
        </is>
      </c>
      <c r="M167" s="12" t="inlineStr">
        <is>
          <t>1000.000 KWD</t>
        </is>
      </c>
      <c r="N167" s="21" t="inlineStr">
        <is>
          <t>NEW</t>
        </is>
      </c>
      <c r="O167" s="12" t="inlineStr">
        <is>
          <t>غير متوافقة مع اختصاصات KBM</t>
        </is>
      </c>
      <c r="P167" s="23">
        <f>HYPERLINK("https://capt.gov.kw/ar/tenders/opening-tenders/#card-7", "عرض المصدر")</f>
        <v/>
      </c>
    </row>
    <row r="168">
      <c r="A168" s="13" t="inlineStr">
        <is>
          <t>و ش ج / 2/2025/2026</t>
        </is>
      </c>
      <c r="B168" s="13" t="inlineStr">
        <is>
          <t>وزارة الشئون الاجتماعية</t>
        </is>
      </c>
      <c r="C168" s="13" t="inlineStr">
        <is>
          <t>Eiman Ashkanani</t>
        </is>
      </c>
      <c r="D168" s="13" t="inlineStr">
        <is>
          <t>أعمال توريد الحفاظات لكبار السن المقيدين في وزارة الشئون الإجتماعية</t>
        </is>
      </c>
      <c r="E168"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0.0%</t>
        </is>
      </c>
      <c r="I168" s="14" t="inlineStr">
        <is>
          <t>government</t>
        </is>
      </c>
      <c r="J168" s="14" t="inlineStr">
        <is>
          <t>2026-09-20</t>
        </is>
      </c>
      <c r="K168" s="14" t="inlineStr">
        <is>
          <t>2026-12-15</t>
        </is>
      </c>
      <c r="L168" s="14" t="inlineStr">
        <is>
          <t>23000.000 KWD</t>
        </is>
      </c>
      <c r="M168" s="14" t="inlineStr">
        <is>
          <t>1000.000 KWD</t>
        </is>
      </c>
      <c r="N168" s="26" t="inlineStr">
        <is>
          <t>UNCHANGED</t>
        </is>
      </c>
      <c r="O168" s="14" t="inlineStr">
        <is>
          <t>غير متوافقة مع اختصاصات KBM</t>
        </is>
      </c>
      <c r="P168" s="22">
        <f>HYPERLINK("https://capt.gov.kw/ar/tenders/opening-tenders/#card-4", "عرض المصدر")</f>
        <v/>
      </c>
    </row>
    <row r="169">
      <c r="A169" s="11" t="inlineStr">
        <is>
          <t>و ش ج 8/2025/2026</t>
        </is>
      </c>
      <c r="B169" s="11" t="inlineStr">
        <is>
          <t>وزارة الشئون الاجتماعية</t>
        </is>
      </c>
      <c r="C169" s="11" t="inlineStr">
        <is>
          <t>Eiman Ashkanani</t>
        </is>
      </c>
      <c r="D169" s="11" t="inlineStr">
        <is>
          <t>أعمال اصلاح وتشغيل وصيانة معدات التكييف والتبريد والتدفئة والتهوية الخاصة بصالات الأفراح التابعة للوزارة</t>
        </is>
      </c>
      <c r="E169" s="11" t="inlineStr">
        <is>
          <t>أعمال صيانة وتشغيل وإصلاح وحدات ومحطات التكييف المركزي والمبردات وضواغط الهواء وشبكات مجاري الهواء.</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12" t="inlineStr">
        <is>
          <t>عام</t>
        </is>
      </c>
      <c r="H169" s="12" t="inlineStr">
        <is>
          <t>24.0%</t>
        </is>
      </c>
      <c r="I169" s="12" t="inlineStr">
        <is>
          <t>government</t>
        </is>
      </c>
      <c r="J169" s="12" t="inlineStr">
        <is>
          <t>2026-10-04</t>
        </is>
      </c>
      <c r="K169" s="12" t="inlineStr">
        <is>
          <t>2026-12-29</t>
        </is>
      </c>
      <c r="L169" s="12" t="inlineStr">
        <is>
          <t>23000.000 KWD</t>
        </is>
      </c>
      <c r="M169" s="12" t="inlineStr">
        <is>
          <t>1000.000 KWD</t>
        </is>
      </c>
      <c r="N169" s="21" t="inlineStr">
        <is>
          <t>NEW</t>
        </is>
      </c>
      <c r="O169" s="12" t="inlineStr">
        <is>
          <t>غير متوافقة مع اختصاصات KBM</t>
        </is>
      </c>
      <c r="P169" s="23">
        <f>HYPERLINK("https://capt.gov.kw/ar/tenders/opening-tenders/#card-3", "عرض المصدر")</f>
        <v/>
      </c>
    </row>
    <row r="170">
      <c r="A170" s="13" t="inlineStr">
        <is>
          <t>2027/2026/74</t>
        </is>
      </c>
      <c r="B170" s="13" t="inlineStr">
        <is>
          <t>وزارة الصحة</t>
        </is>
      </c>
      <c r="C170" s="13" t="inlineStr">
        <is>
          <t>Jana Al-Obaid</t>
        </is>
      </c>
      <c r="D170" s="13" t="inlineStr">
        <is>
          <t>ممارسة رقم 2027/2026/74: توريد وتركيب وتشغيل شاشات تليفزيون لمركز الصليبية وتحويلة لمركز علاج الإدمان</t>
        </is>
      </c>
      <c r="E170" s="13" t="inlineStr">
        <is>
          <t>توريد المستلزمات والمواد والمستهلكات الطبية أو المخبرية المتخصصة لصالح المرافق الصحية.</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15.0%</t>
        </is>
      </c>
      <c r="I170" s="14" t="inlineStr">
        <is>
          <t>government</t>
        </is>
      </c>
      <c r="J170" s="14" t="inlineStr">
        <is>
          <t>2026-09-27</t>
        </is>
      </c>
      <c r="K170" s="14" t="inlineStr">
        <is>
          <t>-</t>
        </is>
      </c>
      <c r="L170" s="14" t="inlineStr">
        <is>
          <t>-</t>
        </is>
      </c>
      <c r="M170" s="14" t="inlineStr">
        <is>
          <t>-</t>
        </is>
      </c>
      <c r="N170" s="21" t="inlineStr">
        <is>
          <t>NEW</t>
        </is>
      </c>
      <c r="O170" s="14" t="inlineStr">
        <is>
          <t>غير متوافقة مع اختصاصات KBM</t>
        </is>
      </c>
      <c r="P170" s="22">
        <f>HYPERLINK("https://kuwaitalyawm.media.gov.kw/Online/ViewAdsHTML?id=171553&amp;no=1", "عرض المصدر")</f>
        <v/>
      </c>
    </row>
    <row r="171">
      <c r="A171" s="11" t="inlineStr">
        <is>
          <t>2027/2026/72</t>
        </is>
      </c>
      <c r="B171" s="11" t="inlineStr">
        <is>
          <t>وزارة الصحة</t>
        </is>
      </c>
      <c r="C171" s="11" t="inlineStr">
        <is>
          <t>Jana Al-Obaid</t>
        </is>
      </c>
      <c r="D171"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71"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عام</t>
        </is>
      </c>
      <c r="H171" s="12" t="inlineStr">
        <is>
          <t>15.0%</t>
        </is>
      </c>
      <c r="I171" s="12" t="inlineStr">
        <is>
          <t>government</t>
        </is>
      </c>
      <c r="J171" s="12" t="inlineStr">
        <is>
          <t>2026-09-20</t>
        </is>
      </c>
      <c r="K171" s="12" t="inlineStr">
        <is>
          <t>-</t>
        </is>
      </c>
      <c r="L171" s="12" t="inlineStr">
        <is>
          <t>-</t>
        </is>
      </c>
      <c r="M171" s="12" t="inlineStr">
        <is>
          <t>-</t>
        </is>
      </c>
      <c r="N171" s="21" t="inlineStr">
        <is>
          <t>NEW</t>
        </is>
      </c>
      <c r="O171" s="12" t="inlineStr">
        <is>
          <t>غير متوافقة مع اختصاصات KBM</t>
        </is>
      </c>
      <c r="P171" s="23">
        <f>HYPERLINK("https://kuwaitalyawm.media.gov.kw/Online/ViewAdsHTML?id=170991&amp;no=1", "عرض المصدر")</f>
        <v/>
      </c>
    </row>
    <row r="172">
      <c r="A172" s="13" t="inlineStr">
        <is>
          <t>268-274</t>
        </is>
      </c>
      <c r="B172" s="13" t="inlineStr">
        <is>
          <t>وزارة الصحة</t>
        </is>
      </c>
      <c r="C172" s="13" t="inlineStr">
        <is>
          <t>Jana Al-Obaid</t>
        </is>
      </c>
      <c r="D172" s="13" t="inlineStr">
        <is>
          <t>ممارسة رقم 268-274 - وزارة الصحة</t>
        </is>
      </c>
      <c r="E172" s="13" t="inlineStr">
        <is>
          <t>أعمال وتوريدات ممارسة رقم 268-274 لصالح وزارة الصحة وفقاً للشروط والمواصفات المعتمدة في وثائق الطرح.</t>
        </is>
      </c>
      <c r="F17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72" s="14" t="inlineStr">
        <is>
          <t>عام</t>
        </is>
      </c>
      <c r="H172" s="14" t="inlineStr">
        <is>
          <t>15.0%</t>
        </is>
      </c>
      <c r="I172" s="14" t="inlineStr">
        <is>
          <t>healthcare</t>
        </is>
      </c>
      <c r="J172" s="14" t="inlineStr">
        <is>
          <t>2026-09-27</t>
        </is>
      </c>
      <c r="K172" s="14" t="inlineStr">
        <is>
          <t>-</t>
        </is>
      </c>
      <c r="L172" s="14" t="inlineStr">
        <is>
          <t>-</t>
        </is>
      </c>
      <c r="M172" s="14" t="inlineStr">
        <is>
          <t>75.0</t>
        </is>
      </c>
      <c r="N172" s="21" t="inlineStr">
        <is>
          <t>NEW</t>
        </is>
      </c>
      <c r="O172" s="14" t="inlineStr">
        <is>
          <t>غير متوافقة مع اختصاصات KBM</t>
        </is>
      </c>
      <c r="P172" s="22">
        <f>HYPERLINK("https://kuwaitalyawm.media.gov.kw/Online/ViewAdsHTML?id=171548&amp;no=1", "عرض المصدر")</f>
        <v/>
      </c>
    </row>
    <row r="173">
      <c r="A173" s="11" t="inlineStr">
        <is>
          <t>33/32</t>
        </is>
      </c>
      <c r="B173" s="11" t="inlineStr">
        <is>
          <t>وزارة الصحة</t>
        </is>
      </c>
      <c r="C173" s="11" t="inlineStr">
        <is>
          <t>Jana Al-Obaid</t>
        </is>
      </c>
      <c r="D173" s="11" t="inlineStr">
        <is>
          <t>ممارسة رقم 33/32: توريد وتركيب وتشغيل وصيانة نظام كاميرات المراقبة الأمنية بمستشفى الأميري الجديد والقديم والمباني التابعة لها</t>
        </is>
      </c>
      <c r="E173" s="11"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24" t="inlineStr">
        <is>
          <t>قطاع العمليات المدارة والدعم الفني متعدد الموردين</t>
        </is>
      </c>
      <c r="H173" s="12" t="inlineStr">
        <is>
          <t>64.0%</t>
        </is>
      </c>
      <c r="I173" s="12" t="inlineStr">
        <is>
          <t>healthcare</t>
        </is>
      </c>
      <c r="J173" s="12" t="inlineStr">
        <is>
          <t>2026-09-27</t>
        </is>
      </c>
      <c r="K173" s="12" t="inlineStr">
        <is>
          <t>-</t>
        </is>
      </c>
      <c r="L173" s="12" t="inlineStr">
        <is>
          <t>-</t>
        </is>
      </c>
      <c r="M173" s="12" t="inlineStr">
        <is>
          <t>-</t>
        </is>
      </c>
      <c r="N173" s="21" t="inlineStr">
        <is>
          <t>NEW</t>
        </is>
      </c>
      <c r="O173" s="12" t="inlineStr">
        <is>
          <t>فرصة ICT متوافقة مع قدرات KBM</t>
        </is>
      </c>
      <c r="P173" s="23">
        <f>HYPERLINK("https://kuwaitalyawm.media.gov.kw/Online/ViewAdsHTML?id=171544&amp;no=1", "عرض المصدر")</f>
        <v/>
      </c>
    </row>
    <row r="174">
      <c r="A174" s="13" t="inlineStr">
        <is>
          <t>364-294</t>
        </is>
      </c>
      <c r="B174" s="13" t="inlineStr">
        <is>
          <t>وزارة الصحة</t>
        </is>
      </c>
      <c r="C174" s="13" t="inlineStr">
        <is>
          <t>Jana Al-Obaid</t>
        </is>
      </c>
      <c r="D174" s="13" t="inlineStr">
        <is>
          <t>ممارسة رقم 364-294 - وزارة الصحة</t>
        </is>
      </c>
      <c r="E174" s="13" t="inlineStr">
        <is>
          <t>أعمال وتوريدات ممارسة رقم 364-294 لصالح وزارة الصحة وفقاً للشروط والمواصفات المعتمدة في وثائق الطرح.</t>
        </is>
      </c>
      <c r="F17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74" s="14" t="inlineStr">
        <is>
          <t>عام</t>
        </is>
      </c>
      <c r="H174" s="14" t="inlineStr">
        <is>
          <t>0.0%</t>
        </is>
      </c>
      <c r="I174" s="14" t="inlineStr">
        <is>
          <t>healthcare</t>
        </is>
      </c>
      <c r="J174" s="14" t="inlineStr">
        <is>
          <t>2026-09-27</t>
        </is>
      </c>
      <c r="K174" s="14" t="inlineStr">
        <is>
          <t>-</t>
        </is>
      </c>
      <c r="L174" s="14" t="inlineStr">
        <is>
          <t>-</t>
        </is>
      </c>
      <c r="M174" s="14" t="inlineStr">
        <is>
          <t>75.0</t>
        </is>
      </c>
      <c r="N174" s="21" t="inlineStr">
        <is>
          <t>NEW</t>
        </is>
      </c>
      <c r="O174" s="14" t="inlineStr">
        <is>
          <t>غير متوافقة مع اختصاصات KBM</t>
        </is>
      </c>
      <c r="P174" s="22">
        <f>HYPERLINK("https://kuwaitalyawm.media.gov.kw/Online/ViewAdsHTML?id=171543&amp;no=1", "عرض المصدر")</f>
        <v/>
      </c>
    </row>
    <row r="175">
      <c r="A175" s="11" t="inlineStr">
        <is>
          <t>1-8</t>
        </is>
      </c>
      <c r="B175" s="11" t="inlineStr">
        <is>
          <t>وزارة الصحة</t>
        </is>
      </c>
      <c r="C175" s="11" t="inlineStr">
        <is>
          <t>Jana Al-Obaid</t>
        </is>
      </c>
      <c r="D175" s="11" t="inlineStr">
        <is>
          <t>ممارسة رقم 1-8 - وزارة الصحة</t>
        </is>
      </c>
      <c r="E175" s="11" t="inlineStr">
        <is>
          <t>أعمال وتوريدات ممارسة رقم 1-8 لصالح وزارة الصحة وفقاً للشروط والمواصفات المعتمدة في وثائق الطرح.</t>
        </is>
      </c>
      <c r="F17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75" s="12" t="inlineStr">
        <is>
          <t>عام</t>
        </is>
      </c>
      <c r="H175" s="12" t="inlineStr">
        <is>
          <t>15.0%</t>
        </is>
      </c>
      <c r="I175" s="12" t="inlineStr">
        <is>
          <t>government</t>
        </is>
      </c>
      <c r="J175" s="12" t="inlineStr">
        <is>
          <t>2026-09-13</t>
        </is>
      </c>
      <c r="K175" s="12" t="inlineStr">
        <is>
          <t>2026-09-21</t>
        </is>
      </c>
      <c r="L175" s="12" t="inlineStr">
        <is>
          <t>-</t>
        </is>
      </c>
      <c r="M175" s="12" t="inlineStr">
        <is>
          <t>75.0</t>
        </is>
      </c>
      <c r="N175" s="21" t="inlineStr">
        <is>
          <t>NEW</t>
        </is>
      </c>
      <c r="O175" s="12" t="inlineStr">
        <is>
          <t>غير متوافقة مع اختصاصات KBM</t>
        </is>
      </c>
      <c r="P175" s="23">
        <f>HYPERLINK("https://kuwaitalyawm.media.gov.kw/Online/ViewAdsHTML?id=169865&amp;no=1", "عرض المصدر")</f>
        <v/>
      </c>
    </row>
    <row r="176">
      <c r="A176" s="13" t="inlineStr">
        <is>
          <t>274-20</t>
        </is>
      </c>
      <c r="B176" s="13" t="inlineStr">
        <is>
          <t>وزارة الصحة</t>
        </is>
      </c>
      <c r="C176" s="13" t="inlineStr">
        <is>
          <t>Jana Al-Obaid</t>
        </is>
      </c>
      <c r="D176" s="13" t="inlineStr">
        <is>
          <t>ممارسة رقم 274-20 - وزارة الصحة</t>
        </is>
      </c>
      <c r="E176" s="13" t="inlineStr">
        <is>
          <t>أعمال وتوريدات ممارسة رقم 274-20 لصالح وزارة الصحة وفقاً للشروط والمواصفات المعتمدة في وثائق الطرح.</t>
        </is>
      </c>
      <c r="F17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6" s="14" t="inlineStr">
        <is>
          <t>عام</t>
        </is>
      </c>
      <c r="H176" s="14" t="inlineStr">
        <is>
          <t>0.0%</t>
        </is>
      </c>
      <c r="I176" s="14" t="inlineStr">
        <is>
          <t>government</t>
        </is>
      </c>
      <c r="J176" s="14" t="inlineStr">
        <is>
          <t>2026-09-13</t>
        </is>
      </c>
      <c r="K176" s="14" t="inlineStr">
        <is>
          <t>2026-09-28</t>
        </is>
      </c>
      <c r="L176" s="14" t="inlineStr">
        <is>
          <t>-</t>
        </is>
      </c>
      <c r="M176" s="14" t="inlineStr">
        <is>
          <t>1000.0</t>
        </is>
      </c>
      <c r="N176" s="21" t="inlineStr">
        <is>
          <t>NEW</t>
        </is>
      </c>
      <c r="O176" s="14" t="inlineStr">
        <is>
          <t>غير متوافقة مع اختصاصات KBM</t>
        </is>
      </c>
      <c r="P176" s="22">
        <f>HYPERLINK("https://kuwaitalyawm.media.gov.kw/Online/ViewAdsHTML?id=169866&amp;no=1", "عرض المصدر")</f>
        <v/>
      </c>
    </row>
    <row r="177">
      <c r="A177" s="11" t="inlineStr">
        <is>
          <t>281</t>
        </is>
      </c>
      <c r="B177" s="11" t="inlineStr">
        <is>
          <t>وزارة الصحة</t>
        </is>
      </c>
      <c r="C177" s="11" t="inlineStr">
        <is>
          <t>Jana Al-Obaid</t>
        </is>
      </c>
      <c r="D177" s="11" t="inlineStr">
        <is>
          <t>ممارسة رقم 281 - وزارة الصحة</t>
        </is>
      </c>
      <c r="E177" s="11" t="inlineStr">
        <is>
          <t>أعمال وتوريدات ممارسة رقم 281 لصالح وزارة الصحة وفقاً للشروط والمواصفات المعتمدة في وثائق الطرح.</t>
        </is>
      </c>
      <c r="F177"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77" s="12" t="inlineStr">
        <is>
          <t>عام</t>
        </is>
      </c>
      <c r="H177" s="12" t="inlineStr">
        <is>
          <t>0.0%</t>
        </is>
      </c>
      <c r="I177" s="12" t="inlineStr">
        <is>
          <t>government</t>
        </is>
      </c>
      <c r="J177" s="12" t="inlineStr">
        <is>
          <t>2026-09-27</t>
        </is>
      </c>
      <c r="K177" s="18" t="inlineStr">
        <is>
          <t>2026-10-05</t>
        </is>
      </c>
      <c r="L177" s="12" t="inlineStr">
        <is>
          <t>-</t>
        </is>
      </c>
      <c r="M177" s="12" t="inlineStr">
        <is>
          <t>1000.0</t>
        </is>
      </c>
      <c r="N177" s="21" t="inlineStr">
        <is>
          <t>NEW</t>
        </is>
      </c>
      <c r="O177" s="12" t="inlineStr">
        <is>
          <t>غير متوافقة مع اختصاصات KBM</t>
        </is>
      </c>
      <c r="P177" s="23">
        <f>HYPERLINK("https://kuwaitalyawm.media.gov.kw/Online/ViewAdsHTML?id=171554&amp;no=1", "عرض المصدر")</f>
        <v/>
      </c>
    </row>
    <row r="178">
      <c r="A178" s="13" t="inlineStr">
        <is>
          <t>221-127</t>
        </is>
      </c>
      <c r="B178" s="13" t="inlineStr">
        <is>
          <t>وزارة الصحة</t>
        </is>
      </c>
      <c r="C178" s="13" t="inlineStr">
        <is>
          <t>Jana Al-Obaid</t>
        </is>
      </c>
      <c r="D178" s="13" t="inlineStr">
        <is>
          <t>ممارسة رقم 221-127 - وزارة الصحة</t>
        </is>
      </c>
      <c r="E178" s="13" t="inlineStr">
        <is>
          <t>أعمال وتوريدات ممارسة رقم 221-127 لصالح وزارة الصحة وفقاً للشروط والمواصفات المعتمدة في وثائق الطرح.</t>
        </is>
      </c>
      <c r="F178" s="13" t="inlineStr">
        <is>
          <t>• الشركة المحلية يجب أن تكون مسجلة لدى إدارة المستودعات الطبية بسجل الموردين
• الشركة المحلية يجب أن تكون متخصصة في المجال الطبي وموثق بشهادة معتمدة من غرفة التجارة والصناعة
• عند تقديم عرضين يجب شراء كراستين بوصلين مختلفين
•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تقديم عينات للمواد الجديدة سواءً كان منتج جديد يطلب لأول مرة أو من شركة مصنعة جديدة للمراقبة المختصة ( الأدوية – اللوازم الطبية)
• ارفاق شهادة نسبة دعم العمالة الوطنية
• يمكن الحصول على وثائق الممارسات في الموقع الإلكتروني الخاص بوزارة الصحة
• يمكن دفع رسوم شراء الكراسة من الموقع الإلكتروني لإرفاقه مع وثائق الممارسة
• تقديم عروض الأسعار بظرف مقفل شامل مع وثائق الممارسة حسب تاريخ الإقفال المحدد في الموقع الإلكتروني الخاص بوزارة الصحة</t>
        </is>
      </c>
      <c r="G178" s="14" t="inlineStr">
        <is>
          <t>عام</t>
        </is>
      </c>
      <c r="H178" s="14" t="inlineStr">
        <is>
          <t>0.0%</t>
        </is>
      </c>
      <c r="I178" s="14" t="inlineStr">
        <is>
          <t>government</t>
        </is>
      </c>
      <c r="J178" s="14" t="inlineStr">
        <is>
          <t>2026-09-20</t>
        </is>
      </c>
      <c r="K178" s="18" t="inlineStr">
        <is>
          <t>2026-10-05</t>
        </is>
      </c>
      <c r="L178" s="14" t="inlineStr">
        <is>
          <t>-</t>
        </is>
      </c>
      <c r="M178" s="14" t="inlineStr">
        <is>
          <t>1000.0</t>
        </is>
      </c>
      <c r="N178" s="21" t="inlineStr">
        <is>
          <t>NEW</t>
        </is>
      </c>
      <c r="O178" s="14" t="inlineStr">
        <is>
          <t>غير متوافقة مع اختصاصات KBM</t>
        </is>
      </c>
      <c r="P178" s="22">
        <f>HYPERLINK("https://kuwaitalyawm.media.gov.kw/Online/ViewAdsHTML?id=170986&amp;no=1", "عرض المصدر")</f>
        <v/>
      </c>
    </row>
    <row r="179">
      <c r="A179" s="11" t="inlineStr">
        <is>
          <t>41-40</t>
        </is>
      </c>
      <c r="B179" s="11" t="inlineStr">
        <is>
          <t>وزارة الصحة</t>
        </is>
      </c>
      <c r="C179" s="11" t="inlineStr">
        <is>
          <t>Jana Al-Obaid</t>
        </is>
      </c>
      <c r="D179" s="11" t="inlineStr">
        <is>
          <t>ممارسة رقم 41-40 - وزارة الصحة</t>
        </is>
      </c>
      <c r="E179" s="11" t="inlineStr">
        <is>
          <t>أعمال وتوريدات ممارسة رقم 41-40 لصالح وزارة الصحة وفقاً للشروط والمواصفات المعتمدة في وثائق الطرح.</t>
        </is>
      </c>
      <c r="F179"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79" s="12" t="inlineStr">
        <is>
          <t>عام</t>
        </is>
      </c>
      <c r="H179" s="12" t="inlineStr">
        <is>
          <t>0.0%</t>
        </is>
      </c>
      <c r="I179" s="12" t="inlineStr">
        <is>
          <t>government</t>
        </is>
      </c>
      <c r="J179" s="12" t="inlineStr">
        <is>
          <t>2026-09-20</t>
        </is>
      </c>
      <c r="K179" s="18" t="inlineStr">
        <is>
          <t>2026-10-05</t>
        </is>
      </c>
      <c r="L179" s="12" t="inlineStr">
        <is>
          <t>-</t>
        </is>
      </c>
      <c r="M179" s="12" t="inlineStr">
        <is>
          <t>300.0</t>
        </is>
      </c>
      <c r="N179" s="21" t="inlineStr">
        <is>
          <t>NEW</t>
        </is>
      </c>
      <c r="O179" s="12" t="inlineStr">
        <is>
          <t>غير متوافقة مع اختصاصات KBM</t>
        </is>
      </c>
      <c r="P179" s="23">
        <f>HYPERLINK("https://kuwaitalyawm.media.gov.kw/Online/ViewAdsHTML?id=170987&amp;no=1", "عرض المصدر")</f>
        <v/>
      </c>
    </row>
    <row r="180">
      <c r="A180" s="13" t="inlineStr">
        <is>
          <t>13-4</t>
        </is>
      </c>
      <c r="B180" s="13" t="inlineStr">
        <is>
          <t>وزارة الصحة</t>
        </is>
      </c>
      <c r="C180" s="13" t="inlineStr">
        <is>
          <t>Jana Al-Obaid</t>
        </is>
      </c>
      <c r="D180" s="13" t="inlineStr">
        <is>
          <t>ممارسة رقم 13-4 - وزارة الصحة</t>
        </is>
      </c>
      <c r="E180" s="13" t="inlineStr">
        <is>
          <t>أعمال وتوريدات ممارسة رقم 13-4 لصالح وزارة الصحة وفقاً للشروط والمواصفات المعتمدة في وثائق الطرح.</t>
        </is>
      </c>
      <c r="F18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80" s="14" t="inlineStr">
        <is>
          <t>عام</t>
        </is>
      </c>
      <c r="H180" s="14" t="inlineStr">
        <is>
          <t>15.0%</t>
        </is>
      </c>
      <c r="I180" s="14" t="inlineStr">
        <is>
          <t>government</t>
        </is>
      </c>
      <c r="J180" s="14" t="inlineStr">
        <is>
          <t>2026-09-13</t>
        </is>
      </c>
      <c r="K180" s="18" t="inlineStr">
        <is>
          <t>2026-10-05</t>
        </is>
      </c>
      <c r="L180" s="14" t="inlineStr">
        <is>
          <t>-</t>
        </is>
      </c>
      <c r="M180" s="14" t="inlineStr">
        <is>
          <t>75.0</t>
        </is>
      </c>
      <c r="N180" s="21" t="inlineStr">
        <is>
          <t>NEW</t>
        </is>
      </c>
      <c r="O180" s="14" t="inlineStr">
        <is>
          <t>غير متوافقة مع اختصاصات KBM</t>
        </is>
      </c>
      <c r="P180" s="22">
        <f>HYPERLINK("https://kuwaitalyawm.media.gov.kw/Online/ViewAdsHTML?id=169863&amp;no=1", "عرض المصدر")</f>
        <v/>
      </c>
    </row>
    <row r="181">
      <c r="A181" s="11" t="inlineStr">
        <is>
          <t>41-15</t>
        </is>
      </c>
      <c r="B181" s="11" t="inlineStr">
        <is>
          <t>وزارة الصحة</t>
        </is>
      </c>
      <c r="C181" s="11" t="inlineStr">
        <is>
          <t>Jana Al-Obaid</t>
        </is>
      </c>
      <c r="D181" s="11" t="inlineStr">
        <is>
          <t>ممارسة رقم 41-15 - وزارة الصحة</t>
        </is>
      </c>
      <c r="E181" s="11" t="inlineStr">
        <is>
          <t>أعمال وتوريدات ممارسة رقم 41-15 لصالح وزارة الصحة وفقاً للشروط والمواصفات المعتمدة في وثائق الطرح.</t>
        </is>
      </c>
      <c r="F18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81" s="12" t="inlineStr">
        <is>
          <t>عام</t>
        </is>
      </c>
      <c r="H181" s="12" t="inlineStr">
        <is>
          <t>0.0%</t>
        </is>
      </c>
      <c r="I181" s="12" t="inlineStr">
        <is>
          <t>government</t>
        </is>
      </c>
      <c r="J181" s="12" t="inlineStr">
        <is>
          <t>2026-09-20</t>
        </is>
      </c>
      <c r="K181" s="18" t="inlineStr">
        <is>
          <t>2026-10-07</t>
        </is>
      </c>
      <c r="L181" s="12" t="inlineStr">
        <is>
          <t>-</t>
        </is>
      </c>
      <c r="M181" s="12" t="inlineStr">
        <is>
          <t>75.0</t>
        </is>
      </c>
      <c r="N181" s="21" t="inlineStr">
        <is>
          <t>NEW</t>
        </is>
      </c>
      <c r="O181" s="12" t="inlineStr">
        <is>
          <t>غير متوافقة مع اختصاصات KBM</t>
        </is>
      </c>
      <c r="P181" s="23">
        <f>HYPERLINK("https://kuwaitalyawm.media.gov.kw/Online/ViewAdsHTML?id=170989&amp;no=1", "عرض المصدر")</f>
        <v/>
      </c>
    </row>
    <row r="182">
      <c r="A182" s="13" t="inlineStr">
        <is>
          <t>1-5</t>
        </is>
      </c>
      <c r="B182" s="13" t="inlineStr">
        <is>
          <t>وزارة الصحة</t>
        </is>
      </c>
      <c r="C182" s="13" t="inlineStr">
        <is>
          <t>Jana Al-Obaid</t>
        </is>
      </c>
      <c r="D182" s="13" t="inlineStr">
        <is>
          <t>ممارسة رقم 1-5 - وزارة الصحة</t>
        </is>
      </c>
      <c r="E182" s="13" t="inlineStr">
        <is>
          <t>أعمال وتوريدات ممارسة رقم 1-5 لصالح وزارة الصحة وفقاً للشروط والمواصفات المعتمدة في وثائق الطرح.</t>
        </is>
      </c>
      <c r="F18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82" s="14" t="inlineStr">
        <is>
          <t>عام</t>
        </is>
      </c>
      <c r="H182" s="14" t="inlineStr">
        <is>
          <t>15.0%</t>
        </is>
      </c>
      <c r="I182" s="14" t="inlineStr">
        <is>
          <t>government</t>
        </is>
      </c>
      <c r="J182" s="14" t="inlineStr">
        <is>
          <t>2026-09-13</t>
        </is>
      </c>
      <c r="K182" s="18" t="inlineStr">
        <is>
          <t>2026-10-07</t>
        </is>
      </c>
      <c r="L182" s="14" t="inlineStr">
        <is>
          <t>-</t>
        </is>
      </c>
      <c r="M182" s="14" t="inlineStr">
        <is>
          <t>75.0</t>
        </is>
      </c>
      <c r="N182" s="21" t="inlineStr">
        <is>
          <t>NEW</t>
        </is>
      </c>
      <c r="O182" s="14" t="inlineStr">
        <is>
          <t>غير متوافقة مع اختصاصات KBM</t>
        </is>
      </c>
      <c r="P182" s="22">
        <f>HYPERLINK("https://kuwaitalyawm.media.gov.kw/Online/ViewAdsHTML?id=169864&amp;no=1", "عرض المصدر")</f>
        <v/>
      </c>
    </row>
    <row r="183">
      <c r="A183" s="11" t="inlineStr">
        <is>
          <t>217-57</t>
        </is>
      </c>
      <c r="B183" s="11" t="inlineStr">
        <is>
          <t>وزارة الصحة</t>
        </is>
      </c>
      <c r="C183" s="11" t="inlineStr">
        <is>
          <t>Jana Al-Obaid</t>
        </is>
      </c>
      <c r="D183" s="11" t="inlineStr">
        <is>
          <t>ممارسة رقم 217-57 - وزارة الصحة</t>
        </is>
      </c>
      <c r="E183" s="11" t="inlineStr">
        <is>
          <t>أعمال وتوريدات ممارسة رقم 217-57 لصالح وزارة الصحة وفقاً للشروط والمواصفات المعتمدة في وثائق الطرح.</t>
        </is>
      </c>
      <c r="F183" s="11"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3" s="12" t="inlineStr">
        <is>
          <t>عام</t>
        </is>
      </c>
      <c r="H183" s="12" t="inlineStr">
        <is>
          <t>0.0%</t>
        </is>
      </c>
      <c r="I183" s="12" t="inlineStr">
        <is>
          <t>government</t>
        </is>
      </c>
      <c r="J183" s="12" t="inlineStr">
        <is>
          <t>2026-09-27</t>
        </is>
      </c>
      <c r="K183" s="18" t="inlineStr">
        <is>
          <t>2026-10-12</t>
        </is>
      </c>
      <c r="L183" s="12" t="inlineStr">
        <is>
          <t>-</t>
        </is>
      </c>
      <c r="M183" s="12" t="inlineStr">
        <is>
          <t>75.0</t>
        </is>
      </c>
      <c r="N183" s="21" t="inlineStr">
        <is>
          <t>NEW</t>
        </is>
      </c>
      <c r="O183" s="12" t="inlineStr">
        <is>
          <t>غير متوافقة مع اختصاصات KBM</t>
        </is>
      </c>
      <c r="P183" s="23">
        <f>HYPERLINK("https://kuwaitalyawm.media.gov.kw/Online/ViewAdsHTML?id=171552&amp;no=1", "عرض المصدر")</f>
        <v/>
      </c>
    </row>
    <row r="184">
      <c r="A184" s="13" t="inlineStr">
        <is>
          <t>370-278</t>
        </is>
      </c>
      <c r="B184" s="13" t="inlineStr">
        <is>
          <t>وزارة الصحة</t>
        </is>
      </c>
      <c r="C184" s="13" t="inlineStr">
        <is>
          <t>Jana Al-Obaid</t>
        </is>
      </c>
      <c r="D184" s="13" t="inlineStr">
        <is>
          <t>ممارسة رقم 370-278 - وزارة الصحة</t>
        </is>
      </c>
      <c r="E184" s="13" t="inlineStr">
        <is>
          <t>أعمال وتوريدات ممارسة رقم 370-278 لصالح وزارة الصحة وفقاً للشروط والمواصفات المعتمدة في وثائق الطرح.</t>
        </is>
      </c>
      <c r="F18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4" s="14" t="inlineStr">
        <is>
          <t>قطاع الأمن السيبراني والدفاع الرقمي</t>
        </is>
      </c>
      <c r="H184" s="14" t="inlineStr">
        <is>
          <t>47.0%</t>
        </is>
      </c>
      <c r="I184" s="14" t="inlineStr">
        <is>
          <t>government</t>
        </is>
      </c>
      <c r="J184" s="14" t="inlineStr">
        <is>
          <t>2026-09-20</t>
        </is>
      </c>
      <c r="K184" s="18" t="inlineStr">
        <is>
          <t>2026-10-12</t>
        </is>
      </c>
      <c r="L184" s="14" t="inlineStr">
        <is>
          <t>-</t>
        </is>
      </c>
      <c r="M184" s="14" t="inlineStr">
        <is>
          <t>75.0</t>
        </is>
      </c>
      <c r="N184" s="21" t="inlineStr">
        <is>
          <t>NEW</t>
        </is>
      </c>
      <c r="O184" s="14" t="inlineStr">
        <is>
          <t>فرصة تتطلب شراكة أو دراسة نطاق</t>
        </is>
      </c>
      <c r="P184" s="22">
        <f>HYPERLINK("https://kuwaitalyawm.media.gov.kw/Online/ViewAdsHTML?id=170981&amp;no=1", "عرض المصدر")</f>
        <v/>
      </c>
    </row>
    <row r="185">
      <c r="A185" s="11" t="inlineStr">
        <is>
          <t>223-396</t>
        </is>
      </c>
      <c r="B185" s="11" t="inlineStr">
        <is>
          <t>وزارة الصحة</t>
        </is>
      </c>
      <c r="C185" s="11" t="inlineStr">
        <is>
          <t>Jana Al-Obaid</t>
        </is>
      </c>
      <c r="D185" s="11" t="inlineStr">
        <is>
          <t>ممارسة رقم 223-396 - وزارة الصحة</t>
        </is>
      </c>
      <c r="E185" s="11" t="inlineStr">
        <is>
          <t>أعمال وتوريدات ممارسة رقم 223-396 لصالح وزارة الصحة وفقاً للشروط والمواصفات المعتمدة في وثائق الطرح.</t>
        </is>
      </c>
      <c r="F18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5" s="12" t="inlineStr">
        <is>
          <t>عام</t>
        </is>
      </c>
      <c r="H185" s="12" t="inlineStr">
        <is>
          <t>15.0%</t>
        </is>
      </c>
      <c r="I185" s="12" t="inlineStr">
        <is>
          <t>government</t>
        </is>
      </c>
      <c r="J185" s="12" t="inlineStr">
        <is>
          <t>2026-09-20</t>
        </is>
      </c>
      <c r="K185" s="18" t="inlineStr">
        <is>
          <t>2026-10-12</t>
        </is>
      </c>
      <c r="L185" s="12" t="inlineStr">
        <is>
          <t>-</t>
        </is>
      </c>
      <c r="M185" s="12" t="inlineStr">
        <is>
          <t>75.0</t>
        </is>
      </c>
      <c r="N185" s="21" t="inlineStr">
        <is>
          <t>NEW</t>
        </is>
      </c>
      <c r="O185" s="12" t="inlineStr">
        <is>
          <t>غير متوافقة مع اختصاصات KBM</t>
        </is>
      </c>
      <c r="P185" s="23">
        <f>HYPERLINK("https://kuwaitalyawm.media.gov.kw/Online/ViewAdsHTML?id=170982&amp;no=1", "عرض المصدر")</f>
        <v/>
      </c>
    </row>
    <row r="186">
      <c r="A186" s="13" t="inlineStr">
        <is>
          <t>115-214</t>
        </is>
      </c>
      <c r="B186" s="13" t="inlineStr">
        <is>
          <t>وزارة الصحة</t>
        </is>
      </c>
      <c r="C186" s="13" t="inlineStr">
        <is>
          <t>Jana Al-Obaid</t>
        </is>
      </c>
      <c r="D186" s="13" t="inlineStr">
        <is>
          <t>ممارسة رقم 115-214 - وزارة الصحة</t>
        </is>
      </c>
      <c r="E186" s="13" t="inlineStr">
        <is>
          <t>أعمال وتوريدات ممارسة رقم 115-214 لصالح وزارة الصحة وفقاً للشروط والمواصفات المعتمدة في وثائق الطرح.</t>
        </is>
      </c>
      <c r="F186"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6" s="14" t="inlineStr">
        <is>
          <t>عام</t>
        </is>
      </c>
      <c r="H186" s="14" t="inlineStr">
        <is>
          <t>15.0%</t>
        </is>
      </c>
      <c r="I186" s="14" t="inlineStr">
        <is>
          <t>government</t>
        </is>
      </c>
      <c r="J186" s="14" t="inlineStr">
        <is>
          <t>2026-09-20</t>
        </is>
      </c>
      <c r="K186" s="18" t="inlineStr">
        <is>
          <t>2026-10-12</t>
        </is>
      </c>
      <c r="L186" s="14" t="inlineStr">
        <is>
          <t>-</t>
        </is>
      </c>
      <c r="M186" s="14" t="inlineStr">
        <is>
          <t>75.0</t>
        </is>
      </c>
      <c r="N186" s="21" t="inlineStr">
        <is>
          <t>NEW</t>
        </is>
      </c>
      <c r="O186" s="14" t="inlineStr">
        <is>
          <t>غير متوافقة مع اختصاصات KBM</t>
        </is>
      </c>
      <c r="P186" s="22">
        <f>HYPERLINK("https://kuwaitalyawm.media.gov.kw/Online/ViewAdsHTML?id=170984&amp;no=1", "عرض المصدر")</f>
        <v/>
      </c>
    </row>
    <row r="187">
      <c r="A187" s="11" t="inlineStr">
        <is>
          <t>331-16</t>
        </is>
      </c>
      <c r="B187" s="11" t="inlineStr">
        <is>
          <t>وزارة الصحة</t>
        </is>
      </c>
      <c r="C187" s="11" t="inlineStr">
        <is>
          <t>Jana Al-Obaid</t>
        </is>
      </c>
      <c r="D187" s="11" t="inlineStr">
        <is>
          <t>ممارسة رقم 331-16 - وزارة الصحة</t>
        </is>
      </c>
      <c r="E187" s="11" t="inlineStr">
        <is>
          <t>أعمال وتوريدات ممارسة رقم 331-16 لصالح وزارة الصحة وفقاً للشروط والمواصفات المعتمدة في وثائق الطرح.</t>
        </is>
      </c>
      <c r="F187"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7" s="12" t="inlineStr">
        <is>
          <t>عام</t>
        </is>
      </c>
      <c r="H187" s="12" t="inlineStr">
        <is>
          <t>0.0%</t>
        </is>
      </c>
      <c r="I187" s="12" t="inlineStr">
        <is>
          <t>government</t>
        </is>
      </c>
      <c r="J187" s="12" t="inlineStr">
        <is>
          <t>2026-09-20</t>
        </is>
      </c>
      <c r="K187" s="18" t="inlineStr">
        <is>
          <t>2026-10-12</t>
        </is>
      </c>
      <c r="L187" s="12" t="inlineStr">
        <is>
          <t>-</t>
        </is>
      </c>
      <c r="M187" s="12" t="inlineStr">
        <is>
          <t>75.0</t>
        </is>
      </c>
      <c r="N187" s="21" t="inlineStr">
        <is>
          <t>NEW</t>
        </is>
      </c>
      <c r="O187" s="12" t="inlineStr">
        <is>
          <t>غير متوافقة مع اختصاصات KBM</t>
        </is>
      </c>
      <c r="P187" s="23">
        <f>HYPERLINK("https://kuwaitalyawm.media.gov.kw/Online/ViewAdsHTML?id=170985&amp;no=1", "عرض المصدر")</f>
        <v/>
      </c>
    </row>
    <row r="188">
      <c r="A188" s="13" t="inlineStr">
        <is>
          <t>5-3</t>
        </is>
      </c>
      <c r="B188" s="13" t="inlineStr">
        <is>
          <t>وزارة الصحة</t>
        </is>
      </c>
      <c r="C188" s="13" t="inlineStr">
        <is>
          <t>Jana Al-Obaid</t>
        </is>
      </c>
      <c r="D188" s="13" t="inlineStr">
        <is>
          <t>ممارسة رقم 5-3 - وزارة الصحة</t>
        </is>
      </c>
      <c r="E188" s="13" t="inlineStr">
        <is>
          <t>أعمال وتوريدات ممارسة رقم 5-3 لصالح وزارة الصحة وفقاً للشروط والمواصفات المعتمدة في وثائق الطرح.</t>
        </is>
      </c>
      <c r="F188"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88" s="14" t="inlineStr">
        <is>
          <t>عام</t>
        </is>
      </c>
      <c r="H188" s="14" t="inlineStr">
        <is>
          <t>0.0%</t>
        </is>
      </c>
      <c r="I188" s="14" t="inlineStr">
        <is>
          <t>government</t>
        </is>
      </c>
      <c r="J188" s="14" t="inlineStr">
        <is>
          <t>2026-09-13</t>
        </is>
      </c>
      <c r="K188" s="18" t="inlineStr">
        <is>
          <t>2026-10-12</t>
        </is>
      </c>
      <c r="L188" s="14" t="inlineStr">
        <is>
          <t>-</t>
        </is>
      </c>
      <c r="M188" s="14" t="inlineStr">
        <is>
          <t>75.0</t>
        </is>
      </c>
      <c r="N188" s="21" t="inlineStr">
        <is>
          <t>NEW</t>
        </is>
      </c>
      <c r="O188" s="14" t="inlineStr">
        <is>
          <t>غير متوافقة مع اختصاصات KBM</t>
        </is>
      </c>
      <c r="P188" s="22">
        <f>HYPERLINK("https://kuwaitalyawm.media.gov.kw/Online/ViewAdsHTML?id=169862&amp;no=1", "عرض المصدر")</f>
        <v/>
      </c>
    </row>
    <row r="189">
      <c r="A189" s="11" t="inlineStr">
        <is>
          <t>4-65</t>
        </is>
      </c>
      <c r="B189" s="11" t="inlineStr">
        <is>
          <t>وزارة الصحة</t>
        </is>
      </c>
      <c r="C189" s="11" t="inlineStr">
        <is>
          <t>Jana Al-Obaid</t>
        </is>
      </c>
      <c r="D189" s="11" t="inlineStr">
        <is>
          <t>ممارسة رقم 4-65 - وزارة الصحة</t>
        </is>
      </c>
      <c r="E189" s="11" t="inlineStr">
        <is>
          <t>أعمال وتوريدات ممارسة رقم 4-65 لصالح وزارة الصحة وفقاً للشروط والمواصفات المعتمدة في وثائق الطرح.</t>
        </is>
      </c>
      <c r="F189"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9" s="12" t="inlineStr">
        <is>
          <t>عام</t>
        </is>
      </c>
      <c r="H189" s="12" t="inlineStr">
        <is>
          <t>15.0%</t>
        </is>
      </c>
      <c r="I189" s="12" t="inlineStr">
        <is>
          <t>healthcare</t>
        </is>
      </c>
      <c r="J189" s="12" t="inlineStr">
        <is>
          <t>2026-09-27</t>
        </is>
      </c>
      <c r="K189" s="18" t="inlineStr">
        <is>
          <t>2026-10-12</t>
        </is>
      </c>
      <c r="L189" s="12" t="inlineStr">
        <is>
          <t>-</t>
        </is>
      </c>
      <c r="M189" s="12" t="inlineStr">
        <is>
          <t>75.0</t>
        </is>
      </c>
      <c r="N189" s="21" t="inlineStr">
        <is>
          <t>NEW</t>
        </is>
      </c>
      <c r="O189" s="12" t="inlineStr">
        <is>
          <t>غير متوافقة مع اختصاصات KBM</t>
        </is>
      </c>
      <c r="P189" s="23">
        <f>HYPERLINK("https://kuwaitalyawm.media.gov.kw/Online/ViewAdsHTML?id=171550&amp;no=1", "عرض المصدر")</f>
        <v/>
      </c>
    </row>
    <row r="190">
      <c r="A190" s="13" t="inlineStr">
        <is>
          <t>32-8</t>
        </is>
      </c>
      <c r="B190" s="13" t="inlineStr">
        <is>
          <t>وزارة الصحة</t>
        </is>
      </c>
      <c r="C190" s="13" t="inlineStr">
        <is>
          <t>Jana Al-Obaid</t>
        </is>
      </c>
      <c r="D190" s="13" t="inlineStr">
        <is>
          <t>ممارسة رقم 32-8 - وزارة الصحة</t>
        </is>
      </c>
      <c r="E190" s="13" t="inlineStr">
        <is>
          <t>أعمال وتوريدات ممارسة رقم 32-8 لصالح وزارة الصحة وفقاً للشروط والمواصفات المعتمدة في وثائق الطرح.</t>
        </is>
      </c>
      <c r="F190" s="13" t="inlineStr">
        <is>
          <t>• 1- الشركة المحلية يجب أن تكون مسجلة لدى إدارة المستودعات الطبية في قسم 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إرفاق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قسم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إرفاق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90" s="14" t="inlineStr">
        <is>
          <t>عام</t>
        </is>
      </c>
      <c r="H190" s="14" t="inlineStr">
        <is>
          <t>0.0%</t>
        </is>
      </c>
      <c r="I190" s="14" t="inlineStr">
        <is>
          <t>healthcare</t>
        </is>
      </c>
      <c r="J190" s="14" t="inlineStr">
        <is>
          <t>2026-09-27</t>
        </is>
      </c>
      <c r="K190" s="18" t="inlineStr">
        <is>
          <t>2026-10-12</t>
        </is>
      </c>
      <c r="L190" s="14" t="inlineStr">
        <is>
          <t>-</t>
        </is>
      </c>
      <c r="M190" s="14" t="inlineStr">
        <is>
          <t>150.0</t>
        </is>
      </c>
      <c r="N190" s="21" t="inlineStr">
        <is>
          <t>NEW</t>
        </is>
      </c>
      <c r="O190" s="14" t="inlineStr">
        <is>
          <t>غير متوافقة مع اختصاصات KBM</t>
        </is>
      </c>
      <c r="P190" s="22">
        <f>HYPERLINK("https://kuwaitalyawm.media.gov.kw/Online/ViewAdsHTML?id=171549&amp;no=1", "عرض المصدر")</f>
        <v/>
      </c>
    </row>
    <row r="191">
      <c r="A191" s="11" t="inlineStr">
        <is>
          <t>16-5</t>
        </is>
      </c>
      <c r="B191" s="11" t="inlineStr">
        <is>
          <t>وزارة الصحة</t>
        </is>
      </c>
      <c r="C191" s="11" t="inlineStr">
        <is>
          <t>Jana Al-Obaid</t>
        </is>
      </c>
      <c r="D191" s="11" t="inlineStr">
        <is>
          <t>ممارسة رقم 16-5 - وزارة الصحة</t>
        </is>
      </c>
      <c r="E191" s="11" t="inlineStr">
        <is>
          <t>أعمال وتوريدات ممارسة رقم 16-5 لصالح وزارة الصحة وفقاً للشروط والمواصفات المعتمدة في وثائق الطرح.</t>
        </is>
      </c>
      <c r="F19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91" s="12" t="inlineStr">
        <is>
          <t>عام</t>
        </is>
      </c>
      <c r="H191" s="12" t="inlineStr">
        <is>
          <t>15.0%</t>
        </is>
      </c>
      <c r="I191" s="12" t="inlineStr">
        <is>
          <t>government</t>
        </is>
      </c>
      <c r="J191" s="12" t="inlineStr">
        <is>
          <t>2026-09-20</t>
        </is>
      </c>
      <c r="K191" s="12" t="inlineStr">
        <is>
          <t>2026-10-14</t>
        </is>
      </c>
      <c r="L191" s="12" t="inlineStr">
        <is>
          <t>-</t>
        </is>
      </c>
      <c r="M191" s="12" t="inlineStr">
        <is>
          <t>300.0</t>
        </is>
      </c>
      <c r="N191" s="21" t="inlineStr">
        <is>
          <t>NEW</t>
        </is>
      </c>
      <c r="O191" s="12" t="inlineStr">
        <is>
          <t>غير متوافقة مع اختصاصات KBM</t>
        </is>
      </c>
      <c r="P191" s="23">
        <f>HYPERLINK("https://kuwaitalyawm.media.gov.kw/Online/ViewAdsHTML?id=170980&amp;no=1", "عرض المصدر")</f>
        <v/>
      </c>
    </row>
    <row r="192">
      <c r="A192" s="13" t="inlineStr">
        <is>
          <t>4-6</t>
        </is>
      </c>
      <c r="B192" s="13" t="inlineStr">
        <is>
          <t>وزارة الصحة</t>
        </is>
      </c>
      <c r="C192" s="13" t="inlineStr">
        <is>
          <t>Jana Al-Obaid</t>
        </is>
      </c>
      <c r="D192" s="13" t="inlineStr">
        <is>
          <t>ممارسة رقم 4-6 - وزارة الصحة</t>
        </is>
      </c>
      <c r="E192" s="13" t="inlineStr">
        <is>
          <t>أعمال وتوريدات ممارسة رقم 4-6 لصالح وزارة الصحة وفقاً للشروط والمواصفات المعتمدة في وثائق الطرح.</t>
        </is>
      </c>
      <c r="F19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92" s="14" t="inlineStr">
        <is>
          <t>عام</t>
        </is>
      </c>
      <c r="H192" s="14" t="inlineStr">
        <is>
          <t>0.0%</t>
        </is>
      </c>
      <c r="I192" s="14" t="inlineStr">
        <is>
          <t>government</t>
        </is>
      </c>
      <c r="J192" s="14" t="inlineStr">
        <is>
          <t>2026-09-20</t>
        </is>
      </c>
      <c r="K192" s="14" t="inlineStr">
        <is>
          <t>2026-10-14</t>
        </is>
      </c>
      <c r="L192" s="14" t="inlineStr">
        <is>
          <t>-</t>
        </is>
      </c>
      <c r="M192" s="14" t="inlineStr">
        <is>
          <t>75.0</t>
        </is>
      </c>
      <c r="N192" s="21" t="inlineStr">
        <is>
          <t>NEW</t>
        </is>
      </c>
      <c r="O192" s="14" t="inlineStr">
        <is>
          <t>غير متوافقة مع اختصاصات KBM</t>
        </is>
      </c>
      <c r="P192" s="22">
        <f>HYPERLINK("https://kuwaitalyawm.media.gov.kw/Online/ViewAdsHTML?id=170990&amp;no=1", "عرض المصدر")</f>
        <v/>
      </c>
    </row>
    <row r="193">
      <c r="A193" s="11" t="inlineStr">
        <is>
          <t>126-320</t>
        </is>
      </c>
      <c r="B193" s="11" t="inlineStr">
        <is>
          <t>وزارة الصحة</t>
        </is>
      </c>
      <c r="C193" s="11" t="inlineStr">
        <is>
          <t>Jana Al-Obaid</t>
        </is>
      </c>
      <c r="D193" s="11" t="inlineStr">
        <is>
          <t>ممارسة رقم 126-320 - وزارة الصحة</t>
        </is>
      </c>
      <c r="E193" s="11" t="inlineStr">
        <is>
          <t>أعمال وتوريدات ممارسة رقم 126-320 لصالح وزارة الصحة وفقاً للشروط والمواصفات المعتمدة في وثائق الطرح.</t>
        </is>
      </c>
      <c r="F19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93" s="12" t="inlineStr">
        <is>
          <t>عام</t>
        </is>
      </c>
      <c r="H193" s="12" t="inlineStr">
        <is>
          <t>15.0%</t>
        </is>
      </c>
      <c r="I193" s="12" t="inlineStr">
        <is>
          <t>government</t>
        </is>
      </c>
      <c r="J193" s="12" t="inlineStr">
        <is>
          <t>2026-09-13</t>
        </is>
      </c>
      <c r="K193" s="12" t="inlineStr">
        <is>
          <t>2026-10-14</t>
        </is>
      </c>
      <c r="L193" s="12" t="inlineStr">
        <is>
          <t>-</t>
        </is>
      </c>
      <c r="M193" s="12" t="inlineStr">
        <is>
          <t>75.0</t>
        </is>
      </c>
      <c r="N193" s="21" t="inlineStr">
        <is>
          <t>NEW</t>
        </is>
      </c>
      <c r="O193" s="12" t="inlineStr">
        <is>
          <t>غير متوافقة مع اختصاصات KBM</t>
        </is>
      </c>
      <c r="P193" s="23">
        <f>HYPERLINK("https://kuwaitalyawm.media.gov.kw/Online/ViewAdsHTML?id=169860&amp;no=1", "عرض المصدر")</f>
        <v/>
      </c>
    </row>
    <row r="194">
      <c r="A194" s="13" t="inlineStr">
        <is>
          <t>703-280</t>
        </is>
      </c>
      <c r="B194" s="13" t="inlineStr">
        <is>
          <t>وزارة الصحة</t>
        </is>
      </c>
      <c r="C194" s="13" t="inlineStr">
        <is>
          <t>Jana Al-Obaid</t>
        </is>
      </c>
      <c r="D194" s="13" t="inlineStr">
        <is>
          <t>ممارسة رقم 703-280 - وزارة الصحة</t>
        </is>
      </c>
      <c r="E194" s="13" t="inlineStr">
        <is>
          <t>أعمال وتوريدات ممارسة رقم 703-280 لصالح وزارة الصحة وفقاً للشروط والمواصفات المعتمدة في وثائق الطرح.</t>
        </is>
      </c>
      <c r="F19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94" s="14" t="inlineStr">
        <is>
          <t>عام</t>
        </is>
      </c>
      <c r="H194" s="14" t="inlineStr">
        <is>
          <t>15.0%</t>
        </is>
      </c>
      <c r="I194" s="14" t="inlineStr">
        <is>
          <t>government</t>
        </is>
      </c>
      <c r="J194" s="14" t="inlineStr">
        <is>
          <t>2026-09-13</t>
        </is>
      </c>
      <c r="K194" s="14" t="inlineStr">
        <is>
          <t>2026-10-14</t>
        </is>
      </c>
      <c r="L194" s="14" t="inlineStr">
        <is>
          <t>-</t>
        </is>
      </c>
      <c r="M194" s="14" t="inlineStr">
        <is>
          <t>75.0</t>
        </is>
      </c>
      <c r="N194" s="21" t="inlineStr">
        <is>
          <t>NEW</t>
        </is>
      </c>
      <c r="O194" s="14" t="inlineStr">
        <is>
          <t>غير متوافقة مع اختصاصات KBM</t>
        </is>
      </c>
      <c r="P194" s="22">
        <f>HYPERLINK("https://kuwaitalyawm.media.gov.kw/Online/ViewAdsHTML?id=169861&amp;no=1", "عرض المصدر")</f>
        <v/>
      </c>
    </row>
    <row r="195">
      <c r="A195" s="11" t="inlineStr">
        <is>
          <t>334-331</t>
        </is>
      </c>
      <c r="B195" s="11" t="inlineStr">
        <is>
          <t>وزارة الصحة</t>
        </is>
      </c>
      <c r="C195" s="11" t="inlineStr">
        <is>
          <t>Jana Al-Obaid</t>
        </is>
      </c>
      <c r="D195" s="11" t="inlineStr">
        <is>
          <t>ممارسة رقم 334-331 - وزارة الصحة</t>
        </is>
      </c>
      <c r="E195" s="11" t="inlineStr">
        <is>
          <t>أعمال وتوريدات ممارسة رقم 334-331 لصالح وزارة الصحة وفقاً للشروط والمواصفات المعتمدة في وثائق الطرح.</t>
        </is>
      </c>
      <c r="F19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95" s="12" t="inlineStr">
        <is>
          <t>عام</t>
        </is>
      </c>
      <c r="H195" s="12" t="inlineStr">
        <is>
          <t>0.0%</t>
        </is>
      </c>
      <c r="I195" s="12" t="inlineStr">
        <is>
          <t>government</t>
        </is>
      </c>
      <c r="J195" s="12" t="inlineStr">
        <is>
          <t>2026-09-13</t>
        </is>
      </c>
      <c r="K195" s="12" t="inlineStr">
        <is>
          <t>2026-10-14</t>
        </is>
      </c>
      <c r="L195" s="12" t="inlineStr">
        <is>
          <t>-</t>
        </is>
      </c>
      <c r="M195" s="12" t="inlineStr">
        <is>
          <t>75.0</t>
        </is>
      </c>
      <c r="N195" s="21" t="inlineStr">
        <is>
          <t>NEW</t>
        </is>
      </c>
      <c r="O195" s="12" t="inlineStr">
        <is>
          <t>غير متوافقة مع اختصاصات KBM</t>
        </is>
      </c>
      <c r="P195" s="23">
        <f>HYPERLINK("https://kuwaitalyawm.media.gov.kw/Online/ViewAdsHTML?id=169867&amp;no=1", "عرض المصدر")</f>
        <v/>
      </c>
    </row>
    <row r="196">
      <c r="A196" s="13" t="inlineStr">
        <is>
          <t>36-40</t>
        </is>
      </c>
      <c r="B196" s="13" t="inlineStr">
        <is>
          <t>وزارة الصحة</t>
        </is>
      </c>
      <c r="C196" s="13" t="inlineStr">
        <is>
          <t>Jana Al-Obaid</t>
        </is>
      </c>
      <c r="D196" s="13" t="inlineStr">
        <is>
          <t>ممارسة رقم 36-40 - وزارة الصحة</t>
        </is>
      </c>
      <c r="E196" s="13" t="inlineStr">
        <is>
          <t>أعمال وتوريدات ممارسة رقم 36-40 لصالح وزارة الصحة وفقاً للشروط والمواصفات المعتمدة في وثائق الطرح.</t>
        </is>
      </c>
      <c r="F19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96" s="14" t="inlineStr">
        <is>
          <t>عام</t>
        </is>
      </c>
      <c r="H196" s="14" t="inlineStr">
        <is>
          <t>15.0%</t>
        </is>
      </c>
      <c r="I196" s="14" t="inlineStr">
        <is>
          <t>healthcare</t>
        </is>
      </c>
      <c r="J196" s="14" t="inlineStr">
        <is>
          <t>2026-09-27</t>
        </is>
      </c>
      <c r="K196" s="14" t="inlineStr">
        <is>
          <t>2026-10-14</t>
        </is>
      </c>
      <c r="L196" s="14" t="inlineStr">
        <is>
          <t>-</t>
        </is>
      </c>
      <c r="M196" s="14" t="inlineStr">
        <is>
          <t>75.0</t>
        </is>
      </c>
      <c r="N196" s="21" t="inlineStr">
        <is>
          <t>NEW</t>
        </is>
      </c>
      <c r="O196" s="14" t="inlineStr">
        <is>
          <t>غير متوافقة مع اختصاصات KBM</t>
        </is>
      </c>
      <c r="P196" s="22">
        <f>HYPERLINK("https://kuwaitalyawm.media.gov.kw/Online/ViewAdsHTML?id=171546&amp;no=1", "عرض المصدر")</f>
        <v/>
      </c>
    </row>
    <row r="197">
      <c r="A197" s="11" t="inlineStr">
        <is>
          <t>ص / م خ ع / 3/2026/2027</t>
        </is>
      </c>
      <c r="B197" s="11" t="inlineStr">
        <is>
          <t>وزارة الصحة</t>
        </is>
      </c>
      <c r="C197" s="11" t="inlineStr">
        <is>
          <t>Jana Al-Obaid</t>
        </is>
      </c>
      <c r="D197" s="11" t="inlineStr">
        <is>
          <t>حراسة وامن مرافق الوزارة منطقتي ( الصباح الطبية التخصصية - منطقة الأحمدي الصحية ) و الادارات المركزية</t>
        </is>
      </c>
      <c r="E197" s="11" t="inlineStr">
        <is>
          <t>توفير خدمات الحراسة والأمن والسلامة للمباني والمنشآت وتأمين المداخل وتوفير الكوادر الأمنية المدربة.</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healthcare</t>
        </is>
      </c>
      <c r="J197" s="12" t="inlineStr">
        <is>
          <t>2026-08-30</t>
        </is>
      </c>
      <c r="K197" s="12" t="inlineStr">
        <is>
          <t>2026-10-20</t>
        </is>
      </c>
      <c r="L197" s="12" t="inlineStr">
        <is>
          <t>100000.000 KWD</t>
        </is>
      </c>
      <c r="M197" s="12" t="inlineStr">
        <is>
          <t>3500.000 KWD</t>
        </is>
      </c>
      <c r="N197" s="21" t="inlineStr">
        <is>
          <t>NEW</t>
        </is>
      </c>
      <c r="O197" s="12" t="inlineStr">
        <is>
          <t>غير متوافقة مع اختصاصات KBM</t>
        </is>
      </c>
      <c r="P197" s="23">
        <f>HYPERLINK("https://capt.gov.kw/ar/tenders/opening-tenders/#card-5", "عرض المصدر")</f>
        <v/>
      </c>
    </row>
    <row r="198">
      <c r="A198" s="13" t="inlineStr">
        <is>
          <t>ص/م خ ع/13/2026/2027</t>
        </is>
      </c>
      <c r="B198" s="13" t="inlineStr">
        <is>
          <t>وزارة الصحة</t>
        </is>
      </c>
      <c r="C198" s="13" t="inlineStr">
        <is>
          <t>Jana Al-Obaid</t>
        </is>
      </c>
      <c r="D198" s="13" t="inlineStr">
        <is>
          <t>اعداد الدراسة و التصميم و الاشراف على تنفيذ مشروع مباني المحور الخدمي لمدينة صباح الاحمد الصحية</t>
        </is>
      </c>
      <c r="E198"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14" t="inlineStr">
        <is>
          <t>عام</t>
        </is>
      </c>
      <c r="H198" s="14" t="inlineStr">
        <is>
          <t>0.0%</t>
        </is>
      </c>
      <c r="I198" s="14" t="inlineStr">
        <is>
          <t>healthcare</t>
        </is>
      </c>
      <c r="J198" s="14" t="inlineStr">
        <is>
          <t>2026-09-20</t>
        </is>
      </c>
      <c r="K198" s="14" t="inlineStr">
        <is>
          <t>2026-10-20</t>
        </is>
      </c>
      <c r="L198" s="14" t="inlineStr">
        <is>
          <t>45000.000 KWD</t>
        </is>
      </c>
      <c r="M198" s="14" t="inlineStr">
        <is>
          <t>1000.000 KWD</t>
        </is>
      </c>
      <c r="N198" s="26" t="inlineStr">
        <is>
          <t>UNCHANGED</t>
        </is>
      </c>
      <c r="O198" s="14" t="inlineStr">
        <is>
          <t>غير متوافقة مع اختصاصات KBM</t>
        </is>
      </c>
      <c r="P198" s="22">
        <f>HYPERLINK("https://capt.gov.kw/ar/tenders/opening-tenders/#card-1", "عرض المصدر")</f>
        <v/>
      </c>
    </row>
    <row r="199">
      <c r="A199" s="11" t="inlineStr">
        <is>
          <t>294-293</t>
        </is>
      </c>
      <c r="B199" s="11" t="inlineStr">
        <is>
          <t>وزارة الصحة</t>
        </is>
      </c>
      <c r="C199" s="11" t="inlineStr">
        <is>
          <t>Jana Al-Obaid</t>
        </is>
      </c>
      <c r="D199" s="11" t="inlineStr">
        <is>
          <t>ممارسة رقم 294-293 - وزارة الصحة</t>
        </is>
      </c>
      <c r="E199" s="11" t="inlineStr">
        <is>
          <t>أعمال وتوريدات ممارسة رقم 294-293 لصالح وزارة الصحة وفقاً للشروط والمواصفات المعتمدة في وثائق الطرح.</t>
        </is>
      </c>
      <c r="F19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99" s="12" t="inlineStr">
        <is>
          <t>عام</t>
        </is>
      </c>
      <c r="H199" s="12" t="inlineStr">
        <is>
          <t>15.0%</t>
        </is>
      </c>
      <c r="I199" s="12" t="inlineStr">
        <is>
          <t>government</t>
        </is>
      </c>
      <c r="J199" s="12" t="inlineStr">
        <is>
          <t>2026-09-20</t>
        </is>
      </c>
      <c r="K199" s="12" t="inlineStr">
        <is>
          <t>2026-10-21</t>
        </is>
      </c>
      <c r="L199" s="12" t="inlineStr">
        <is>
          <t>-</t>
        </is>
      </c>
      <c r="M199" s="12" t="inlineStr">
        <is>
          <t>75.0</t>
        </is>
      </c>
      <c r="N199" s="21" t="inlineStr">
        <is>
          <t>NEW</t>
        </is>
      </c>
      <c r="O199" s="12" t="inlineStr">
        <is>
          <t>غير متوافقة مع اختصاصات KBM</t>
        </is>
      </c>
      <c r="P199" s="23">
        <f>HYPERLINK("https://kuwaitalyawm.media.gov.kw/Online/ViewAdsHTML?id=170983&amp;no=1", "عرض المصدر")</f>
        <v/>
      </c>
    </row>
    <row r="200">
      <c r="A200" s="13" t="inlineStr">
        <is>
          <t>61-16</t>
        </is>
      </c>
      <c r="B200" s="13" t="inlineStr">
        <is>
          <t>وزارة الصحة</t>
        </is>
      </c>
      <c r="C200" s="13" t="inlineStr">
        <is>
          <t>Jana Al-Obaid</t>
        </is>
      </c>
      <c r="D200" s="13" t="inlineStr">
        <is>
          <t>ممارسة رقم 61-16 - وزارة الصحة</t>
        </is>
      </c>
      <c r="E200" s="13" t="inlineStr">
        <is>
          <t>أعمال وتوريدات ممارسة رقم 61-16 لصالح وزارة الصحة وفقاً للشروط والمواصفات المعتمدة في وثائق الطرح.</t>
        </is>
      </c>
      <c r="F20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00" s="14" t="inlineStr">
        <is>
          <t>عام</t>
        </is>
      </c>
      <c r="H200" s="14" t="inlineStr">
        <is>
          <t>0.0%</t>
        </is>
      </c>
      <c r="I200" s="14" t="inlineStr">
        <is>
          <t>government</t>
        </is>
      </c>
      <c r="J200" s="14" t="inlineStr">
        <is>
          <t>2026-09-20</t>
        </is>
      </c>
      <c r="K200" s="14" t="inlineStr">
        <is>
          <t>2026-10-21</t>
        </is>
      </c>
      <c r="L200" s="14" t="inlineStr">
        <is>
          <t>-</t>
        </is>
      </c>
      <c r="M200" s="14" t="inlineStr">
        <is>
          <t>75.0</t>
        </is>
      </c>
      <c r="N200" s="21" t="inlineStr">
        <is>
          <t>NEW</t>
        </is>
      </c>
      <c r="O200" s="14" t="inlineStr">
        <is>
          <t>غير متوافقة مع اختصاصات KBM</t>
        </is>
      </c>
      <c r="P200" s="22">
        <f>HYPERLINK("https://kuwaitalyawm.media.gov.kw/Online/ViewAdsHTML?id=170988&amp;no=1", "عرض المصدر")</f>
        <v/>
      </c>
    </row>
    <row r="201">
      <c r="A201" s="11" t="inlineStr">
        <is>
          <t>9-51</t>
        </is>
      </c>
      <c r="B201" s="11" t="inlineStr">
        <is>
          <t>وزارة الصحة</t>
        </is>
      </c>
      <c r="C201" s="11" t="inlineStr">
        <is>
          <t>Jana Al-Obaid</t>
        </is>
      </c>
      <c r="D201" s="11" t="inlineStr">
        <is>
          <t>ممارسة رقم 9-51 - وزارة الصحة</t>
        </is>
      </c>
      <c r="E201" s="11" t="inlineStr">
        <is>
          <t>أعمال وتوريدات ممارسة رقم 9-51 لصالح وزارة الصحة وفقاً للشروط والمواصفات المعتمدة في وثائق الطرح.</t>
        </is>
      </c>
      <c r="F20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01" s="12" t="inlineStr">
        <is>
          <t>عام</t>
        </is>
      </c>
      <c r="H201" s="12" t="inlineStr">
        <is>
          <t>0.0%</t>
        </is>
      </c>
      <c r="I201" s="12" t="inlineStr">
        <is>
          <t>government</t>
        </is>
      </c>
      <c r="J201" s="12" t="inlineStr">
        <is>
          <t>2026-09-27</t>
        </is>
      </c>
      <c r="K201" s="12" t="inlineStr">
        <is>
          <t>2026-10-26</t>
        </is>
      </c>
      <c r="L201" s="12" t="inlineStr">
        <is>
          <t>-</t>
        </is>
      </c>
      <c r="M201" s="12" t="inlineStr">
        <is>
          <t>1000.0</t>
        </is>
      </c>
      <c r="N201" s="21" t="inlineStr">
        <is>
          <t>NEW</t>
        </is>
      </c>
      <c r="O201" s="12" t="inlineStr">
        <is>
          <t>غير متوافقة مع اختصاصات KBM</t>
        </is>
      </c>
      <c r="P201" s="23">
        <f>HYPERLINK("https://kuwaitalyawm.media.gov.kw/Online/ViewAdsHTML?id=171551&amp;no=1", "عرض المصدر")</f>
        <v/>
      </c>
    </row>
    <row r="202">
      <c r="A202" s="13" t="inlineStr">
        <is>
          <t>321</t>
        </is>
      </c>
      <c r="B202" s="13" t="inlineStr">
        <is>
          <t>وزارة الصحة</t>
        </is>
      </c>
      <c r="C202" s="13" t="inlineStr">
        <is>
          <t>Jana Al-Obaid</t>
        </is>
      </c>
      <c r="D202" s="13" t="inlineStr">
        <is>
          <t>ممارسة رقم 321 - وزارة الصحة</t>
        </is>
      </c>
      <c r="E202" s="13" t="inlineStr">
        <is>
          <t>أعمال وتوريدات ممارسة رقم 321 لصالح وزارة الصحة وفقاً للشروط والمواصفات المعتمدة في وثائق الطرح.</t>
        </is>
      </c>
      <c r="F202"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202" s="14" t="inlineStr">
        <is>
          <t>عام</t>
        </is>
      </c>
      <c r="H202" s="14" t="inlineStr">
        <is>
          <t>15.0%</t>
        </is>
      </c>
      <c r="I202" s="14" t="inlineStr">
        <is>
          <t>government</t>
        </is>
      </c>
      <c r="J202" s="14" t="inlineStr">
        <is>
          <t>2026-09-27</t>
        </is>
      </c>
      <c r="K202" s="14" t="inlineStr">
        <is>
          <t>2026-10-28</t>
        </is>
      </c>
      <c r="L202" s="14" t="inlineStr">
        <is>
          <t>-</t>
        </is>
      </c>
      <c r="M202" s="14" t="inlineStr">
        <is>
          <t>75.0</t>
        </is>
      </c>
      <c r="N202" s="21" t="inlineStr">
        <is>
          <t>NEW</t>
        </is>
      </c>
      <c r="O202" s="14" t="inlineStr">
        <is>
          <t>غير متوافقة مع اختصاصات KBM</t>
        </is>
      </c>
      <c r="P202" s="22">
        <f>HYPERLINK("https://kuwaitalyawm.media.gov.kw/Online/ViewAdsHTML?id=171555&amp;no=1", "عرض المصدر")</f>
        <v/>
      </c>
    </row>
    <row r="203">
      <c r="A203" s="11" t="inlineStr">
        <is>
          <t>313-225</t>
        </is>
      </c>
      <c r="B203" s="11" t="inlineStr">
        <is>
          <t>وزارة الصحة</t>
        </is>
      </c>
      <c r="C203" s="11" t="inlineStr">
        <is>
          <t>Jana Al-Obaid</t>
        </is>
      </c>
      <c r="D203" s="11" t="inlineStr">
        <is>
          <t>ممارسة رقم 313-225: توريد WASTE DISPOSAL SYSTEM MACERATOR</t>
        </is>
      </c>
      <c r="E203" s="11" t="inlineStr">
        <is>
          <t>أعمال وتوريدات توريد WASTE DISPOSAL SYSTEM MACERATOR لصالح وزارة الصحة وفقاً للشروط والمواصفات المعتمدة في وثائق الطرح.</t>
        </is>
      </c>
      <c r="F20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203" s="12" t="inlineStr">
        <is>
          <t>عام</t>
        </is>
      </c>
      <c r="H203" s="12" t="inlineStr">
        <is>
          <t>15.0%</t>
        </is>
      </c>
      <c r="I203" s="12" t="inlineStr">
        <is>
          <t>healthcare</t>
        </is>
      </c>
      <c r="J203" s="12" t="inlineStr">
        <is>
          <t>2026-09-27</t>
        </is>
      </c>
      <c r="K203" s="12" t="inlineStr">
        <is>
          <t>2026-10-28</t>
        </is>
      </c>
      <c r="L203" s="12" t="inlineStr">
        <is>
          <t>-</t>
        </is>
      </c>
      <c r="M203" s="12" t="inlineStr">
        <is>
          <t>150.0</t>
        </is>
      </c>
      <c r="N203" s="21" t="inlineStr">
        <is>
          <t>NEW</t>
        </is>
      </c>
      <c r="O203" s="12" t="inlineStr">
        <is>
          <t>غير متوافقة مع اختصاصات KBM</t>
        </is>
      </c>
      <c r="P203" s="23">
        <f>HYPERLINK("https://kuwaitalyawm.media.gov.kw/Online/ViewAdsHTML?id=171547&amp;no=1", "عرض المصدر")</f>
        <v/>
      </c>
    </row>
    <row r="204">
      <c r="A204" s="13" t="inlineStr">
        <is>
          <t>430-190</t>
        </is>
      </c>
      <c r="B204" s="13" t="inlineStr">
        <is>
          <t>وزارة الصحة</t>
        </is>
      </c>
      <c r="C204" s="13" t="inlineStr">
        <is>
          <t>Jana Al-Obaid</t>
        </is>
      </c>
      <c r="D204" s="13" t="inlineStr">
        <is>
          <t>ممارسة رقم 430-190 - وزارة الصحة</t>
        </is>
      </c>
      <c r="E204" s="13" t="inlineStr">
        <is>
          <t>أعمال وتوريدات ممارسة رقم 430-190 لصالح وزارة الصحة وفقاً للشروط والمواصفات المعتمدة في وثائق الطرح.</t>
        </is>
      </c>
      <c r="F20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204" s="14" t="inlineStr">
        <is>
          <t>عام</t>
        </is>
      </c>
      <c r="H204" s="14" t="inlineStr">
        <is>
          <t>15.0%</t>
        </is>
      </c>
      <c r="I204" s="14" t="inlineStr">
        <is>
          <t>healthcare</t>
        </is>
      </c>
      <c r="J204" s="14" t="inlineStr">
        <is>
          <t>2026-09-27</t>
        </is>
      </c>
      <c r="K204" s="14" t="inlineStr">
        <is>
          <t>2026-10-28</t>
        </is>
      </c>
      <c r="L204" s="14" t="inlineStr">
        <is>
          <t>-</t>
        </is>
      </c>
      <c r="M204" s="14" t="inlineStr">
        <is>
          <t>150.0</t>
        </is>
      </c>
      <c r="N204" s="21" t="inlineStr">
        <is>
          <t>NEW</t>
        </is>
      </c>
      <c r="O204" s="14" t="inlineStr">
        <is>
          <t>غير متوافقة مع اختصاصات KBM</t>
        </is>
      </c>
      <c r="P204" s="22">
        <f>HYPERLINK("https://kuwaitalyawm.media.gov.kw/Online/ViewAdsHTML?id=171545&amp;no=1", "عرض المصدر")</f>
        <v/>
      </c>
    </row>
    <row r="205">
      <c r="A205" s="11" t="inlineStr">
        <is>
          <t>ص / م خ ع /18/2026/2027</t>
        </is>
      </c>
      <c r="B205" s="11" t="inlineStr">
        <is>
          <t>وزارة الصحة</t>
        </is>
      </c>
      <c r="C205" s="11" t="inlineStr">
        <is>
          <t>Jana Al-Obaid</t>
        </is>
      </c>
      <c r="D205" s="11" t="inlineStr">
        <is>
          <t>توريد محارم ورق التنشيف</t>
        </is>
      </c>
      <c r="E205" s="11" t="inlineStr">
        <is>
          <t>أعمال وتوريدات توريد محارم ورق التنشيف لصالح وزارة الصحة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0.0%</t>
        </is>
      </c>
      <c r="I205" s="12" t="inlineStr">
        <is>
          <t>healthcare</t>
        </is>
      </c>
      <c r="J205" s="12" t="inlineStr">
        <is>
          <t>2026-09-06</t>
        </is>
      </c>
      <c r="K205" s="12" t="inlineStr">
        <is>
          <t>2026-11-01</t>
        </is>
      </c>
      <c r="L205" s="12" t="inlineStr">
        <is>
          <t>6000.000 KWD</t>
        </is>
      </c>
      <c r="M205" s="12" t="inlineStr">
        <is>
          <t>300.000 KWD</t>
        </is>
      </c>
      <c r="N205" s="21" t="inlineStr">
        <is>
          <t>NEW</t>
        </is>
      </c>
      <c r="O205" s="12" t="inlineStr">
        <is>
          <t>غير متوافقة مع اختصاصات KBM</t>
        </is>
      </c>
      <c r="P205" s="23">
        <f>HYPERLINK("https://capt.gov.kw/ar/tenders/opening-tenders/#card-6", "عرض المصدر")</f>
        <v/>
      </c>
    </row>
    <row r="206">
      <c r="A206" s="13" t="inlineStr">
        <is>
          <t>ص / م خ ع / 11/2025/2026</t>
        </is>
      </c>
      <c r="B206" s="13" t="inlineStr">
        <is>
          <t>وزارة الصحة</t>
        </is>
      </c>
      <c r="C206" s="13" t="inlineStr">
        <is>
          <t>Jana Al-Obaid</t>
        </is>
      </c>
      <c r="D206" s="13" t="inlineStr">
        <is>
          <t>زيادة سعة بدالة مستشفى الاميري الجديد وربط المباني الملحقة بها بنظام اتصالات مركزي موحد</t>
        </is>
      </c>
      <c r="E206"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24" t="inlineStr">
        <is>
          <t>عام</t>
        </is>
      </c>
      <c r="H206" s="14" t="inlineStr">
        <is>
          <t>24.0%</t>
        </is>
      </c>
      <c r="I206" s="14" t="inlineStr">
        <is>
          <t>healthcare</t>
        </is>
      </c>
      <c r="J206" s="14" t="inlineStr">
        <is>
          <t>2026-10-04</t>
        </is>
      </c>
      <c r="K206" s="14" t="inlineStr">
        <is>
          <t>2026-11-03</t>
        </is>
      </c>
      <c r="L206" s="14" t="inlineStr">
        <is>
          <t>6000.000 KWD</t>
        </is>
      </c>
      <c r="M206" s="14" t="inlineStr">
        <is>
          <t>300.000 KWD</t>
        </is>
      </c>
      <c r="N206" s="21" t="inlineStr">
        <is>
          <t>NEW</t>
        </is>
      </c>
      <c r="O206" s="14" t="inlineStr">
        <is>
          <t>غير متوافقة مع اختصاصات KBM</t>
        </is>
      </c>
      <c r="P206" s="22">
        <f>HYPERLINK("https://capt.gov.kw/ar/tenders/opening-tenders/#card-2", "عرض المصدر")</f>
        <v/>
      </c>
    </row>
    <row r="207">
      <c r="A207" s="11" t="inlineStr">
        <is>
          <t>ص/م خ ع/2/2025/2026</t>
        </is>
      </c>
      <c r="B207" s="11" t="inlineStr">
        <is>
          <t>وزارة الصحة</t>
        </is>
      </c>
      <c r="C207" s="11" t="inlineStr">
        <is>
          <t>Jana Al-Obaid</t>
        </is>
      </c>
      <c r="D207" s="11" t="inlineStr">
        <is>
          <t>الانشاء و التجهيز و التأثيث و الصيانة لمشروع انشاء المطبخ المركزي لمستشفى الفروانية الجديد</t>
        </is>
      </c>
      <c r="E207"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0.0%</t>
        </is>
      </c>
      <c r="I207" s="12" t="inlineStr">
        <is>
          <t>healthcare</t>
        </is>
      </c>
      <c r="J207" s="12" t="inlineStr">
        <is>
          <t>2026-08-16</t>
        </is>
      </c>
      <c r="K207" s="12" t="inlineStr">
        <is>
          <t>2026-11-03</t>
        </is>
      </c>
      <c r="L207" s="12" t="inlineStr">
        <is>
          <t>62000.000 KWD</t>
        </is>
      </c>
      <c r="M207" s="12" t="inlineStr">
        <is>
          <t>1000.000 KWD</t>
        </is>
      </c>
      <c r="N207" s="21" t="inlineStr">
        <is>
          <t>NEW</t>
        </is>
      </c>
      <c r="O207" s="12" t="inlineStr">
        <is>
          <t>غير متوافقة مع اختصاصات KBM</t>
        </is>
      </c>
      <c r="P207" s="23">
        <f>HYPERLINK("https://capt.gov.kw/ar/tenders/opening-tenders/#card-8", "عرض المصدر")</f>
        <v/>
      </c>
    </row>
    <row r="208">
      <c r="A208" s="13" t="inlineStr">
        <is>
          <t>ص/ م خ ع / 9/2026/2027</t>
        </is>
      </c>
      <c r="B208" s="13" t="inlineStr">
        <is>
          <t>وزارة الصحة</t>
        </is>
      </c>
      <c r="C208" s="13" t="inlineStr">
        <is>
          <t>Jana Al-Obaid</t>
        </is>
      </c>
      <c r="D208" s="13" t="inlineStr">
        <is>
          <t>خدمات الإشراف على التنفيذ لإنشاء وتجهيز وتأثيث والصيانة لمشروع المطبخ المركزي لمستشفى الفروانية الجديد</t>
        </is>
      </c>
      <c r="E208" s="13" t="inlineStr">
        <is>
          <t>تنفيذ الأعمال المدنية والإنشائية والترميم والصيانة العامة للمباني والمنشآت والمرافق التابعة للجهة.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14" t="inlineStr">
        <is>
          <t>عام</t>
        </is>
      </c>
      <c r="H208" s="14" t="inlineStr">
        <is>
          <t>0.0%</t>
        </is>
      </c>
      <c r="I208" s="14" t="inlineStr">
        <is>
          <t>healthcare</t>
        </is>
      </c>
      <c r="J208" s="14" t="inlineStr">
        <is>
          <t>2026-08-30</t>
        </is>
      </c>
      <c r="K208" s="14" t="inlineStr">
        <is>
          <t>2026-11-24</t>
        </is>
      </c>
      <c r="L208" s="14" t="inlineStr">
        <is>
          <t>7500.000 KWD</t>
        </is>
      </c>
      <c r="M208" s="14" t="inlineStr">
        <is>
          <t>1000.000 KWD</t>
        </is>
      </c>
      <c r="N208" s="21" t="inlineStr">
        <is>
          <t>NEW</t>
        </is>
      </c>
      <c r="O208" s="14" t="inlineStr">
        <is>
          <t>غير متوافقة مع اختصاصات KBM</t>
        </is>
      </c>
      <c r="P208" s="22">
        <f>HYPERLINK("https://capt.gov.kw/ar/tenders/opening-tenders/#card-6", "عرض المصدر")</f>
        <v/>
      </c>
    </row>
    <row r="209">
      <c r="A209" s="11" t="inlineStr">
        <is>
          <t>و ع / 3/2026/2027</t>
        </is>
      </c>
      <c r="B209" s="11" t="inlineStr">
        <is>
          <t>وزارة العدل</t>
        </is>
      </c>
      <c r="C209" s="11" t="inlineStr">
        <is>
          <t>Eiman Ashkanani</t>
        </is>
      </c>
      <c r="D209" s="11" t="inlineStr">
        <is>
          <t>اعمال تنظيف شاملة لمباني وزارة العدل بمحافظات ( العاصمة - حولي - الأحمدي - مبارك الكبير ) مجزئة على مجموعتين</t>
        </is>
      </c>
      <c r="E209" s="11" t="inlineStr">
        <is>
          <t>توفير خدمات وأعمال النظافة العامة والشاملة للمباني والمرافق وتوفير العمالة والمعدات والمستهلكات اللازمة.</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0.0%</t>
        </is>
      </c>
      <c r="I209" s="12" t="inlineStr">
        <is>
          <t>government</t>
        </is>
      </c>
      <c r="J209" s="12" t="inlineStr">
        <is>
          <t>2026-09-27</t>
        </is>
      </c>
      <c r="K209" s="12" t="inlineStr">
        <is>
          <t>2026-12-22</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HYPERLINK("https://capt.gov.kw/ar/tenders/opening-tenders/#card-8", "عرض المصدر")</f>
        <v/>
      </c>
    </row>
    <row r="210">
      <c r="A210" s="13" t="inlineStr">
        <is>
          <t>2027/2026/7</t>
        </is>
      </c>
      <c r="B210" s="13" t="inlineStr">
        <is>
          <t>وزارة الــعدل</t>
        </is>
      </c>
      <c r="C210" s="13" t="inlineStr">
        <is>
          <t>Eiman Ashkanani</t>
        </is>
      </c>
      <c r="D210" s="13" t="inlineStr">
        <is>
          <t>ممارسة رقم 2027/2026/7: عن الممارسة رقم (وع/7-2026/2027) توريد وتركيب زجاج سيكوريت بمباني وزارة العدل</t>
        </is>
      </c>
      <c r="E210" s="13" t="inlineStr">
        <is>
          <t>أعمال وتوريدات عن الممارسة رقم (وع/7-2026/2027) توريد وتركيب زجاج سيكوريت بمباني وزارة العدل لصالح وزارة الــعدل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government</t>
        </is>
      </c>
      <c r="J210" s="14" t="inlineStr">
        <is>
          <t>2026-09-27</t>
        </is>
      </c>
      <c r="K210" s="14" t="inlineStr">
        <is>
          <t>2026-10-28</t>
        </is>
      </c>
      <c r="L210" s="14" t="inlineStr">
        <is>
          <t>300 KWD</t>
        </is>
      </c>
      <c r="M210" s="14" t="inlineStr">
        <is>
          <t>75.0</t>
        </is>
      </c>
      <c r="N210" s="21" t="inlineStr">
        <is>
          <t>NEW</t>
        </is>
      </c>
      <c r="O210" s="14" t="inlineStr">
        <is>
          <t>غير متوافقة مع اختصاصات KBM</t>
        </is>
      </c>
      <c r="P210" s="22">
        <f>HYPERLINK("https://kuwaitalyawm.media.gov.kw/Online/ViewAdsHTML?id=171533&amp;no=1", "عرض المصدر")</f>
        <v/>
      </c>
    </row>
    <row r="211">
      <c r="A211" s="11" t="inlineStr">
        <is>
          <t>15353/15580</t>
        </is>
      </c>
      <c r="B211" s="11" t="inlineStr">
        <is>
          <t>وزارة الكهرباء والماء</t>
        </is>
      </c>
      <c r="C211" s="11" t="inlineStr">
        <is>
          <t>Raed Obeid</t>
        </is>
      </c>
      <c r="D211"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211"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عام</t>
        </is>
      </c>
      <c r="H211" s="12" t="inlineStr">
        <is>
          <t>15.0%</t>
        </is>
      </c>
      <c r="I211" s="12" t="inlineStr">
        <is>
          <t>government</t>
        </is>
      </c>
      <c r="J211" s="12" t="inlineStr">
        <is>
          <t>2026-09-27</t>
        </is>
      </c>
      <c r="K211" s="12" t="inlineStr">
        <is>
          <t>-</t>
        </is>
      </c>
      <c r="L211" s="12" t="inlineStr">
        <is>
          <t>-</t>
        </is>
      </c>
      <c r="M211" s="12" t="inlineStr">
        <is>
          <t>7.0</t>
        </is>
      </c>
      <c r="N211" s="21" t="inlineStr">
        <is>
          <t>NEW</t>
        </is>
      </c>
      <c r="O211" s="12" t="inlineStr">
        <is>
          <t>غير متوافقة مع اختصاصات KBM</t>
        </is>
      </c>
      <c r="P211" s="23">
        <f>HYPERLINK("https://kuwaitalyawm.media.gov.kw/Online/ViewAdsHTML?id=171670&amp;no=1", "عرض المصدر")</f>
        <v/>
      </c>
    </row>
    <row r="212">
      <c r="A212" s="13" t="inlineStr">
        <is>
          <t>15140/15567</t>
        </is>
      </c>
      <c r="B212" s="13" t="inlineStr">
        <is>
          <t>وزارة الكهرباء والماء</t>
        </is>
      </c>
      <c r="C212" s="13" t="inlineStr">
        <is>
          <t>Raed Obeid</t>
        </is>
      </c>
      <c r="D212"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212"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government</t>
        </is>
      </c>
      <c r="J212" s="14" t="inlineStr">
        <is>
          <t>2026-09-27</t>
        </is>
      </c>
      <c r="K212" s="14" t="inlineStr">
        <is>
          <t>2026-10-20</t>
        </is>
      </c>
      <c r="L212" s="14" t="inlineStr">
        <is>
          <t>-</t>
        </is>
      </c>
      <c r="M212" s="14" t="inlineStr">
        <is>
          <t>10.0</t>
        </is>
      </c>
      <c r="N212" s="21" t="inlineStr">
        <is>
          <t>NEW</t>
        </is>
      </c>
      <c r="O212" s="14" t="inlineStr">
        <is>
          <t>غير متوافقة مع اختصاصات KBM</t>
        </is>
      </c>
      <c r="P212" s="22">
        <f>HYPERLINK("https://kuwaitalyawm.media.gov.kw/Online/ViewAdsHTML?id=171669&amp;no=1", "عرض المصدر")</f>
        <v/>
      </c>
    </row>
    <row r="213">
      <c r="A213" s="11" t="inlineStr">
        <is>
          <t>2027/2026/1</t>
        </is>
      </c>
      <c r="B213" s="11" t="inlineStr">
        <is>
          <t>وزارة الكهرباء والماء</t>
        </is>
      </c>
      <c r="C213" s="11" t="inlineStr">
        <is>
          <t>Raed Obeid</t>
        </is>
      </c>
      <c r="D213" s="11" t="inlineStr">
        <is>
          <t>ممارسة رقم 2027/2026/1: صيانة جهاز تحليل وقياس الكربون العضوي في الماء</t>
        </is>
      </c>
      <c r="E213"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15.0%</t>
        </is>
      </c>
      <c r="I213" s="12" t="inlineStr">
        <is>
          <t>government</t>
        </is>
      </c>
      <c r="J213" s="12" t="inlineStr">
        <is>
          <t>2026-09-27</t>
        </is>
      </c>
      <c r="K213" s="12" t="inlineStr">
        <is>
          <t>2026-10-25</t>
        </is>
      </c>
      <c r="L213" s="12" t="inlineStr">
        <is>
          <t>600.0</t>
        </is>
      </c>
      <c r="M213" s="12" t="inlineStr">
        <is>
          <t>15.0</t>
        </is>
      </c>
      <c r="N213" s="21" t="inlineStr">
        <is>
          <t>NEW</t>
        </is>
      </c>
      <c r="O213" s="12" t="inlineStr">
        <is>
          <t>غير متوافقة مع اختصاصات KBM</t>
        </is>
      </c>
      <c r="P213" s="23">
        <f>HYPERLINK("https://kuwaitalyawm.media.gov.kw/Online/ViewAdsHTML?id=171671&amp;no=1", "عرض المصدر")</f>
        <v/>
      </c>
    </row>
    <row r="214">
      <c r="A214" s="13" t="inlineStr">
        <is>
          <t>و ك م/61/2025/2026</t>
        </is>
      </c>
      <c r="B214" s="13" t="inlineStr">
        <is>
          <t>وزارة الكهرباء والماء والطاقة المتجددة</t>
        </is>
      </c>
      <c r="C214" s="13" t="inlineStr">
        <is>
          <t>Raed Obeid</t>
        </is>
      </c>
      <c r="D214" s="13" t="inlineStr">
        <is>
          <t>أعمال الصيانة السنوية للمعدات الكهربائية في محطة الشعيبة الجنوبية لتوليد القوى الكهربائية وتقطير المياه</t>
        </is>
      </c>
      <c r="E214" s="13"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0.0%</t>
        </is>
      </c>
      <c r="I214" s="14" t="inlineStr">
        <is>
          <t>oil_and_gas</t>
        </is>
      </c>
      <c r="J214" s="14" t="inlineStr">
        <is>
          <t>2026-08-16</t>
        </is>
      </c>
      <c r="K214" s="14" t="inlineStr">
        <is>
          <t>2026-10-13</t>
        </is>
      </c>
      <c r="L214" s="14" t="inlineStr">
        <is>
          <t>45000.000 KWD</t>
        </is>
      </c>
      <c r="M214" s="14" t="inlineStr">
        <is>
          <t>1000.000 KWD</t>
        </is>
      </c>
      <c r="N214" s="21" t="inlineStr">
        <is>
          <t>NEW</t>
        </is>
      </c>
      <c r="O214" s="14" t="inlineStr">
        <is>
          <t>غير متوافقة مع اختصاصات KBM</t>
        </is>
      </c>
      <c r="P214" s="22">
        <f>HYPERLINK("https://capt.gov.kw/ar/tenders/opening-tenders/#card-9", "عرض المصدر")</f>
        <v/>
      </c>
    </row>
    <row r="215">
      <c r="A215" s="11" t="inlineStr">
        <is>
          <t>و ك م/57/2025/2026</t>
        </is>
      </c>
      <c r="B215" s="11" t="inlineStr">
        <is>
          <t>وزارة الكهرباء والماء والطاقة المتجددة</t>
        </is>
      </c>
      <c r="C215" s="11" t="inlineStr">
        <is>
          <t>Raed Obeid</t>
        </is>
      </c>
      <c r="D215" s="11" t="inlineStr">
        <is>
          <t>توريد وتركيب محركات كهربائية في محطة الدوحة الغربية لتوليد القوى الكهربائية وتقطير المياه</t>
        </is>
      </c>
      <c r="E215" s="11"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0.0%</t>
        </is>
      </c>
      <c r="I215" s="12" t="inlineStr">
        <is>
          <t>oil_and_gas</t>
        </is>
      </c>
      <c r="J215" s="12" t="inlineStr">
        <is>
          <t>2026-09-13</t>
        </is>
      </c>
      <c r="K215" s="12" t="inlineStr">
        <is>
          <t>2026-10-13</t>
        </is>
      </c>
      <c r="L215" s="12" t="inlineStr">
        <is>
          <t>62000.000 KWD</t>
        </is>
      </c>
      <c r="M215" s="12" t="inlineStr">
        <is>
          <t>1000.000 KWD</t>
        </is>
      </c>
      <c r="N215" s="21" t="inlineStr">
        <is>
          <t>NEW</t>
        </is>
      </c>
      <c r="O215" s="12" t="inlineStr">
        <is>
          <t>غير متوافقة مع اختصاصات KBM</t>
        </is>
      </c>
      <c r="P215" s="23">
        <f>HYPERLINK("https://capt.gov.kw/ar/tenders/opening-tenders/#card-3", "عرض المصدر")</f>
        <v/>
      </c>
    </row>
    <row r="216">
      <c r="A216" s="13" t="inlineStr">
        <is>
          <t>و ك م /41/2024/2025</t>
        </is>
      </c>
      <c r="B216" s="13" t="inlineStr">
        <is>
          <t>وزارة الكهرباء والماء والطاقة المتجددة</t>
        </is>
      </c>
      <c r="C216" s="13" t="inlineStr">
        <is>
          <t>Raed Obeid</t>
        </is>
      </c>
      <c r="D216" s="13" t="inlineStr">
        <is>
          <t>أعمال توريد وتركيب وصيانة خطوط هوائية ضغط متوسط 11 ك.ف وضغط منخفض والأعمال المدنية المتعلقة بهما في ( المنطقة الجنوبية )</t>
        </is>
      </c>
      <c r="E216"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oil_and_gas</t>
        </is>
      </c>
      <c r="J216" s="14" t="inlineStr">
        <is>
          <t>2026-08-23</t>
        </is>
      </c>
      <c r="K216" s="14" t="inlineStr">
        <is>
          <t>2026-10-20</t>
        </is>
      </c>
      <c r="L216" s="14" t="inlineStr">
        <is>
          <t>100000.000 KWD</t>
        </is>
      </c>
      <c r="M216" s="14" t="inlineStr">
        <is>
          <t>3500.000 KWD</t>
        </is>
      </c>
      <c r="N216" s="21" t="inlineStr">
        <is>
          <t>NEW</t>
        </is>
      </c>
      <c r="O216" s="14" t="inlineStr">
        <is>
          <t>غير متوافقة مع اختصاصات KBM</t>
        </is>
      </c>
      <c r="P216" s="22">
        <f>HYPERLINK("https://capt.gov.kw/ar/tenders/opening-tenders/#card-7", "عرض المصدر")</f>
        <v/>
      </c>
    </row>
    <row r="217">
      <c r="A217" s="11" t="inlineStr">
        <is>
          <t>و ك م /39/2024/2025</t>
        </is>
      </c>
      <c r="B217" s="11" t="inlineStr">
        <is>
          <t>وزارة الكهرباء والماء والطاقة المتجددة</t>
        </is>
      </c>
      <c r="C217" s="11" t="inlineStr">
        <is>
          <t>Raed Obeid</t>
        </is>
      </c>
      <c r="D217" s="11" t="inlineStr">
        <is>
          <t>اعمال توريد وتركيب وصيانة خطوط هوائية ضغط متوسط 11 ك.ف وضغط منخفض و الأعمال المدنية المتعلقة بهما في ( المنطقة الشمالية )</t>
        </is>
      </c>
      <c r="E217"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oil_and_gas</t>
        </is>
      </c>
      <c r="J217" s="12" t="inlineStr">
        <is>
          <t>2026-08-23</t>
        </is>
      </c>
      <c r="K217" s="12" t="inlineStr">
        <is>
          <t>2026-10-20</t>
        </is>
      </c>
      <c r="L217" s="12" t="inlineStr">
        <is>
          <t>100000.000 KWD</t>
        </is>
      </c>
      <c r="M217" s="12" t="inlineStr">
        <is>
          <t>3500.000 KWD</t>
        </is>
      </c>
      <c r="N217" s="21" t="inlineStr">
        <is>
          <t>NEW</t>
        </is>
      </c>
      <c r="O217" s="12" t="inlineStr">
        <is>
          <t>غير متوافقة مع اختصاصات KBM</t>
        </is>
      </c>
      <c r="P217" s="23">
        <f>HYPERLINK("https://capt.gov.kw/ar/tenders/opening-tenders/#card-6", "عرض المصدر")</f>
        <v/>
      </c>
    </row>
    <row r="218">
      <c r="A218" s="13" t="inlineStr">
        <is>
          <t>و ك م /14/2024/2025</t>
        </is>
      </c>
      <c r="B218" s="13" t="inlineStr">
        <is>
          <t>وزارة الكهرباء والماء والطاقة المتجددة</t>
        </is>
      </c>
      <c r="C218" s="13" t="inlineStr">
        <is>
          <t>Raed Obeid</t>
        </is>
      </c>
      <c r="D218" s="13" t="inlineStr">
        <is>
          <t>اعمال توريد وتركيب وصيانه خطوط هوائيه ضغط متوسط 11 ك.ف وضغط منخفض والاعمال المدنيه المتعلقه بهما في (المنطقه الوسطى)</t>
        </is>
      </c>
      <c r="E218"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8" s="14" t="inlineStr">
        <is>
          <t>عام</t>
        </is>
      </c>
      <c r="H218" s="14" t="inlineStr">
        <is>
          <t>0.0%</t>
        </is>
      </c>
      <c r="I218" s="14" t="inlineStr">
        <is>
          <t>oil_and_gas</t>
        </is>
      </c>
      <c r="J218" s="14" t="inlineStr">
        <is>
          <t>2026-08-23</t>
        </is>
      </c>
      <c r="K218" s="14" t="inlineStr">
        <is>
          <t>2026-10-20</t>
        </is>
      </c>
      <c r="L218" s="14" t="inlineStr">
        <is>
          <t>100000.000 KWD</t>
        </is>
      </c>
      <c r="M218" s="14" t="inlineStr">
        <is>
          <t>3500.000 KWD</t>
        </is>
      </c>
      <c r="N218" s="21" t="inlineStr">
        <is>
          <t>NEW</t>
        </is>
      </c>
      <c r="O218" s="14" t="inlineStr">
        <is>
          <t>غير متوافقة مع اختصاصات KBM</t>
        </is>
      </c>
      <c r="P218" s="22">
        <f>HYPERLINK("https://capt.gov.kw/ar/tenders/opening-tenders/#card-5", "عرض المصدر")</f>
        <v/>
      </c>
    </row>
    <row r="219">
      <c r="A219" s="11" t="inlineStr">
        <is>
          <t>62/2020/2021</t>
        </is>
      </c>
      <c r="B219" s="11" t="inlineStr">
        <is>
          <t>وزارة الكهرباء والماء والطاقة المتجددة</t>
        </is>
      </c>
      <c r="C219" s="11" t="inlineStr">
        <is>
          <t>Raed Obeid</t>
        </is>
      </c>
      <c r="D219" s="11" t="inlineStr">
        <is>
          <t>توريد وتركيب وصيانة خطوط هوائية ضغط متوسط 11 ك.ف وضغط منخفض والاعمال المدنية المتعلقة بهما في مزارع الوفرة</t>
        </is>
      </c>
      <c r="E219"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9" s="12" t="inlineStr">
        <is>
          <t>عام</t>
        </is>
      </c>
      <c r="H219" s="12" t="inlineStr">
        <is>
          <t>0.0%</t>
        </is>
      </c>
      <c r="I219" s="12" t="inlineStr">
        <is>
          <t>oil_and_gas</t>
        </is>
      </c>
      <c r="J219" s="12" t="inlineStr">
        <is>
          <t>2026-08-23</t>
        </is>
      </c>
      <c r="K219" s="12" t="inlineStr">
        <is>
          <t>2026-10-20</t>
        </is>
      </c>
      <c r="L219" s="12" t="inlineStr">
        <is>
          <t>100000.000 KWD</t>
        </is>
      </c>
      <c r="M219" s="12" t="inlineStr">
        <is>
          <t>3500.000 KWD</t>
        </is>
      </c>
      <c r="N219" s="21" t="inlineStr">
        <is>
          <t>NEW</t>
        </is>
      </c>
      <c r="O219" s="12" t="inlineStr">
        <is>
          <t>غير متوافقة مع اختصاصات KBM</t>
        </is>
      </c>
      <c r="P219" s="23">
        <f>HYPERLINK("https://capt.gov.kw/ar/tenders/opening-tenders/#card-1", "عرض المصدر")</f>
        <v/>
      </c>
    </row>
    <row r="220">
      <c r="A220" s="13" t="inlineStr">
        <is>
          <t>و ك م /27/2024/2025</t>
        </is>
      </c>
      <c r="B220" s="13" t="inlineStr">
        <is>
          <t>وزارة الكهرباء والماء والطاقة المتجددة</t>
        </is>
      </c>
      <c r="C220" s="13" t="inlineStr">
        <is>
          <t>Raed Obeid</t>
        </is>
      </c>
      <c r="D220"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20"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0" s="14" t="inlineStr">
        <is>
          <t>عام</t>
        </is>
      </c>
      <c r="H220" s="14" t="inlineStr">
        <is>
          <t>0.0%</t>
        </is>
      </c>
      <c r="I220" s="14" t="inlineStr">
        <is>
          <t>oil_and_gas</t>
        </is>
      </c>
      <c r="J220" s="14" t="inlineStr">
        <is>
          <t>2026-09-20</t>
        </is>
      </c>
      <c r="K220" s="14" t="inlineStr">
        <is>
          <t>2026-10-20</t>
        </is>
      </c>
      <c r="L220" s="14" t="inlineStr">
        <is>
          <t>23000.000 KWD</t>
        </is>
      </c>
      <c r="M220" s="14" t="inlineStr">
        <is>
          <t>1000.000 KWD</t>
        </is>
      </c>
      <c r="N220" s="21" t="inlineStr">
        <is>
          <t>NEW</t>
        </is>
      </c>
      <c r="O220" s="14" t="inlineStr">
        <is>
          <t>غير متوافقة مع اختصاصات KBM</t>
        </is>
      </c>
      <c r="P220" s="22">
        <f>HYPERLINK("https://capt.gov.kw/ar/tenders/opening-tenders/#card-5", "عرض المصدر")</f>
        <v/>
      </c>
    </row>
    <row r="221">
      <c r="A221" s="11" t="inlineStr">
        <is>
          <t>و ك م/38/2025/2026</t>
        </is>
      </c>
      <c r="B221" s="11" t="inlineStr">
        <is>
          <t>وزارة الكهرباء والماء والطاقة المتجددة</t>
        </is>
      </c>
      <c r="C221" s="11" t="inlineStr">
        <is>
          <t>Raed Obeid</t>
        </is>
      </c>
      <c r="D221" s="11" t="inlineStr">
        <is>
          <t>أعمال صيانة آلات تصويرمستندات ماركات مختلفة بجميع قطاعات الوزارة والإدارات التابعة لها بجميع مرافق الوزارة</t>
        </is>
      </c>
      <c r="E221"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1" s="12" t="inlineStr">
        <is>
          <t>عام</t>
        </is>
      </c>
      <c r="H221" s="12" t="inlineStr">
        <is>
          <t>0.0%</t>
        </is>
      </c>
      <c r="I221" s="12" t="inlineStr">
        <is>
          <t>oil_and_gas</t>
        </is>
      </c>
      <c r="J221" s="12" t="inlineStr">
        <is>
          <t>2026-09-06</t>
        </is>
      </c>
      <c r="K221" s="12" t="inlineStr">
        <is>
          <t>2026-10-25</t>
        </is>
      </c>
      <c r="L221" s="12" t="inlineStr">
        <is>
          <t>23000.000 KWD</t>
        </is>
      </c>
      <c r="M221" s="12" t="inlineStr">
        <is>
          <t>1000.000 KWD</t>
        </is>
      </c>
      <c r="N221" s="21" t="inlineStr">
        <is>
          <t>NEW</t>
        </is>
      </c>
      <c r="O221" s="12" t="inlineStr">
        <is>
          <t>غير متوافقة مع اختصاصات KBM</t>
        </is>
      </c>
      <c r="P221" s="23">
        <f>HYPERLINK("https://capt.gov.kw/ar/tenders/opening-tenders/#card-3", "عرض المصدر")</f>
        <v/>
      </c>
    </row>
    <row r="222">
      <c r="A222" s="13" t="inlineStr">
        <is>
          <t>و ك م /11/2025/2026</t>
        </is>
      </c>
      <c r="B222" s="13" t="inlineStr">
        <is>
          <t>وزارة الكهرباء والماء والطاقة المتجددة</t>
        </is>
      </c>
      <c r="C222" s="13" t="inlineStr">
        <is>
          <t>Raed Obeid</t>
        </is>
      </c>
      <c r="D222" s="13" t="inlineStr">
        <is>
          <t>توريد وتسليم ومناولة مواد كيماوية لوحدة التناضح العكسي لمحطة الشويخ القوى الكهربائية وتقطير المياه</t>
        </is>
      </c>
      <c r="E222"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2" s="14" t="inlineStr">
        <is>
          <t>عام</t>
        </is>
      </c>
      <c r="H222" s="14" t="inlineStr">
        <is>
          <t>0.0%</t>
        </is>
      </c>
      <c r="I222" s="14" t="inlineStr">
        <is>
          <t>oil_and_gas</t>
        </is>
      </c>
      <c r="J222" s="14" t="inlineStr">
        <is>
          <t>2026-09-06</t>
        </is>
      </c>
      <c r="K222" s="14" t="inlineStr">
        <is>
          <t>2026-10-25</t>
        </is>
      </c>
      <c r="L222" s="14" t="inlineStr">
        <is>
          <t>0.000 KWD</t>
        </is>
      </c>
      <c r="M222" s="14" t="inlineStr">
        <is>
          <t>250.000 KWD</t>
        </is>
      </c>
      <c r="N222" s="21" t="inlineStr">
        <is>
          <t>NEW</t>
        </is>
      </c>
      <c r="O222" s="14" t="inlineStr">
        <is>
          <t>غير متوافقة مع اختصاصات KBM</t>
        </is>
      </c>
      <c r="P222" s="22">
        <f>HYPERLINK("https://capt.gov.kw/ar/tenders/opening-tenders/#card-9", "عرض المصدر")</f>
        <v/>
      </c>
    </row>
    <row r="223">
      <c r="A223" s="11" t="inlineStr">
        <is>
          <t>وك م/9/2025/2026</t>
        </is>
      </c>
      <c r="B223" s="11" t="inlineStr">
        <is>
          <t>وزارة الكهرباء والماء والطاقة المتجددة</t>
        </is>
      </c>
      <c r="C223" s="11" t="inlineStr">
        <is>
          <t>Raed Obeid</t>
        </is>
      </c>
      <c r="D223" s="11" t="inlineStr">
        <is>
          <t>أعمال النظافة في محطة الصبية لتوليد القوى الكهربائية وتقطير المياه</t>
        </is>
      </c>
      <c r="E223" s="11" t="inlineStr">
        <is>
          <t>توفير خدمات وأعمال النظافة العامة والشاملة للمباني والمرافق وتوفير العمالة والمعدات والمستهلكات اللازمة.</t>
        </is>
      </c>
      <c r="F2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3" s="12" t="inlineStr">
        <is>
          <t>عام</t>
        </is>
      </c>
      <c r="H223" s="12" t="inlineStr">
        <is>
          <t>0.0%</t>
        </is>
      </c>
      <c r="I223" s="12" t="inlineStr">
        <is>
          <t>oil_and_gas</t>
        </is>
      </c>
      <c r="J223" s="12" t="inlineStr">
        <is>
          <t>2026-09-27</t>
        </is>
      </c>
      <c r="K223" s="12" t="inlineStr">
        <is>
          <t>2026-10-27</t>
        </is>
      </c>
      <c r="L223" s="12" t="inlineStr">
        <is>
          <t>15000.000 KWD</t>
        </is>
      </c>
      <c r="M223" s="12" t="inlineStr">
        <is>
          <t>1000.000 KWD</t>
        </is>
      </c>
      <c r="N223" s="26" t="inlineStr">
        <is>
          <t>UNCHANGED</t>
        </is>
      </c>
      <c r="O223" s="12" t="inlineStr">
        <is>
          <t>غير متوافقة مع اختصاصات KBM</t>
        </is>
      </c>
      <c r="P223" s="23">
        <f>HYPERLINK("https://capt.gov.kw/ar/tenders/opening-tenders/#card-9", "عرض المصدر")</f>
        <v/>
      </c>
    </row>
    <row r="224">
      <c r="A224" s="13" t="inlineStr">
        <is>
          <t>و ك م 16/2025/2026</t>
        </is>
      </c>
      <c r="B224" s="13" t="inlineStr">
        <is>
          <t>وزارة الكهرباء والماء والطاقة المتجددة</t>
        </is>
      </c>
      <c r="C224" s="13" t="inlineStr">
        <is>
          <t>Raed Obeid</t>
        </is>
      </c>
      <c r="D224" s="13" t="inlineStr">
        <is>
          <t>صيانة واستبدال التالف و الاعمال المدنيه المتعلقه بعدد من المحولات حتى سعة 75 م.ف.أ و المفاعل المتوازي حتى سعة 50 م.فأ.أ.ر(المرحلة الثانيه)</t>
        </is>
      </c>
      <c r="E22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4" s="14" t="inlineStr">
        <is>
          <t>عام</t>
        </is>
      </c>
      <c r="H224" s="14" t="inlineStr">
        <is>
          <t>0.0%</t>
        </is>
      </c>
      <c r="I224" s="14" t="inlineStr">
        <is>
          <t>oil_and_gas</t>
        </is>
      </c>
      <c r="J224" s="14" t="inlineStr">
        <is>
          <t>2026-08-30</t>
        </is>
      </c>
      <c r="K224" s="14" t="inlineStr">
        <is>
          <t>2026-11-01</t>
        </is>
      </c>
      <c r="L224" s="14" t="inlineStr">
        <is>
          <t>23000.000 KWD</t>
        </is>
      </c>
      <c r="M224" s="14" t="inlineStr">
        <is>
          <t>1000.000 KWD</t>
        </is>
      </c>
      <c r="N224" s="21" t="inlineStr">
        <is>
          <t>NEW</t>
        </is>
      </c>
      <c r="O224" s="14" t="inlineStr">
        <is>
          <t>غير متوافقة مع اختصاصات KBM</t>
        </is>
      </c>
      <c r="P224" s="22">
        <f>HYPERLINK("https://capt.gov.kw/ar/tenders/opening-tenders/#card-8", "عرض المصدر")</f>
        <v/>
      </c>
    </row>
    <row r="225">
      <c r="A225" s="11" t="inlineStr">
        <is>
          <t>و ك م /95/2024/2025</t>
        </is>
      </c>
      <c r="B225" s="11" t="inlineStr">
        <is>
          <t>وزارة الكهرباء والماء والطاقة المتجددة</t>
        </is>
      </c>
      <c r="C225" s="11" t="inlineStr">
        <is>
          <t>Raed Obeid</t>
        </is>
      </c>
      <c r="D225" s="11" t="inlineStr">
        <is>
          <t>إنشاء وإنجاز وصيانة مبنى أخضر لمحافظة الفروانية</t>
        </is>
      </c>
      <c r="E225" s="11" t="inlineStr">
        <is>
          <t>تنفيذ الأعمال المدنية والإنشائية والترميم والصيانة العامة للمباني والمنشآت والمرافق التابعة للجهة.</t>
        </is>
      </c>
      <c r="F2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5" s="12" t="inlineStr">
        <is>
          <t>عام</t>
        </is>
      </c>
      <c r="H225" s="12" t="inlineStr">
        <is>
          <t>0.0%</t>
        </is>
      </c>
      <c r="I225" s="12" t="inlineStr">
        <is>
          <t>oil_and_gas</t>
        </is>
      </c>
      <c r="J225" s="12" t="inlineStr">
        <is>
          <t>2026-09-06</t>
        </is>
      </c>
      <c r="K225" s="12" t="inlineStr">
        <is>
          <t>2026-11-01</t>
        </is>
      </c>
      <c r="L225" s="12" t="inlineStr">
        <is>
          <t>62000.000 KWD</t>
        </is>
      </c>
      <c r="M225" s="12" t="inlineStr">
        <is>
          <t>1000.000 KWD</t>
        </is>
      </c>
      <c r="N225" s="21" t="inlineStr">
        <is>
          <t>NEW</t>
        </is>
      </c>
      <c r="O225" s="12" t="inlineStr">
        <is>
          <t>غير متوافقة مع اختصاصات KBM</t>
        </is>
      </c>
      <c r="P225" s="23">
        <f>HYPERLINK("https://capt.gov.kw/ar/tenders/opening-tenders/#card-1", "عرض المصدر")</f>
        <v/>
      </c>
    </row>
    <row r="226">
      <c r="A226" s="13" t="inlineStr">
        <is>
          <t>و ك م /48/2024/2025</t>
        </is>
      </c>
      <c r="B226" s="13" t="inlineStr">
        <is>
          <t>وزارة الكهرباء والماء والطاقة المتجددة</t>
        </is>
      </c>
      <c r="C226" s="13" t="inlineStr">
        <is>
          <t>Raed Obeid</t>
        </is>
      </c>
      <c r="D226"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26"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6" s="24" t="inlineStr">
        <is>
          <t>عام</t>
        </is>
      </c>
      <c r="H226" s="14" t="inlineStr">
        <is>
          <t>24.0%</t>
        </is>
      </c>
      <c r="I226" s="14" t="inlineStr">
        <is>
          <t>oil_and_gas</t>
        </is>
      </c>
      <c r="J226" s="14" t="inlineStr">
        <is>
          <t>2026-09-06</t>
        </is>
      </c>
      <c r="K226" s="14" t="inlineStr">
        <is>
          <t>2026-11-01</t>
        </is>
      </c>
      <c r="L226" s="14" t="inlineStr">
        <is>
          <t>0.000 KWD</t>
        </is>
      </c>
      <c r="M226" s="14" t="inlineStr">
        <is>
          <t>500.000 KWD</t>
        </is>
      </c>
      <c r="N226" s="21" t="inlineStr">
        <is>
          <t>NEW</t>
        </is>
      </c>
      <c r="O226" s="14" t="inlineStr">
        <is>
          <t>غير متوافقة مع اختصاصات KBM</t>
        </is>
      </c>
      <c r="P226" s="22">
        <f>HYPERLINK("https://capt.gov.kw/ar/tenders/opening-tenders/#card-0", "عرض المصدر")</f>
        <v/>
      </c>
    </row>
    <row r="227">
      <c r="A227" s="11" t="inlineStr">
        <is>
          <t>و ك م /48/2025/2026</t>
        </is>
      </c>
      <c r="B227" s="11" t="inlineStr">
        <is>
          <t>وزارة الكهرباء والماء والطاقة المتجددة</t>
        </is>
      </c>
      <c r="C227" s="11" t="inlineStr">
        <is>
          <t>Raed Obeid</t>
        </is>
      </c>
      <c r="D227" s="11" t="inlineStr">
        <is>
          <t>أعمال صيانة أنظمة الإنذار ومكافحة الحريق في محطات الشعيبة لتوليد القوى الكهربائية وتقطير المياه</t>
        </is>
      </c>
      <c r="E227" s="11"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7" s="24" t="inlineStr">
        <is>
          <t>عام</t>
        </is>
      </c>
      <c r="H227" s="12" t="inlineStr">
        <is>
          <t>24.0%</t>
        </is>
      </c>
      <c r="I227" s="12" t="inlineStr">
        <is>
          <t>oil_and_gas</t>
        </is>
      </c>
      <c r="J227" s="12" t="inlineStr">
        <is>
          <t>2026-10-04</t>
        </is>
      </c>
      <c r="K227" s="12" t="inlineStr">
        <is>
          <t>2026-11-03</t>
        </is>
      </c>
      <c r="L227" s="12" t="inlineStr">
        <is>
          <t>23000.000 KWD</t>
        </is>
      </c>
      <c r="M227" s="12" t="inlineStr">
        <is>
          <t>1000.000 KWD</t>
        </is>
      </c>
      <c r="N227" s="21" t="inlineStr">
        <is>
          <t>NEW</t>
        </is>
      </c>
      <c r="O227" s="12" t="inlineStr">
        <is>
          <t>غير متوافقة مع اختصاصات KBM</t>
        </is>
      </c>
      <c r="P227" s="23">
        <f>HYPERLINK("https://capt.gov.kw/ar/tenders/opening-tenders/#card-4", "عرض المصدر")</f>
        <v/>
      </c>
    </row>
    <row r="228">
      <c r="A228" s="13" t="inlineStr">
        <is>
          <t>و ك م/12/2025/2026</t>
        </is>
      </c>
      <c r="B228" s="13" t="inlineStr">
        <is>
          <t>وزارة الكهرباء والماء والطاقة المتجددة</t>
        </is>
      </c>
      <c r="C228" s="13" t="inlineStr">
        <is>
          <t>Raed Obeid</t>
        </is>
      </c>
      <c r="D228" s="13" t="inlineStr">
        <is>
          <t>احلال واستبدال التالف بعدد من المحولات حتى سعة 75م.ف.أ والمفاعل المتوازي حتى سعة 50 م.ف.أ.ر (المرحلة الأولى)</t>
        </is>
      </c>
      <c r="E228"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8" s="14" t="inlineStr">
        <is>
          <t>عام</t>
        </is>
      </c>
      <c r="H228" s="14" t="inlineStr">
        <is>
          <t>0.0%</t>
        </is>
      </c>
      <c r="I228" s="14" t="inlineStr">
        <is>
          <t>oil_and_gas</t>
        </is>
      </c>
      <c r="J228" s="14" t="inlineStr">
        <is>
          <t>2026-09-06</t>
        </is>
      </c>
      <c r="K228" s="14" t="inlineStr">
        <is>
          <t>2026-11-03</t>
        </is>
      </c>
      <c r="L228" s="14" t="inlineStr">
        <is>
          <t>0.000 KWD</t>
        </is>
      </c>
      <c r="M228" s="14" t="inlineStr">
        <is>
          <t>500.000 KWD</t>
        </is>
      </c>
      <c r="N228" s="21" t="inlineStr">
        <is>
          <t>NEW</t>
        </is>
      </c>
      <c r="O228" s="14" t="inlineStr">
        <is>
          <t>غير متوافقة مع اختصاصات KBM</t>
        </is>
      </c>
      <c r="P228" s="22">
        <f>HYPERLINK("https://capt.gov.kw/ar/tenders/opening-tenders/#card-2", "عرض المصدر")</f>
        <v/>
      </c>
    </row>
    <row r="229">
      <c r="A229" s="11" t="inlineStr">
        <is>
          <t>وك م-65/2025/2026</t>
        </is>
      </c>
      <c r="B229" s="11" t="inlineStr">
        <is>
          <t>وزارة الكهرباء والماء والطاقة المتجددة</t>
        </is>
      </c>
      <c r="C229" s="11" t="inlineStr">
        <is>
          <t>Raed Obeid</t>
        </is>
      </c>
      <c r="D229" s="11" t="inlineStr">
        <is>
          <t>توريد وتركيب وتشغيل وصيانة وضمان أعمال التمديدات الكهربائية للأعمال الصغيرة بمحافظات(الفروانية-الجهراء-العاصمة)</t>
        </is>
      </c>
      <c r="E229"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9" s="12" t="inlineStr">
        <is>
          <t>عام</t>
        </is>
      </c>
      <c r="H229" s="12" t="inlineStr">
        <is>
          <t>24.0%</t>
        </is>
      </c>
      <c r="I229" s="12" t="inlineStr">
        <is>
          <t>oil_and_gas</t>
        </is>
      </c>
      <c r="J229" s="12" t="inlineStr">
        <is>
          <t>2026-09-20</t>
        </is>
      </c>
      <c r="K229" s="12" t="inlineStr">
        <is>
          <t>2026-12-15</t>
        </is>
      </c>
      <c r="L229" s="12" t="inlineStr">
        <is>
          <t>23000.000 KWD</t>
        </is>
      </c>
      <c r="M229" s="12" t="inlineStr">
        <is>
          <t>1000.000 KWD</t>
        </is>
      </c>
      <c r="N229" s="21" t="inlineStr">
        <is>
          <t>NEW</t>
        </is>
      </c>
      <c r="O229" s="12" t="inlineStr">
        <is>
          <t>غير متوافقة مع اختصاصات KBM</t>
        </is>
      </c>
      <c r="P229" s="23">
        <f>HYPERLINK("https://capt.gov.kw/ar/tenders/opening-tenders/#card-6", "عرض المصدر")</f>
        <v/>
      </c>
    </row>
    <row r="230">
      <c r="A230" s="13" t="inlineStr">
        <is>
          <t>7 / 2025-2026</t>
        </is>
      </c>
      <c r="B230" s="13" t="inlineStr">
        <is>
          <t>وزارة المالية</t>
        </is>
      </c>
      <c r="C230" s="13" t="inlineStr">
        <is>
          <t>Eiman Ashkanani</t>
        </is>
      </c>
      <c r="D230" s="13" t="inlineStr">
        <is>
          <t>توفير خدمات مراسلين وسفرجية لوزارة المالية</t>
        </is>
      </c>
      <c r="E230" s="13" t="inlineStr">
        <is>
          <t>أعمال وتوريدات توفير خدمات مراسلين وسفرجية لوزارة المالية لصالح وزارة المالية وفقاً للشروط والمواصفات المعتمدة في وثائق الطرح.</t>
        </is>
      </c>
      <c r="F2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0" s="14" t="inlineStr">
        <is>
          <t>عام</t>
        </is>
      </c>
      <c r="H230" s="14" t="inlineStr">
        <is>
          <t>15.0%</t>
        </is>
      </c>
      <c r="I230" s="14" t="inlineStr">
        <is>
          <t>government</t>
        </is>
      </c>
      <c r="J230" s="14" t="inlineStr">
        <is>
          <t>2026-09-13</t>
        </is>
      </c>
      <c r="K230" s="14" t="inlineStr">
        <is>
          <t>2026-12-08</t>
        </is>
      </c>
      <c r="L230" s="14" t="inlineStr">
        <is>
          <t>15000.000 KWD</t>
        </is>
      </c>
      <c r="M230" s="14" t="inlineStr">
        <is>
          <t>1000.000 KWD</t>
        </is>
      </c>
      <c r="N230" s="21" t="inlineStr">
        <is>
          <t>NEW</t>
        </is>
      </c>
      <c r="O230" s="14" t="inlineStr">
        <is>
          <t>غير متوافقة مع اختصاصات KBM</t>
        </is>
      </c>
      <c r="P230" s="22">
        <f>HYPERLINK("https://capt.gov.kw/ar/tenders/opening-tenders/#card-8", "عرض المصدر")</f>
        <v/>
      </c>
    </row>
    <row r="231">
      <c r="A231" s="11" t="inlineStr">
        <is>
          <t>3 / 2025-2026</t>
        </is>
      </c>
      <c r="B231" s="11" t="inlineStr">
        <is>
          <t>وزارة المالية</t>
        </is>
      </c>
      <c r="C231" s="11" t="inlineStr">
        <is>
          <t>Eiman Ashkanani</t>
        </is>
      </c>
      <c r="D231" s="11" t="inlineStr">
        <is>
          <t>توفير خدمات الامن والحراسة البشرية لمبنى مجمع الوزارات ومباني المواقف التابعة له</t>
        </is>
      </c>
      <c r="E231" s="11" t="inlineStr">
        <is>
          <t>توفير خدمات الحراسة والأمن والسلامة للمباني والمنشآت وتأمين المداخل وتوفير الكوادر الأمنية المدربة.</t>
        </is>
      </c>
      <c r="F2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1" s="12" t="inlineStr">
        <is>
          <t>عام</t>
        </is>
      </c>
      <c r="H231" s="12" t="inlineStr">
        <is>
          <t>15.0%</t>
        </is>
      </c>
      <c r="I231" s="12" t="inlineStr">
        <is>
          <t>government</t>
        </is>
      </c>
      <c r="J231" s="12" t="inlineStr">
        <is>
          <t>2026-09-27</t>
        </is>
      </c>
      <c r="K231" s="12" t="inlineStr">
        <is>
          <t>2026-12-22</t>
        </is>
      </c>
      <c r="L231" s="12" t="inlineStr">
        <is>
          <t>23000.000 KWD</t>
        </is>
      </c>
      <c r="M231" s="12" t="inlineStr">
        <is>
          <t>1000.000 KWD</t>
        </is>
      </c>
      <c r="N231" s="26" t="inlineStr">
        <is>
          <t>UNCHANGED</t>
        </is>
      </c>
      <c r="O231" s="12" t="inlineStr">
        <is>
          <t>غير متوافقة مع اختصاصات KBM</t>
        </is>
      </c>
      <c r="P231" s="23">
        <f>HYPERLINK("https://capt.gov.kw/ar/tenders/opening-tenders/#card-3", "عرض المصدر")</f>
        <v/>
      </c>
    </row>
    <row r="232">
      <c r="A232" s="13" t="inlineStr">
        <is>
          <t>ب ب هـ / 1/2025/2026</t>
        </is>
      </c>
      <c r="B232" s="13" t="inlineStr">
        <is>
          <t>وزارة المواصلات</t>
        </is>
      </c>
      <c r="C232" s="13" t="inlineStr">
        <is>
          <t>Eiman Ashkanani</t>
        </is>
      </c>
      <c r="D232" s="13" t="inlineStr">
        <is>
          <t>اعمال التنظيف و خدمة مرافق و مكاتب وزارة المواصلات</t>
        </is>
      </c>
      <c r="E232" s="13" t="inlineStr">
        <is>
          <t>توفير خدمات وأعمال النظافة العامة والشاملة للمباني والمرافق وتوفير العمالة والمعدات والمستهلكات اللازمة.</t>
        </is>
      </c>
      <c r="F2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2" s="14" t="inlineStr">
        <is>
          <t>عام</t>
        </is>
      </c>
      <c r="H232" s="14" t="inlineStr">
        <is>
          <t>0.0%</t>
        </is>
      </c>
      <c r="I232" s="14" t="inlineStr">
        <is>
          <t>telecom_and_media</t>
        </is>
      </c>
      <c r="J232" s="14" t="inlineStr">
        <is>
          <t>2026-10-04</t>
        </is>
      </c>
      <c r="K232" s="14" t="inlineStr">
        <is>
          <t>2026-12-29</t>
        </is>
      </c>
      <c r="L232" s="14" t="inlineStr">
        <is>
          <t>45000.000 KWD</t>
        </is>
      </c>
      <c r="M232" s="14" t="inlineStr">
        <is>
          <t>1000.000 KWD</t>
        </is>
      </c>
      <c r="N232" s="21" t="inlineStr">
        <is>
          <t>NEW</t>
        </is>
      </c>
      <c r="O232" s="14" t="inlineStr">
        <is>
          <t>غير متوافقة مع اختصاصات KBM</t>
        </is>
      </c>
      <c r="P232" s="22">
        <f>HYPERLINK("https://capt.gov.kw/ar/tenders/opening-tenders/#card-1", "عرض المصدر")</f>
        <v/>
      </c>
    </row>
  </sheetData>
  <autoFilter ref="A1:P23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7"/>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43" customWidth="1" min="3" max="3"/>
    <col width="43" customWidth="1" min="4" max="4"/>
    <col width="17" customWidth="1" min="5" max="5"/>
    <col width="13" customWidth="1" min="6" max="6"/>
    <col width="45" customWidth="1" min="7" max="7"/>
    <col width="45" customWidth="1" min="8" max="8"/>
    <col width="15" customWidth="1" min="9" max="9"/>
  </cols>
  <sheetData>
    <row r="1">
      <c r="A1" s="27" t="inlineStr">
        <is>
          <t>رقم المناقصة</t>
        </is>
      </c>
      <c r="B1" s="27" t="inlineStr">
        <is>
          <t>البوابة</t>
        </is>
      </c>
      <c r="C1" s="27" t="inlineStr">
        <is>
          <t>الاسم الخام للجهة</t>
        </is>
      </c>
      <c r="D1" s="27" t="inlineStr">
        <is>
          <t>الجهة المقترحة</t>
        </is>
      </c>
      <c r="E1" s="27" t="inlineStr">
        <is>
          <t>القطاع المقترح</t>
        </is>
      </c>
      <c r="F1" s="27" t="inlineStr">
        <is>
          <t>درجة الثقة</t>
        </is>
      </c>
      <c r="G1" s="27" t="inlineStr">
        <is>
          <t>أسباب التحويل للمراجعة</t>
        </is>
      </c>
      <c r="H1" s="27" t="inlineStr">
        <is>
          <t>موضوع المناقصة</t>
        </is>
      </c>
      <c r="I1" s="27" t="inlineStr">
        <is>
          <t>رابط الإعلان</t>
        </is>
      </c>
    </row>
    <row r="2">
      <c r="A2" s="13" t="inlineStr">
        <is>
          <t>RFQ/2167075</t>
        </is>
      </c>
      <c r="B2" s="14" t="inlineStr">
        <is>
          <t>kuwait_alyawm</t>
        </is>
      </c>
      <c r="C2" s="13" t="inlineStr">
        <is>
          <t>شركة نفط الكويت</t>
        </is>
      </c>
      <c r="D2" s="13" t="inlineStr">
        <is>
          <t>شركة البترول الوطنية الكويتية</t>
        </is>
      </c>
      <c r="E2" s="14" t="inlineStr">
        <is>
          <t>oil_and_gas</t>
        </is>
      </c>
      <c r="F2" s="28" t="inlineStr">
        <is>
          <t>100%</t>
        </is>
      </c>
      <c r="G2" s="29" t="inlineStr">
        <is>
          <t>UNCERTAIN_DUPLICATE: High title similarity (96.15384615384616%) across portals</t>
        </is>
      </c>
      <c r="H2" s="13" t="inlineStr">
        <is>
          <t>ممارسة رقم RFQ/2167075: توريد مواد ومهمات تشغيلية لزوم شركة البترول الوطنية الكويتية - شركة البترول الوطنية الكويتية</t>
        </is>
      </c>
      <c r="I2" s="14">
        <f>HYPERLINK("https://kuwaitalyawm.media.gov.kw/flip/index?id=5599&amp;no=228", "عرض الإعلان")</f>
        <v/>
      </c>
    </row>
    <row r="3">
      <c r="A3" s="11" t="inlineStr">
        <is>
          <t>2027/2026/25</t>
        </is>
      </c>
      <c r="B3" s="12" t="inlineStr">
        <is>
          <t>kuwait_alyawm</t>
        </is>
      </c>
      <c r="C3" s="11" t="inlineStr">
        <is>
          <t>وزارة الأوقاف والشؤون الإسلامية</t>
        </is>
      </c>
      <c r="D3" s="11" t="inlineStr">
        <is>
          <t>وزارة الأوقاف والشؤون الإسلامية</t>
        </is>
      </c>
      <c r="E3" s="12" t="inlineStr">
        <is>
          <t>government</t>
        </is>
      </c>
      <c r="F3" s="30" t="inlineStr">
        <is>
          <t>0%</t>
        </is>
      </c>
      <c r="G3" s="31" t="inlineStr">
        <is>
          <t>MISSING_CLIENT_NAME</t>
        </is>
      </c>
      <c r="H3" s="11" t="inlineStr">
        <is>
          <t>ممارسة رقم 2027/2026/25: أعمال النظافة الخاصة بالمباني والمراكز التابعة لإدارتي الدراسات وعلوم القرآن الكريم بمحافظتي الأحمدي ومبارك الكبير</t>
        </is>
      </c>
      <c r="I3" s="12">
        <f>HYPERLINK("https://kuwaitalyawm.media.gov.kw/flip/index?id=5600&amp;no=81", "عرض الإعلان")</f>
        <v/>
      </c>
    </row>
    <row r="4">
      <c r="A4" s="13" t="inlineStr">
        <is>
          <t>و ك م /41/2024/2025</t>
        </is>
      </c>
      <c r="B4" s="14" t="inlineStr">
        <is>
          <t>capt</t>
        </is>
      </c>
      <c r="C4" s="13" t="inlineStr">
        <is>
          <t>وزارة الكهرباء والماء والطاقة المتجددة</t>
        </is>
      </c>
      <c r="D4" s="13" t="inlineStr">
        <is>
          <t>وزارة الكهرباء والماء والطاقة المتجددة</t>
        </is>
      </c>
      <c r="E4" s="14" t="inlineStr">
        <is>
          <t>oil_and_gas</t>
        </is>
      </c>
      <c r="F4" s="28" t="inlineStr">
        <is>
          <t>100%</t>
        </is>
      </c>
      <c r="G4" s="29" t="inlineStr">
        <is>
          <t>UNCERTAIN_DUPLICATE: High title similarity (96.13733905579399%) across portals</t>
        </is>
      </c>
      <c r="H4" s="13" t="inlineStr">
        <is>
          <t>أعمال توريد وتركيب وصيانة خطوط هوائية ضغط متوسط 11 ك.ف وضغط منخفض والأعمال المدنية المتعلقة بهما في ( المنطقة الجنوبية )</t>
        </is>
      </c>
      <c r="I4" s="14">
        <f>HYPERLINK("https://capt.gov.kw/ar/tenders/opening-tenders/#card-7", "عرض الإعلان")</f>
        <v/>
      </c>
    </row>
    <row r="5">
      <c r="A5" s="11" t="inlineStr">
        <is>
          <t>و ك م /39/2024/2025</t>
        </is>
      </c>
      <c r="B5" s="12" t="inlineStr">
        <is>
          <t>capt</t>
        </is>
      </c>
      <c r="C5" s="11" t="inlineStr">
        <is>
          <t>وزارة الكهرباء والماء والطاقة المتجددة</t>
        </is>
      </c>
      <c r="D5" s="11" t="inlineStr">
        <is>
          <t>وزارة الكهرباء والماء والطاقة المتجددة</t>
        </is>
      </c>
      <c r="E5" s="12" t="inlineStr">
        <is>
          <t>oil_and_gas</t>
        </is>
      </c>
      <c r="F5" s="30" t="inlineStr">
        <is>
          <t>100%</t>
        </is>
      </c>
      <c r="G5" s="31" t="inlineStr">
        <is>
          <t>UNCERTAIN_DUPLICATE: High title similarity (96.1038961038961%) across portals</t>
        </is>
      </c>
      <c r="H5" s="11" t="inlineStr">
        <is>
          <t>اعمال توريد وتركيب وصيانة خطوط هوائية ضغط متوسط 11 ك.ف وضغط منخفض و الأعمال المدنية المتعلقة بهما في ( المنطقة الشمالية )</t>
        </is>
      </c>
      <c r="I5" s="12">
        <f>HYPERLINK("https://capt.gov.kw/ar/tenders/opening-tenders/#card-6", "عرض الإعلان")</f>
        <v/>
      </c>
    </row>
    <row r="6">
      <c r="A6" s="13" t="inlineStr">
        <is>
          <t>و ك م /14/2024/2025</t>
        </is>
      </c>
      <c r="B6" s="14" t="inlineStr">
        <is>
          <t>capt</t>
        </is>
      </c>
      <c r="C6" s="13" t="inlineStr">
        <is>
          <t>وزارة الكهرباء والماء والطاقة المتجددة</t>
        </is>
      </c>
      <c r="D6" s="13" t="inlineStr">
        <is>
          <t>وزارة الكهرباء والماء والطاقة المتجددة</t>
        </is>
      </c>
      <c r="E6" s="14" t="inlineStr">
        <is>
          <t>oil_and_gas</t>
        </is>
      </c>
      <c r="F6" s="28" t="inlineStr">
        <is>
          <t>100%</t>
        </is>
      </c>
      <c r="G6" s="29" t="inlineStr">
        <is>
          <t>UNCERTAIN_DUPLICATE: High title similarity (90.0%) across portals</t>
        </is>
      </c>
      <c r="H6" s="13" t="inlineStr">
        <is>
          <t>اعمال توريد وتركيب وصيانه خطوط هوائيه ضغط متوسط 11 ك.ف وضغط منخفض والاعمال المدنيه المتعلقه بهما في (المنطقه الوسطى)</t>
        </is>
      </c>
      <c r="I6" s="14">
        <f>HYPERLINK("https://capt.gov.kw/ar/tenders/opening-tenders/#card-5", "عرض الإعلان")</f>
        <v/>
      </c>
    </row>
    <row r="7">
      <c r="A7" s="11" t="inlineStr">
        <is>
          <t>2/2025/2026</t>
        </is>
      </c>
      <c r="B7" s="12" t="inlineStr">
        <is>
          <t>capt</t>
        </is>
      </c>
      <c r="C7" s="11" t="inlineStr">
        <is>
          <t>وزارة الشئون الإجتماعية</t>
        </is>
      </c>
      <c r="D7" s="11" t="inlineStr">
        <is>
          <t>وزارة الشئون الاجتماعية</t>
        </is>
      </c>
      <c r="E7" s="12" t="inlineStr">
        <is>
          <t>government</t>
        </is>
      </c>
      <c r="F7" s="30" t="inlineStr">
        <is>
          <t>100%</t>
        </is>
      </c>
      <c r="G7" s="31" t="inlineStr">
        <is>
          <t>UNCERTAIN_DUPLICATE: High title similarity (100.0%) across portals</t>
        </is>
      </c>
      <c r="H7" s="11" t="inlineStr">
        <is>
          <t>أعمال توريد الحفاظات لكبار السن المقيدين في وزارة الشئون الإجتماعية</t>
        </is>
      </c>
      <c r="I7" s="12">
        <f>HYPERLINK("https://capt.gov.kw/ar/tenders/opening-tenders/#card-7", "عرض الإعلان")</f>
        <v/>
      </c>
    </row>
    <row r="8">
      <c r="A8" s="13" t="inlineStr">
        <is>
          <t>RFQ/1062690</t>
        </is>
      </c>
      <c r="B8" s="14" t="inlineStr">
        <is>
          <t>kuwait_alyawm</t>
        </is>
      </c>
      <c r="C8" s="13" t="inlineStr">
        <is>
          <t>شركة البترول الوطنية الكويتية</t>
        </is>
      </c>
      <c r="D8" s="13" t="inlineStr">
        <is>
          <t>شركة البترول الوطنية الكويتية</t>
        </is>
      </c>
      <c r="E8" s="14" t="inlineStr">
        <is>
          <t>oil_and_gas</t>
        </is>
      </c>
      <c r="F8" s="28" t="inlineStr">
        <is>
          <t>100%</t>
        </is>
      </c>
      <c r="G8" s="29" t="inlineStr">
        <is>
          <t>UNCERTAIN_DUPLICATE: High title similarity (96.15384615384616%) across portals</t>
        </is>
      </c>
      <c r="H8" s="13" t="inlineStr">
        <is>
          <t>ممارسة رقم RFQ/1062690: توريد مواد ومهمات تشغيلية لزوم شركة البترول الوطنية الكويتية - شركة البترول الوطنية الكويتية</t>
        </is>
      </c>
      <c r="I8" s="14">
        <f>HYPERLINK("https://kuwaitalyawm.media.gov.kw/flip/index?id=5599&amp;no=223", "عرض الإعلان")</f>
        <v/>
      </c>
    </row>
    <row r="9">
      <c r="A9" s="11" t="inlineStr">
        <is>
          <t>RFQ/1063968</t>
        </is>
      </c>
      <c r="B9" s="12" t="inlineStr">
        <is>
          <t>kuwait_alyawm</t>
        </is>
      </c>
      <c r="C9" s="11" t="inlineStr">
        <is>
          <t>شركة البترول الوطنية الكويتية</t>
        </is>
      </c>
      <c r="D9" s="11" t="inlineStr">
        <is>
          <t>شركة البترول الوطنية الكويتية</t>
        </is>
      </c>
      <c r="E9" s="12" t="inlineStr">
        <is>
          <t>oil_and_gas</t>
        </is>
      </c>
      <c r="F9" s="30" t="inlineStr">
        <is>
          <t>100%</t>
        </is>
      </c>
      <c r="G9" s="31" t="inlineStr">
        <is>
          <t>UNCERTAIN_DUPLICATE: High title similarity (100.0%) across portals</t>
        </is>
      </c>
      <c r="H9" s="11" t="inlineStr">
        <is>
          <t>ممارسة رقم RFQ/1063968: توريد مواد ومهمات تشغيلية لزوم شركة البترول الوطنية الكويتية - شركة البترول الوطنية الكويتية</t>
        </is>
      </c>
      <c r="I9" s="12">
        <f>HYPERLINK("https://kuwaitalyawm.media.gov.kw/flip/index?id=5599&amp;no=224", "عرض الإعلان")</f>
        <v/>
      </c>
    </row>
    <row r="10">
      <c r="A10" s="13" t="inlineStr">
        <is>
          <t>RFQ/1063246</t>
        </is>
      </c>
      <c r="B10" s="14" t="inlineStr">
        <is>
          <t>kuwait_alyawm</t>
        </is>
      </c>
      <c r="C10" s="13" t="inlineStr">
        <is>
          <t>شركة البترول الوطنية الكويتية</t>
        </is>
      </c>
      <c r="D10" s="13" t="inlineStr">
        <is>
          <t>شركة البترول الوطنية الكويتية</t>
        </is>
      </c>
      <c r="E10" s="14" t="inlineStr">
        <is>
          <t>oil_and_gas</t>
        </is>
      </c>
      <c r="F10" s="28" t="inlineStr">
        <is>
          <t>100%</t>
        </is>
      </c>
      <c r="G10" s="29" t="inlineStr">
        <is>
          <t>UNCERTAIN_DUPLICATE: High title similarity (96.15384615384616%) across portals</t>
        </is>
      </c>
      <c r="H10" s="13" t="inlineStr">
        <is>
          <t>ممارسة رقم RFQ/1063246: توريد مواد ومهمات تشغيلية لزوم شركة البترول الوطنية الكويتية - شركة البترول الوطنية الكويتية</t>
        </is>
      </c>
      <c r="I10" s="14">
        <f>HYPERLINK("https://kuwaitalyawm.media.gov.kw/flip/index?id=5599&amp;no=224", "عرض الإعلان")</f>
        <v/>
      </c>
    </row>
    <row r="11">
      <c r="A11" s="11" t="inlineStr">
        <is>
          <t>RFQ/1063799</t>
        </is>
      </c>
      <c r="B11" s="12" t="inlineStr">
        <is>
          <t>kuwait_alyawm</t>
        </is>
      </c>
      <c r="C11" s="11" t="inlineStr">
        <is>
          <t>شركة البترول الوطنية الكويتية</t>
        </is>
      </c>
      <c r="D11" s="11" t="inlineStr">
        <is>
          <t>شركة البترول الوطنية الكويتية</t>
        </is>
      </c>
      <c r="E11" s="12" t="inlineStr">
        <is>
          <t>oil_and_gas</t>
        </is>
      </c>
      <c r="F11" s="30" t="inlineStr">
        <is>
          <t>100%</t>
        </is>
      </c>
      <c r="G11" s="31" t="inlineStr">
        <is>
          <t>UNCERTAIN_DUPLICATE: High title similarity (100.0%) across portals</t>
        </is>
      </c>
      <c r="H11" s="11" t="inlineStr">
        <is>
          <t>ممارسة رقم RFQ/1063799: توريد مواد ومهمات تشغيلية لزوم شركة البترول الوطنية الكويتية - شركة البترول الوطنية الكويتية</t>
        </is>
      </c>
      <c r="I11" s="12">
        <f>HYPERLINK("https://kuwaitalyawm.media.gov.kw/flip/index?id=5599&amp;no=225", "عرض الإعلان")</f>
        <v/>
      </c>
    </row>
    <row r="12">
      <c r="A12" s="13" t="inlineStr">
        <is>
          <t>RFQ/1061616</t>
        </is>
      </c>
      <c r="B12" s="14" t="inlineStr">
        <is>
          <t>kuwait_alyawm</t>
        </is>
      </c>
      <c r="C12" s="13" t="inlineStr">
        <is>
          <t>شركة البترول الوطنية الكويتية</t>
        </is>
      </c>
      <c r="D12" s="13" t="inlineStr">
        <is>
          <t>شركة البترول الوطنية الكويتية</t>
        </is>
      </c>
      <c r="E12" s="14" t="inlineStr">
        <is>
          <t>oil_and_gas</t>
        </is>
      </c>
      <c r="F12" s="28" t="inlineStr">
        <is>
          <t>100%</t>
        </is>
      </c>
      <c r="G12" s="29" t="inlineStr">
        <is>
          <t>UNCERTAIN_DUPLICATE: High title similarity (96.15384615384616%) across portals</t>
        </is>
      </c>
      <c r="H12" s="13" t="inlineStr">
        <is>
          <t>ممارسة رقم RFQ/1061616: إعادة طرح توريد المواد المضافة للوقود (Stability Additive for 0.5% Sulfur IMO Bunker Fuel Oil - MAA) - شركة البترول الوطنية الكويتية</t>
        </is>
      </c>
      <c r="I12" s="14">
        <f>HYPERLINK("https://kuwaitalyawm.media.gov.kw/flip/index?id=5599&amp;no=225", "عرض الإعلان")</f>
        <v/>
      </c>
    </row>
    <row r="13">
      <c r="A13" s="11" t="inlineStr">
        <is>
          <t>RFQ/1063414</t>
        </is>
      </c>
      <c r="B13" s="12" t="inlineStr">
        <is>
          <t>kuwait_alyawm</t>
        </is>
      </c>
      <c r="C13" s="11" t="inlineStr">
        <is>
          <t>شركة البترول الوطنية الكويتية</t>
        </is>
      </c>
      <c r="D13" s="11" t="inlineStr">
        <is>
          <t>شركة البترول الوطنية الكويتية</t>
        </is>
      </c>
      <c r="E13" s="12" t="inlineStr">
        <is>
          <t>oil_and_gas</t>
        </is>
      </c>
      <c r="F13" s="30" t="inlineStr">
        <is>
          <t>100%</t>
        </is>
      </c>
      <c r="G13" s="31" t="inlineStr">
        <is>
          <t>UNCERTAIN_DUPLICATE: High title similarity (96.15384615384616%) across portals</t>
        </is>
      </c>
      <c r="H13" s="11" t="inlineStr">
        <is>
          <t>ممارسة رقم RFQ/1063414: توريد مستلزمات وتجهيزات ميكانيكية وتشغيلية - شركة البترول الوطنية الكويتية</t>
        </is>
      </c>
      <c r="I13" s="12">
        <f>HYPERLINK("https://kuwaitalyawm.media.gov.kw/flip/index?id=5599&amp;no=226", "عرض الإعلان")</f>
        <v/>
      </c>
    </row>
    <row r="14">
      <c r="A14" s="13" t="inlineStr">
        <is>
          <t>P&amp;MAB-04/2025</t>
        </is>
      </c>
      <c r="B14" s="14" t="inlineStr">
        <is>
          <t>kuwait_alyawm</t>
        </is>
      </c>
      <c r="C14" s="13" t="inlineStr">
        <is>
          <t>شركة ناقلات النفط الكويتية</t>
        </is>
      </c>
      <c r="D14" s="13" t="inlineStr">
        <is>
          <t>شركة ناقلات النفط الكويتية</t>
        </is>
      </c>
      <c r="E14" s="14" t="inlineStr">
        <is>
          <t>oil_and_gas</t>
        </is>
      </c>
      <c r="F14" s="28" t="inlineStr">
        <is>
          <t>100%</t>
        </is>
      </c>
      <c r="G14" s="29" t="inlineStr">
        <is>
          <t>UNCERTAIN_DUPLICATE: High title similarity (96.15384615384616%) across portals</t>
        </is>
      </c>
      <c r="H14" s="13" t="inlineStr">
        <is>
          <t>ممارسة رقم P&amp;MAB-04/2025: ممارسة التصميم والإشراف على مشروع أرض مساحتها</t>
        </is>
      </c>
      <c r="I14" s="14">
        <f>HYPERLINK("https://kuwaitalyawm.media.gov.kw/flip/index?id=5599&amp;no=227", "عرض الإعلان")</f>
        <v/>
      </c>
    </row>
    <row r="15">
      <c r="A15" s="11" t="inlineStr">
        <is>
          <t>RFQ/2165292</t>
        </is>
      </c>
      <c r="B15" s="12" t="inlineStr">
        <is>
          <t>kuwait_alyawm</t>
        </is>
      </c>
      <c r="C15" s="11" t="inlineStr">
        <is>
          <t>شركة نفط الكويت</t>
        </is>
      </c>
      <c r="D15" s="11" t="inlineStr">
        <is>
          <t>شركة البترول الوطنية الكويتية</t>
        </is>
      </c>
      <c r="E15" s="12" t="inlineStr">
        <is>
          <t>oil_and_gas</t>
        </is>
      </c>
      <c r="F15" s="30" t="inlineStr">
        <is>
          <t>100%</t>
        </is>
      </c>
      <c r="G15" s="31" t="inlineStr">
        <is>
          <t>UNCERTAIN_DUPLICATE: High title similarity (96.15384615384616%) across portals</t>
        </is>
      </c>
      <c r="H15" s="11" t="inlineStr">
        <is>
          <t>ممارسة رقم RFQ/2165292: توريد مواد ومهمات تشغيلية لزوم شركة البترول الوطنية الكويتية - شركة البترول الوطنية الكويتية</t>
        </is>
      </c>
      <c r="I15" s="12">
        <f>HYPERLINK("https://kuwaitalyawm.media.gov.kw/flip/index?id=5599&amp;no=227", "عرض الإعلان")</f>
        <v/>
      </c>
    </row>
    <row r="16">
      <c r="A16" s="13" t="inlineStr">
        <is>
          <t>RFQ/2167957</t>
        </is>
      </c>
      <c r="B16" s="14" t="inlineStr">
        <is>
          <t>kuwait_alyawm</t>
        </is>
      </c>
      <c r="C16" s="13" t="inlineStr">
        <is>
          <t>شركة نفط الكويت</t>
        </is>
      </c>
      <c r="D16" s="13" t="inlineStr">
        <is>
          <t>شركة البترول الوطنية الكويتية</t>
        </is>
      </c>
      <c r="E16" s="14" t="inlineStr">
        <is>
          <t>oil_and_gas</t>
        </is>
      </c>
      <c r="F16" s="28" t="inlineStr">
        <is>
          <t>100%</t>
        </is>
      </c>
      <c r="G16" s="29" t="inlineStr">
        <is>
          <t>UNCERTAIN_DUPLICATE: High title similarity (96.15384615384616%) across portals</t>
        </is>
      </c>
      <c r="H16" s="13" t="inlineStr">
        <is>
          <t>ممارسة رقم RFQ/2167957: توريد مواد ومهمات تشغيلية لزوم شركة البترول الوطنية الكويتية - شركة البترول الوطنية الكويتية</t>
        </is>
      </c>
      <c r="I16" s="14">
        <f>HYPERLINK("https://kuwaitalyawm.media.gov.kw/flip/index?id=5599&amp;no=227", "عرض الإعلان")</f>
        <v/>
      </c>
    </row>
    <row r="17">
      <c r="A17" s="11" t="inlineStr">
        <is>
          <t>2026/2025/6</t>
        </is>
      </c>
      <c r="B17" s="12" t="inlineStr">
        <is>
          <t>kuwait_alyawm</t>
        </is>
      </c>
      <c r="C17" s="11" t="inlineStr">
        <is>
          <t>الهيئة العامة للاتصالات وتقنية المعلومات</t>
        </is>
      </c>
      <c r="D17" s="11" t="inlineStr">
        <is>
          <t>الهيئة العامة للاتصالات وتقنية المعلومات</t>
        </is>
      </c>
      <c r="E17" s="12" t="inlineStr">
        <is>
          <t>other</t>
        </is>
      </c>
      <c r="F17" s="30" t="inlineStr">
        <is>
          <t>0%</t>
        </is>
      </c>
      <c r="G17" s="31" t="inlineStr">
        <is>
          <t>MISSING_CLIENT_NAME</t>
        </is>
      </c>
      <c r="H17" s="11" t="inlineStr">
        <is>
          <t>مناقصة رقم 2026/2025/6: بشأن مشروع تقديم خدمات النظافة والحراسة والمراسلين</t>
        </is>
      </c>
      <c r="I17" s="12">
        <f>HYPERLINK("https://kuwaitalyawm.media.gov.kw/flip/index?id=5589&amp;no=178", "عرض الإعلان")</f>
        <v/>
      </c>
    </row>
    <row r="18">
      <c r="A18" s="13" t="inlineStr">
        <is>
          <t>RFP/2159728</t>
        </is>
      </c>
      <c r="B18" s="14" t="inlineStr">
        <is>
          <t>kuwait_alyawm</t>
        </is>
      </c>
      <c r="C18" s="13" t="inlineStr">
        <is>
          <t>شركة نفط الكويت</t>
        </is>
      </c>
      <c r="D18" s="13" t="inlineStr">
        <is>
          <t>شركة البترول الوطنية الكويتية</t>
        </is>
      </c>
      <c r="E18" s="14" t="inlineStr">
        <is>
          <t>oil_and_gas</t>
        </is>
      </c>
      <c r="F18" s="28" t="inlineStr">
        <is>
          <t>0%</t>
        </is>
      </c>
      <c r="G18" s="29" t="inlineStr">
        <is>
          <t>MISSING_CLIENT_NAME; UNCERTAIN_DUPLICATE: High title similarity (89.47368421052632%) across portals</t>
        </is>
      </c>
      <c r="H18" s="13" t="inlineStr">
        <is>
          <t>ممارسة رقم RFP/2159728: توريد مواد ومهمات تشغيلية لزوم شركة البترول الوطنية الكويتية - شركة البترول الوطنية الكويتية</t>
        </is>
      </c>
      <c r="I18" s="14">
        <f>HYPERLINK("https://kuwaitalyawm.media.gov.kw/flip/index?id=5599&amp;no=238", "عرض الإعلان")</f>
        <v/>
      </c>
    </row>
    <row r="19">
      <c r="A19" s="11" t="inlineStr">
        <is>
          <t>RFQ/2162141</t>
        </is>
      </c>
      <c r="B19" s="12" t="inlineStr">
        <is>
          <t>kuwait_alyawm</t>
        </is>
      </c>
      <c r="C19" s="11" t="inlineStr">
        <is>
          <t>شركة نفط الكويت</t>
        </is>
      </c>
      <c r="D19" s="11" t="inlineStr">
        <is>
          <t>شركة البترول الوطنية الكويتية</t>
        </is>
      </c>
      <c r="E19" s="12" t="inlineStr">
        <is>
          <t>oil_and_gas</t>
        </is>
      </c>
      <c r="F19" s="30" t="inlineStr">
        <is>
          <t>0%</t>
        </is>
      </c>
      <c r="G19" s="31" t="inlineStr">
        <is>
          <t>MISSING_CLIENT_NAME; UNCERTAIN_DUPLICATE: High title similarity (92.10526315789474%) across portals</t>
        </is>
      </c>
      <c r="H19" s="11" t="inlineStr">
        <is>
          <t>ممارسة رقم RFQ/2162141: توريد مواد ومهمات تشغيلية لزوم شركة البترول الوطنية الكويتية - شركة البترول الوطنية الكويتية</t>
        </is>
      </c>
      <c r="I19" s="12">
        <f>HYPERLINK("https://kuwaitalyawm.media.gov.kw/flip/index?id=5599&amp;no=232", "عرض الإعلان")</f>
        <v/>
      </c>
    </row>
    <row r="20">
      <c r="A20" s="13" t="inlineStr">
        <is>
          <t>RFQ/2162882</t>
        </is>
      </c>
      <c r="B20" s="14" t="inlineStr">
        <is>
          <t>kuwait_alyawm</t>
        </is>
      </c>
      <c r="C20" s="13" t="inlineStr">
        <is>
          <t>شركة نفط الكويت</t>
        </is>
      </c>
      <c r="D20" s="13" t="inlineStr">
        <is>
          <t>شركة البترول الوطنية الكويتية</t>
        </is>
      </c>
      <c r="E20" s="14" t="inlineStr">
        <is>
          <t>oil_and_gas</t>
        </is>
      </c>
      <c r="F20" s="28" t="inlineStr">
        <is>
          <t>0%</t>
        </is>
      </c>
      <c r="G20" s="29" t="inlineStr">
        <is>
          <t>MISSING_CLIENT_NAME; UNCERTAIN_DUPLICATE: High title similarity (89.47368421052632%) across portals</t>
        </is>
      </c>
      <c r="H20" s="13" t="inlineStr">
        <is>
          <t>ممارسة رقم RFQ/2162882: توريد مواد ومهمات تشغيلية لزوم شركة البترول الوطنية الكويتية - شركة البترول الوطنية الكويتية</t>
        </is>
      </c>
      <c r="I20" s="14">
        <f>HYPERLINK("https://kuwaitalyawm.media.gov.kw/flip/index?id=5599&amp;no=232", "عرض الإعلان")</f>
        <v/>
      </c>
    </row>
    <row r="21">
      <c r="A21" s="11" t="inlineStr">
        <is>
          <t>RFQ/2164961</t>
        </is>
      </c>
      <c r="B21" s="12" t="inlineStr">
        <is>
          <t>kuwait_alyawm</t>
        </is>
      </c>
      <c r="C21" s="11" t="inlineStr">
        <is>
          <t>شركة نفط الكويت</t>
        </is>
      </c>
      <c r="D21" s="11" t="inlineStr">
        <is>
          <t>شركة البترول الوطنية الكويتية</t>
        </is>
      </c>
      <c r="E21" s="12" t="inlineStr">
        <is>
          <t>oil_and_gas</t>
        </is>
      </c>
      <c r="F21" s="30" t="inlineStr">
        <is>
          <t>0%</t>
        </is>
      </c>
      <c r="G21" s="31" t="inlineStr">
        <is>
          <t>MISSING_CLIENT_NAME; UNCERTAIN_DUPLICATE: High title similarity (89.47368421052632%) across portals</t>
        </is>
      </c>
      <c r="H21" s="11" t="inlineStr">
        <is>
          <t>ممارسة رقم RFQ/2164961: توريد مواد ومهمات تشغيلية لزوم شركة البترول الوطنية الكويتية - شركة البترول الوطنية الكويتية</t>
        </is>
      </c>
      <c r="I21" s="12">
        <f>HYPERLINK("https://kuwaitalyawm.media.gov.kw/flip/index?id=5599&amp;no=232", "عرض الإعلان")</f>
        <v/>
      </c>
    </row>
    <row r="22">
      <c r="A22" s="13" t="inlineStr">
        <is>
          <t>RFQ/2167837</t>
        </is>
      </c>
      <c r="B22" s="14" t="inlineStr">
        <is>
          <t>kuwait_alyawm</t>
        </is>
      </c>
      <c r="C22" s="13" t="inlineStr">
        <is>
          <t>شركة نفط الكويت</t>
        </is>
      </c>
      <c r="D22" s="13" t="inlineStr">
        <is>
          <t>شركة البترول الوطنية الكويتية</t>
        </is>
      </c>
      <c r="E22" s="14" t="inlineStr">
        <is>
          <t>oil_and_gas</t>
        </is>
      </c>
      <c r="F22" s="28" t="inlineStr">
        <is>
          <t>0%</t>
        </is>
      </c>
      <c r="G22" s="29" t="inlineStr">
        <is>
          <t>MISSING_CLIENT_NAME; UNCERTAIN_DUPLICATE: High title similarity (89.47368421052632%) across portals</t>
        </is>
      </c>
      <c r="H22" s="13" t="inlineStr">
        <is>
          <t>ممارسة رقم RFQ/2167837: توريد مواد ومهمات تشغيلية لزوم شركة البترول الوطنية الكويتية - شركة البترول الوطنية الكويتية</t>
        </is>
      </c>
      <c r="I22" s="14">
        <f>HYPERLINK("https://kuwaitalyawm.media.gov.kw/flip/index?id=5599&amp;no=233", "عرض الإعلان")</f>
        <v/>
      </c>
    </row>
    <row r="23">
      <c r="A23" s="11" t="inlineStr">
        <is>
          <t>RFP/2158821</t>
        </is>
      </c>
      <c r="B23" s="12" t="inlineStr">
        <is>
          <t>kuwait_alyawm</t>
        </is>
      </c>
      <c r="C23" s="11" t="inlineStr">
        <is>
          <t>شركة نفط الكويت</t>
        </is>
      </c>
      <c r="D23" s="11" t="inlineStr">
        <is>
          <t>شركة البترول الوطنية الكويتية</t>
        </is>
      </c>
      <c r="E23" s="12" t="inlineStr">
        <is>
          <t>oil_and_gas</t>
        </is>
      </c>
      <c r="F23" s="30" t="inlineStr">
        <is>
          <t>0%</t>
        </is>
      </c>
      <c r="G23" s="31" t="inlineStr">
        <is>
          <t>MISSING_CLIENT_NAME; UNCERTAIN_DUPLICATE: High title similarity (92.10526315789474%) across portals</t>
        </is>
      </c>
      <c r="H23" s="11" t="inlineStr">
        <is>
          <t>ممارسة رقم RFP/2158821: توريد مواد ومهمات تشغيلية لزوم شركة البترول الوطنية الكويتية - شركة البترول الوطنية الكويتية</t>
        </is>
      </c>
      <c r="I23" s="12">
        <f>HYPERLINK("https://kuwaitalyawm.media.gov.kw/flip/index?id=5599&amp;no=234", "عرض الإعلان")</f>
        <v/>
      </c>
    </row>
    <row r="24">
      <c r="A24" s="13" t="inlineStr">
        <is>
          <t>RFP/2162144</t>
        </is>
      </c>
      <c r="B24" s="14" t="inlineStr">
        <is>
          <t>kuwait_alyawm</t>
        </is>
      </c>
      <c r="C24" s="13" t="inlineStr">
        <is>
          <t>شركة نفط الكويت</t>
        </is>
      </c>
      <c r="D24" s="13" t="inlineStr">
        <is>
          <t>شركة البترول الوطنية الكويتية</t>
        </is>
      </c>
      <c r="E24" s="14" t="inlineStr">
        <is>
          <t>oil_and_gas</t>
        </is>
      </c>
      <c r="F24" s="28" t="inlineStr">
        <is>
          <t>0%</t>
        </is>
      </c>
      <c r="G24" s="29" t="inlineStr">
        <is>
          <t>MISSING_CLIENT_NAME; UNCERTAIN_DUPLICATE: High title similarity (89.47368421052632%) across portals</t>
        </is>
      </c>
      <c r="H24" s="13" t="inlineStr">
        <is>
          <t>ممارسة رقم RFP/2162144: توريد مواد ومهمات تشغيلية لزوم شركة البترول الوطنية الكويتية - شركة البترول الوطنية الكويتية</t>
        </is>
      </c>
      <c r="I24" s="14">
        <f>HYPERLINK("https://kuwaitalyawm.media.gov.kw/flip/index?id=5599&amp;no=234", "عرض الإعلان")</f>
        <v/>
      </c>
    </row>
    <row r="25">
      <c r="A25" s="11" t="inlineStr">
        <is>
          <t>RFP/2163368</t>
        </is>
      </c>
      <c r="B25" s="12" t="inlineStr">
        <is>
          <t>kuwait_alyawm</t>
        </is>
      </c>
      <c r="C25" s="11" t="inlineStr">
        <is>
          <t>شركة نفط الكويت</t>
        </is>
      </c>
      <c r="D25" s="11" t="inlineStr">
        <is>
          <t>شركة البترول الوطنية الكويتية</t>
        </is>
      </c>
      <c r="E25" s="12" t="inlineStr">
        <is>
          <t>oil_and_gas</t>
        </is>
      </c>
      <c r="F25" s="30" t="inlineStr">
        <is>
          <t>0%</t>
        </is>
      </c>
      <c r="G25" s="31" t="inlineStr">
        <is>
          <t>MISSING_CLIENT_NAME; UNCERTAIN_DUPLICATE: High title similarity (89.47368421052632%) across portals</t>
        </is>
      </c>
      <c r="H25" s="11" t="inlineStr">
        <is>
          <t>ممارسة رقم RFP/2163368: توريد مواد ومهمات تشغيلية لزوم شركة البترول الوطنية الكويتية - شركة البترول الوطنية الكويتية</t>
        </is>
      </c>
      <c r="I25" s="12">
        <f>HYPERLINK("https://kuwaitalyawm.media.gov.kw/flip/index?id=5589&amp;no=190", "عرض الإعلان")</f>
        <v/>
      </c>
    </row>
    <row r="26">
      <c r="A26" s="13" t="inlineStr">
        <is>
          <t>RFP/2163398</t>
        </is>
      </c>
      <c r="B26" s="14" t="inlineStr">
        <is>
          <t>kuwait_alyawm</t>
        </is>
      </c>
      <c r="C26" s="13" t="inlineStr">
        <is>
          <t>شركة نفط الكويت</t>
        </is>
      </c>
      <c r="D26" s="13" t="inlineStr">
        <is>
          <t>شركة البترول الوطنية الكويتية</t>
        </is>
      </c>
      <c r="E26" s="14" t="inlineStr">
        <is>
          <t>oil_and_gas</t>
        </is>
      </c>
      <c r="F26" s="28" t="inlineStr">
        <is>
          <t>0%</t>
        </is>
      </c>
      <c r="G26" s="29" t="inlineStr">
        <is>
          <t>MISSING_CLIENT_NAME; UNCERTAIN_DUPLICATE: High title similarity (92.10526315789474%) across portals</t>
        </is>
      </c>
      <c r="H26" s="13" t="inlineStr">
        <is>
          <t>ممارسة رقم RFP/2163398: توريد مواد ومهمات تشغيلية لزوم شركة البترول الوطنية الكويتية - شركة البترول الوطنية الكويتية</t>
        </is>
      </c>
      <c r="I26" s="14">
        <f>HYPERLINK("https://kuwaitalyawm.media.gov.kw/flip/index?id=5599&amp;no=236", "عرض الإعلان")</f>
        <v/>
      </c>
    </row>
    <row r="27">
      <c r="A27" s="11" t="inlineStr">
        <is>
          <t>RFP/2165997</t>
        </is>
      </c>
      <c r="B27" s="12" t="inlineStr">
        <is>
          <t>kuwait_alyawm</t>
        </is>
      </c>
      <c r="C27" s="11" t="inlineStr">
        <is>
          <t>شركة نفط الكويت</t>
        </is>
      </c>
      <c r="D27" s="11" t="inlineStr">
        <is>
          <t>شركة البترول الوطنية الكويتية</t>
        </is>
      </c>
      <c r="E27" s="12" t="inlineStr">
        <is>
          <t>oil_and_gas</t>
        </is>
      </c>
      <c r="F27" s="30" t="inlineStr">
        <is>
          <t>0%</t>
        </is>
      </c>
      <c r="G27" s="31" t="inlineStr">
        <is>
          <t>MISSING_CLIENT_NAME; UNCERTAIN_DUPLICATE: High title similarity (94.73684210526315%) across portals</t>
        </is>
      </c>
      <c r="H27" s="11" t="inlineStr">
        <is>
          <t>ممارسة رقم RFP/2165997: توريد مواد ومهمات تشغيلية لزوم شركة البترول الوطنية الكويتية - شركة البترول الوطنية الكويتية</t>
        </is>
      </c>
      <c r="I27" s="12">
        <f>HYPERLINK("https://kuwaitalyawm.media.gov.kw/flip/index?id=5599&amp;no=238", "عرض الإعلان")</f>
        <v/>
      </c>
    </row>
  </sheetData>
  <autoFilter ref="A1:I2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4" customWidth="1" min="4" max="4"/>
    <col width="45" customWidth="1" min="5" max="5"/>
  </cols>
  <sheetData>
    <row r="1">
      <c r="A1" s="10" t="inlineStr">
        <is>
          <t>وقت التشغيل</t>
        </is>
      </c>
      <c r="B1" s="10" t="inlineStr">
        <is>
          <t>البوابة</t>
        </is>
      </c>
      <c r="C1" s="10" t="inlineStr">
        <is>
          <t>الحالة</t>
        </is>
      </c>
      <c r="D1" s="10" t="inlineStr">
        <is>
          <t>عدد المناقصات المجمعة</t>
        </is>
      </c>
      <c r="E1" s="10" t="inlineStr">
        <is>
          <t>الرسائل / الأخطاء التشخيصية</t>
        </is>
      </c>
    </row>
    <row r="2">
      <c r="A2" s="32" t="inlineStr">
        <is>
          <t>2026-10-05 03:36:54</t>
        </is>
      </c>
      <c r="B2" s="32" t="inlineStr">
        <is>
          <t>CAPT</t>
        </is>
      </c>
      <c r="C2" s="32" t="inlineStr">
        <is>
          <t>SUCCESS</t>
        </is>
      </c>
      <c r="D2" s="32" t="n">
        <v>207</v>
      </c>
      <c r="E2" s="33" t="inlineStr">
        <is>
          <t>Scraped opening-tenders cleanly. Zero bot challenges encountered.</t>
        </is>
      </c>
    </row>
    <row r="3">
      <c r="A3" s="32" t="inlineStr">
        <is>
          <t>2026-10-05 03:36:54</t>
        </is>
      </c>
      <c r="B3" s="32" t="inlineStr">
        <is>
          <t>KUWAIT_ALYAWM</t>
        </is>
      </c>
      <c r="C3" s="32" t="inlineStr">
        <is>
          <t>SUCCESS</t>
        </is>
      </c>
      <c r="D3" s="32" t="n">
        <v>23</v>
      </c>
      <c r="E3" s="33" t="inlineStr">
        <is>
          <t>Scraped categories 1 &amp; 18. Unsealed notices queued in Needs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2026-10-05T00:36:53Z</dcterms:created>
  <dcterms:modified xmlns:dcterms="http://purl.org/dc/terms/" xmlns:xsi="http://www.w3.org/2001/XMLSchema-instance" xsi:type="dcterms:W3CDTF">2026-10-05T00:36:54Z</dcterms:modified>
</cp:coreProperties>
</file>