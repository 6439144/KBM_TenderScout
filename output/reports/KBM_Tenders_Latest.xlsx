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7" fillId="7" borderId="1" applyAlignment="1" pivotButton="0" quotePrefix="0" xfId="0">
      <alignment horizontal="center"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2026-10-29 11:25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6" t="inlineStr">
        <is>
          <t>2026-10-22</t>
        </is>
      </c>
      <c r="N10" s="16" t="inlineStr">
        <is>
          <t>1000.0 KWD</t>
        </is>
      </c>
      <c r="O10" s="16" t="inlineStr">
        <is>
          <t>-</t>
        </is>
      </c>
      <c r="P10" s="16">
        <f>HYPERLINK("https://kuwaitalyawm.media.gov.kw/Online/ViewAdsHTML?id=171725&amp;no=1", "عرض الإعلان")</f>
        <v/>
      </c>
    </row>
    <row r="11">
      <c r="A11" s="18" t="inlineStr">
        <is>
          <t>2027/2026/8</t>
        </is>
      </c>
      <c r="B11" s="19" t="inlineStr">
        <is>
          <t>الإدارة العامة للإطفاء</t>
        </is>
      </c>
      <c r="C11" s="19" t="inlineStr">
        <is>
          <t>Eiman Ashkanani</t>
        </is>
      </c>
      <c r="D11" s="19" t="inlineStr">
        <is>
          <t>ممارسة رقم 2027/2026/8: بشأن شراء وتجديد حزمة برامج Manage engine</t>
        </is>
      </c>
      <c r="E11" s="19"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8" t="inlineStr">
        <is>
          <t>قطاع برمجيات IBM وحلول الذكاء الاصطناعي وRed Hat</t>
        </is>
      </c>
      <c r="G11" s="18" t="inlineStr">
        <is>
          <t>68.0%</t>
        </is>
      </c>
      <c r="H11" s="18" t="inlineStr">
        <is>
          <t>فرصة ICT متوافقة مع قدرات KBM</t>
        </is>
      </c>
      <c r="I11" s="18" t="inlineStr">
        <is>
          <t>-</t>
        </is>
      </c>
      <c r="J11" s="19" t="inlineStr">
        <is>
          <t>Aligned with IBM BU - Solutions &amp; Channel (1 capability matches) | Core ICT Scope in Tender Title | Strategic KBM Account Relationship</t>
        </is>
      </c>
      <c r="K1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8" t="inlineStr">
        <is>
          <t>2026-09-27</t>
        </is>
      </c>
      <c r="M11" s="18" t="inlineStr">
        <is>
          <t>-</t>
        </is>
      </c>
      <c r="N11" s="18" t="inlineStr">
        <is>
          <t>-</t>
        </is>
      </c>
      <c r="O11" s="18" t="inlineStr">
        <is>
          <t>75.0 KWD</t>
        </is>
      </c>
      <c r="P11" s="18">
        <f>HYPERLINK("https://kuwaitalyawm.media.gov.kw/Online/ViewAdsHTML?id=171698&amp;no=1", "عرض الإعلان")</f>
        <v/>
      </c>
    </row>
    <row r="12">
      <c r="A12" s="18" t="inlineStr">
        <is>
          <t>هـ ص/ط/337</t>
        </is>
      </c>
      <c r="B12" s="19" t="inlineStr">
        <is>
          <t>وزارة الأشغال العامة</t>
        </is>
      </c>
      <c r="C12" s="19" t="inlineStr">
        <is>
          <t>Eiman Ashkanani</t>
        </is>
      </c>
      <c r="D12" s="19" t="inlineStr">
        <is>
          <t>تشغيل وصيانه محطات ضخ مياه الامطار للانفاق التي تقع على الطرق السريعه</t>
        </is>
      </c>
      <c r="E12" s="19"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8" t="inlineStr">
        <is>
          <t>قطاع العمليات المدارة والدعم الفني متعدد الموردين</t>
        </is>
      </c>
      <c r="G12" s="18" t="inlineStr">
        <is>
          <t>64.0%</t>
        </is>
      </c>
      <c r="H12" s="18" t="inlineStr">
        <is>
          <t>فرصة ICT متوافقة مع قدرات KBM</t>
        </is>
      </c>
      <c r="I12" s="18" t="inlineStr">
        <is>
          <t>-</t>
        </is>
      </c>
      <c r="J12" s="19" t="inlineStr">
        <is>
          <t>Aligned with Services BU (MOPS) (1 capability matches) | Core ICT Scope in Tender Title | Strategic KBM Account Relationship</t>
        </is>
      </c>
      <c r="K1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8" t="inlineStr">
        <is>
          <t>2026-10-11</t>
        </is>
      </c>
      <c r="M12" s="18" t="inlineStr">
        <is>
          <t>2026-11-10</t>
        </is>
      </c>
      <c r="N12" s="18" t="inlineStr">
        <is>
          <t>45000.000 KWD</t>
        </is>
      </c>
      <c r="O12" s="18" t="inlineStr">
        <is>
          <t>1000.000 KWD</t>
        </is>
      </c>
      <c r="P12" s="18">
        <f>HYPERLINK("https://capt.gov.kw/ar/tenders/opening-tenders/#card-4", "عرض الإعلان")</f>
        <v/>
      </c>
    </row>
    <row r="13">
      <c r="A13" s="18" t="inlineStr">
        <is>
          <t>2027/2026/3</t>
        </is>
      </c>
      <c r="B13" s="19" t="inlineStr">
        <is>
          <t>الهيئة العامة للبيئة</t>
        </is>
      </c>
      <c r="C13" s="19" t="inlineStr">
        <is>
          <t>Eiman Ashkanani</t>
        </is>
      </c>
      <c r="D13" s="19" t="inlineStr">
        <is>
          <t>ممارسة رقم 2027/2026/3: توفير خدمات تقنية المعلومات والصيانة والدعم الفني</t>
        </is>
      </c>
      <c r="E13" s="19"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8" t="inlineStr">
        <is>
          <t>قطاع العمليات المدارة والدعم الفني متعدد الموردين</t>
        </is>
      </c>
      <c r="G13" s="18" t="inlineStr">
        <is>
          <t>64.0%</t>
        </is>
      </c>
      <c r="H13" s="18" t="inlineStr">
        <is>
          <t>فرصة ICT متوافقة مع قدرات KBM</t>
        </is>
      </c>
      <c r="I13" s="18" t="inlineStr">
        <is>
          <t>-</t>
        </is>
      </c>
      <c r="J13" s="19" t="inlineStr">
        <is>
          <t>Aligned with Services BU (MOPS) (1 capability matches) | Core ICT Scope in Tender Title | Strategic KBM Account Relationship</t>
        </is>
      </c>
      <c r="K13"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8" t="inlineStr">
        <is>
          <t>2026-09-27</t>
        </is>
      </c>
      <c r="M13" s="18" t="inlineStr">
        <is>
          <t>2026-10-27</t>
        </is>
      </c>
      <c r="N13" s="18" t="inlineStr">
        <is>
          <t>-</t>
        </is>
      </c>
      <c r="O13" s="18" t="inlineStr">
        <is>
          <t>30.0 KWD</t>
        </is>
      </c>
      <c r="P13" s="18">
        <f>HYPERLINK("https://kuwaitalyawm.media.gov.kw/Online/ViewAdsHTML?id=171677&amp;no=1", "عرض الإعلان")</f>
        <v/>
      </c>
    </row>
    <row r="14">
      <c r="A14" s="18" t="inlineStr">
        <is>
          <t>2027/2026/12</t>
        </is>
      </c>
      <c r="B14" s="19" t="inlineStr">
        <is>
          <t>الرئاسة العامة للحرس الوطني</t>
        </is>
      </c>
      <c r="C14" s="19" t="inlineStr">
        <is>
          <t>Eiman Ashkanani</t>
        </is>
      </c>
      <c r="D14" s="19" t="inlineStr">
        <is>
          <t>ممارسة رقم 2027/2026/12: الخاصة بصيانة أجهزة توزيع أحمال الشبكة</t>
        </is>
      </c>
      <c r="E14" s="19"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8" t="inlineStr">
        <is>
          <t>قطاع العمليات المدارة والدعم الفني متعدد الموردين</t>
        </is>
      </c>
      <c r="G14" s="18" t="inlineStr">
        <is>
          <t>64.0%</t>
        </is>
      </c>
      <c r="H14" s="18" t="inlineStr">
        <is>
          <t>فرصة ICT متوافقة مع قدرات KBM</t>
        </is>
      </c>
      <c r="I14" s="18" t="inlineStr">
        <is>
          <t>-</t>
        </is>
      </c>
      <c r="J14" s="19" t="inlineStr">
        <is>
          <t>Aligned with Services BU (MOPS) (1 capability matches) | Core ICT Scope in Tender Title | Strategic KBM Account Relationship</t>
        </is>
      </c>
      <c r="K1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8" t="inlineStr">
        <is>
          <t>2026-09-27</t>
        </is>
      </c>
      <c r="M14" s="18" t="inlineStr">
        <is>
          <t>-</t>
        </is>
      </c>
      <c r="N14" s="18" t="inlineStr">
        <is>
          <t>-</t>
        </is>
      </c>
      <c r="O14" s="18" t="inlineStr">
        <is>
          <t>75.0 KWD</t>
        </is>
      </c>
      <c r="P14" s="18">
        <f>HYPERLINK("https://kuwaitalyawm.media.gov.kw/Online/ViewAdsHTML?id=171707&amp;no=1", "عرض الإعلان")</f>
        <v/>
      </c>
    </row>
    <row r="15">
      <c r="A15" s="18" t="inlineStr">
        <is>
          <t>1042826</t>
        </is>
      </c>
      <c r="B15" s="19" t="inlineStr">
        <is>
          <t>وزارة الدفاع</t>
        </is>
      </c>
      <c r="C15" s="19" t="inlineStr">
        <is>
          <t>Eiman Ashkanani</t>
        </is>
      </c>
      <c r="D15" s="19" t="inlineStr">
        <is>
          <t>مناقصة رقم 1042826: تشغيل وصيانة وإصلاح لمحطات الوقود بمعسكرات</t>
        </is>
      </c>
      <c r="E15" s="19" t="inlineStr">
        <is>
          <t>أعمال وتوريدات تشغيل وصيانة وإصلاح لمحطات الوقود بمعسكرات لصالح وزارة الدفاع وفقاً للشروط والمواصفات المعتمدة في وثائق الطرح.</t>
        </is>
      </c>
      <c r="F15" s="18" t="inlineStr">
        <is>
          <t>قطاع العمليات المدارة والدعم الفني متعدد الموردين</t>
        </is>
      </c>
      <c r="G15" s="18" t="inlineStr">
        <is>
          <t>64.0%</t>
        </is>
      </c>
      <c r="H15" s="18" t="inlineStr">
        <is>
          <t>فرصة ICT متوافقة مع قدرات KBM</t>
        </is>
      </c>
      <c r="I15" s="18" t="inlineStr">
        <is>
          <t>-</t>
        </is>
      </c>
      <c r="J15" s="19" t="inlineStr">
        <is>
          <t>Aligned with Services BU (MOPS) (1 capability matches) | Core ICT Scope in Tender Title | Strategic KBM Account Relationship</t>
        </is>
      </c>
      <c r="K15"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8" t="inlineStr">
        <is>
          <t>2026-08-30</t>
        </is>
      </c>
      <c r="M15" s="18" t="inlineStr">
        <is>
          <t>2026-10-27</t>
        </is>
      </c>
      <c r="N15" s="18" t="inlineStr">
        <is>
          <t>15000.0</t>
        </is>
      </c>
      <c r="O15" s="18" t="inlineStr">
        <is>
          <t>1000.0</t>
        </is>
      </c>
      <c r="P15" s="18">
        <f>HYPERLINK("https://kuwaitalyawm.media.gov.kw/Online/ViewAdsHTML?id=168279&amp;no=1", "عرض الإعلان")</f>
        <v/>
      </c>
    </row>
    <row r="16">
      <c r="A16" s="18" t="inlineStr">
        <is>
          <t>33/32</t>
        </is>
      </c>
      <c r="B16" s="19" t="inlineStr">
        <is>
          <t>وزارة الصحة</t>
        </is>
      </c>
      <c r="C16" s="19" t="inlineStr">
        <is>
          <t>Jana Al-Obaid</t>
        </is>
      </c>
      <c r="D16" s="19" t="inlineStr">
        <is>
          <t>ممارسة رقم 33/32: توريد وتركيب وتشغيل وصيانة نظام كاميرات المراقبة الأمنية بمستشفى الأميري الجديد والقديم والمباني التابعة لها</t>
        </is>
      </c>
      <c r="E16" s="19"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8" t="inlineStr">
        <is>
          <t>قطاع العمليات المدارة والدعم الفني متعدد الموردين</t>
        </is>
      </c>
      <c r="G16" s="18" t="inlineStr">
        <is>
          <t>64.0%</t>
        </is>
      </c>
      <c r="H16" s="18" t="inlineStr">
        <is>
          <t>فرصة ICT متوافقة مع قدرات KBM</t>
        </is>
      </c>
      <c r="I16" s="18" t="inlineStr">
        <is>
          <t>-</t>
        </is>
      </c>
      <c r="J16" s="19" t="inlineStr">
        <is>
          <t>Aligned with Services BU (MOPS) (1 capability matches) | Core ICT Scope in Tender Title | Strategic KBM Account Relationship</t>
        </is>
      </c>
      <c r="K1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8" t="inlineStr">
        <is>
          <t>2026-09-27</t>
        </is>
      </c>
      <c r="M16" s="18" t="inlineStr">
        <is>
          <t>-</t>
        </is>
      </c>
      <c r="N16" s="18" t="inlineStr">
        <is>
          <t>-</t>
        </is>
      </c>
      <c r="O16" s="18" t="inlineStr">
        <is>
          <t>-</t>
        </is>
      </c>
      <c r="P16" s="18">
        <f>HYPERLINK("https://kuwaitalyawm.media.gov.kw/Online/ViewAdsHTML?id=171544&amp;no=1", "عرض الإعلان")</f>
        <v/>
      </c>
    </row>
    <row r="17">
      <c r="A17" s="18" t="inlineStr">
        <is>
          <t>و ك م /48/2025/2026</t>
        </is>
      </c>
      <c r="B17" s="19" t="inlineStr">
        <is>
          <t>وزارة الكهرباء والماء والطاقة المتجددة</t>
        </is>
      </c>
      <c r="C17" s="19" t="inlineStr">
        <is>
          <t>Raed Obeid</t>
        </is>
      </c>
      <c r="D17" s="19" t="inlineStr">
        <is>
          <t>أعمال صيانة أنظمة الإنذار ومكافحة الحريق في محطات الشعيبة لتوليد القوى الكهربائية وتقطير المياه</t>
        </is>
      </c>
      <c r="E17" s="19"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8" t="inlineStr">
        <is>
          <t>قطاع العمليات المدارة والدعم الفني متعدد الموردين</t>
        </is>
      </c>
      <c r="G17" s="18" t="inlineStr">
        <is>
          <t>64.0%</t>
        </is>
      </c>
      <c r="H17" s="18" t="inlineStr">
        <is>
          <t>فرصة ICT متوافقة مع قدرات KBM</t>
        </is>
      </c>
      <c r="I17" s="18" t="inlineStr">
        <is>
          <t>-</t>
        </is>
      </c>
      <c r="J17" s="19" t="inlineStr">
        <is>
          <t>Aligned with Services BU (MOPS) (1 capability matches) | Core ICT Scope in Tender Title | Strategic KBM Account Relationship</t>
        </is>
      </c>
      <c r="K1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8" t="inlineStr">
        <is>
          <t>2026-10-04</t>
        </is>
      </c>
      <c r="M17" s="20" t="inlineStr">
        <is>
          <t>2026-11-03</t>
        </is>
      </c>
      <c r="N17" s="18" t="inlineStr">
        <is>
          <t>23000.000 KWD</t>
        </is>
      </c>
      <c r="O17" s="18" t="inlineStr">
        <is>
          <t>1000.000 KWD</t>
        </is>
      </c>
      <c r="P17" s="18">
        <f>HYPERLINK("https://capt.gov.kw/ar/tenders/opening-tenders/#card-4", "عرض الإعلان")</f>
        <v/>
      </c>
    </row>
    <row r="18">
      <c r="A18" s="18" t="inlineStr">
        <is>
          <t>ص / م خ ع / 11/2025/2026</t>
        </is>
      </c>
      <c r="B18" s="19" t="inlineStr">
        <is>
          <t>وزارة الصحة</t>
        </is>
      </c>
      <c r="C18" s="19" t="inlineStr">
        <is>
          <t>Jana Al-Obaid</t>
        </is>
      </c>
      <c r="D18" s="19" t="inlineStr">
        <is>
          <t>زيادة سعة بدالة مستشفى الاميري الجديد وربط المباني الملحقة بها بنظام اتصالات مركزي موحد</t>
        </is>
      </c>
      <c r="E18" s="19"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8" t="inlineStr">
        <is>
          <t>قطاع العمليات المدارة والدعم الفني متعدد الموردين</t>
        </is>
      </c>
      <c r="G18" s="18" t="inlineStr">
        <is>
          <t>64.0%</t>
        </is>
      </c>
      <c r="H18" s="18" t="inlineStr">
        <is>
          <t>فرصة ICT متوافقة مع قدرات KBM</t>
        </is>
      </c>
      <c r="I18" s="18" t="inlineStr">
        <is>
          <t>-</t>
        </is>
      </c>
      <c r="J18" s="19" t="inlineStr">
        <is>
          <t>Aligned with Services BU (MOPS) (1 capability matches) | Core ICT Scope in Tender Title | Strategic KBM Account Relationship</t>
        </is>
      </c>
      <c r="K1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8" t="inlineStr">
        <is>
          <t>2026-10-04</t>
        </is>
      </c>
      <c r="M18" s="20" t="inlineStr">
        <is>
          <t>2026-11-03</t>
        </is>
      </c>
      <c r="N18" s="18" t="inlineStr">
        <is>
          <t>6000.000 KWD</t>
        </is>
      </c>
      <c r="O18" s="18" t="inlineStr">
        <is>
          <t>300.000 KWD</t>
        </is>
      </c>
      <c r="P18" s="18">
        <f>HYPERLINK("https://capt.gov.kw/ar/tenders/opening-tenders/#card-2", "عرض الإعلان")</f>
        <v/>
      </c>
    </row>
    <row r="19">
      <c r="A19" s="18" t="inlineStr">
        <is>
          <t>و ك م /48/2024/2025</t>
        </is>
      </c>
      <c r="B19" s="19" t="inlineStr">
        <is>
          <t>وزارة الكهرباء والماء والطاقة المتجددة</t>
        </is>
      </c>
      <c r="C19" s="19" t="inlineStr">
        <is>
          <t>Raed Obeid</t>
        </is>
      </c>
      <c r="D19" s="19" t="inlineStr">
        <is>
          <t>توريد كيبلات ألمنيوم ضغط متوسط 11ك.ف، كيبلات نحاس ضغط متوسط 11ك.ف كيبلات قيادية (PILOT) كيبلات ضغط منخفض 1ك.ف لمشاريع شبكات التوزيع الكهربائية 11ك.ف</t>
        </is>
      </c>
      <c r="E19" s="19"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8" t="inlineStr">
        <is>
          <t>قطاع العمليات المدارة والدعم الفني متعدد الموردين</t>
        </is>
      </c>
      <c r="G19" s="18" t="inlineStr">
        <is>
          <t>64.0%</t>
        </is>
      </c>
      <c r="H19" s="18" t="inlineStr">
        <is>
          <t>فرصة ICT متوافقة مع قدرات KBM</t>
        </is>
      </c>
      <c r="I19" s="18" t="inlineStr">
        <is>
          <t>-</t>
        </is>
      </c>
      <c r="J19" s="19" t="inlineStr">
        <is>
          <t>Aligned with Services BU (MOPS) (1 capability matches) | Core ICT Scope in Tender Title | Strategic KBM Account Relationship</t>
        </is>
      </c>
      <c r="K1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8" t="inlineStr">
        <is>
          <t>2026-09-06</t>
        </is>
      </c>
      <c r="M19" s="20" t="inlineStr">
        <is>
          <t>2026-11-01</t>
        </is>
      </c>
      <c r="N19" s="18" t="inlineStr">
        <is>
          <t>0.000 KWD</t>
        </is>
      </c>
      <c r="O19" s="18" t="inlineStr">
        <is>
          <t>500.000 KWD</t>
        </is>
      </c>
      <c r="P19" s="18">
        <f>HYPERLINK("https://capt.gov.kw/ar/tenders/opening-tenders/#card-0", "عرض الإعلان")</f>
        <v/>
      </c>
    </row>
    <row r="20">
      <c r="A20" s="18" t="inlineStr">
        <is>
          <t>ع ت ا م/ ق/ 2/2025</t>
        </is>
      </c>
      <c r="B20" s="19" t="inlineStr">
        <is>
          <t>المؤسسة العامة للتأمينات الاجتماعية</t>
        </is>
      </c>
      <c r="C20" s="19" t="inlineStr">
        <is>
          <t>Jana Al-Obaid</t>
        </is>
      </c>
      <c r="D20" s="19"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19"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8" t="inlineStr">
        <is>
          <t>قطاع العمليات المدارة والدعم الفني متعدد الموردين</t>
        </is>
      </c>
      <c r="G20" s="18" t="inlineStr">
        <is>
          <t>64.0%</t>
        </is>
      </c>
      <c r="H20" s="18" t="inlineStr">
        <is>
          <t>فرصة ICT متوافقة مع قدرات KBM</t>
        </is>
      </c>
      <c r="I20" s="18" t="inlineStr">
        <is>
          <t>-</t>
        </is>
      </c>
      <c r="J20" s="19" t="inlineStr">
        <is>
          <t>Aligned with Services BU (MOPS) (1 capability matches) | Core ICT Scope in Tender Title | Strategic KBM Account Relationship</t>
        </is>
      </c>
      <c r="K20"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8" t="inlineStr">
        <is>
          <t>2026-09-06</t>
        </is>
      </c>
      <c r="M20" s="18" t="inlineStr">
        <is>
          <t>2026-12-01</t>
        </is>
      </c>
      <c r="N20" s="18" t="inlineStr">
        <is>
          <t>3500.000 KWD</t>
        </is>
      </c>
      <c r="O20" s="18" t="inlineStr">
        <is>
          <t>150.000 KWD</t>
        </is>
      </c>
      <c r="P20" s="18">
        <f>HYPERLINK("https://capt.gov.kw/ar/tenders/opening-tenders/#card-7", "عرض الإعلان")</f>
        <v/>
      </c>
    </row>
    <row r="21">
      <c r="A21" s="18" t="inlineStr">
        <is>
          <t>وك م-65/2025/2026</t>
        </is>
      </c>
      <c r="B21" s="19" t="inlineStr">
        <is>
          <t>وزارة الكهرباء والماء والطاقة المتجددة</t>
        </is>
      </c>
      <c r="C21" s="19" t="inlineStr">
        <is>
          <t>Raed Obeid</t>
        </is>
      </c>
      <c r="D21" s="19" t="inlineStr">
        <is>
          <t>توريد وتركيب وتشغيل وصيانة وضمان أعمال التمديدات الكهربائية للأعمال الصغيرة بمحافظات(الفروانية-الجهراء-العاصمة)</t>
        </is>
      </c>
      <c r="E21" s="19"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8" t="inlineStr">
        <is>
          <t>قطاع العمليات المدارة والدعم الفني متعدد الموردين</t>
        </is>
      </c>
      <c r="G21" s="18" t="inlineStr">
        <is>
          <t>64.0%</t>
        </is>
      </c>
      <c r="H21" s="18" t="inlineStr">
        <is>
          <t>فرصة ICT متوافقة مع قدرات KBM</t>
        </is>
      </c>
      <c r="I21" s="18" t="inlineStr">
        <is>
          <t>-</t>
        </is>
      </c>
      <c r="J21" s="19" t="inlineStr">
        <is>
          <t>Aligned with Services BU (MOPS) (1 capability matches) | Core ICT Scope in Tender Title | Strategic KBM Account Relationship</t>
        </is>
      </c>
      <c r="K21"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8" t="inlineStr">
        <is>
          <t>2026-09-20</t>
        </is>
      </c>
      <c r="M21" s="18" t="inlineStr">
        <is>
          <t>2026-12-15</t>
        </is>
      </c>
      <c r="N21" s="18" t="inlineStr">
        <is>
          <t>23000.000 KWD</t>
        </is>
      </c>
      <c r="O21" s="18" t="inlineStr">
        <is>
          <t>1000.000 KWD</t>
        </is>
      </c>
      <c r="P21" s="18">
        <f>HYPERLINK("https://capt.gov.kw/ar/tenders/opening-tenders/#card-6", "عرض الإعلان")</f>
        <v/>
      </c>
    </row>
    <row r="22">
      <c r="A22" s="18" t="inlineStr">
        <is>
          <t>م ع /6/2022/2023</t>
        </is>
      </c>
      <c r="B22" s="19" t="inlineStr">
        <is>
          <t>وزارة التربية</t>
        </is>
      </c>
      <c r="C22" s="19" t="inlineStr">
        <is>
          <t>Eiman Ashkanani</t>
        </is>
      </c>
      <c r="D22" s="19" t="inlineStr">
        <is>
          <t>أعمال  فحص واصلاح وتشغيل وصيانة شبكة الإنذار ومكافحة الحريق لمباني ومدارس تابعة لمنطقة العاصمة التعليمية</t>
        </is>
      </c>
      <c r="E22" s="19"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8" t="inlineStr">
        <is>
          <t>قطاع العمليات المدارة والدعم الفني متعدد الموردين</t>
        </is>
      </c>
      <c r="G22" s="18" t="inlineStr">
        <is>
          <t>64.0%</t>
        </is>
      </c>
      <c r="H22" s="18" t="inlineStr">
        <is>
          <t>فرصة ICT متوافقة مع قدرات KBM</t>
        </is>
      </c>
      <c r="I22" s="18" t="inlineStr">
        <is>
          <t>-</t>
        </is>
      </c>
      <c r="J22" s="19" t="inlineStr">
        <is>
          <t>Aligned with Services BU (MOPS) (1 capability matches) | Core ICT Scope in Tender Title | Strategic KBM Account Relationship</t>
        </is>
      </c>
      <c r="K22"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8" t="inlineStr">
        <is>
          <t>2026-09-27</t>
        </is>
      </c>
      <c r="M22" s="18" t="inlineStr">
        <is>
          <t>2026-12-22</t>
        </is>
      </c>
      <c r="N22" s="18" t="inlineStr">
        <is>
          <t>3500.000 KWD</t>
        </is>
      </c>
      <c r="O22" s="18" t="inlineStr">
        <is>
          <t>150.000 KWD</t>
        </is>
      </c>
      <c r="P22" s="18">
        <f>HYPERLINK("https://capt.gov.kw/ar/tenders/opening-tenders/#card-6", "عرض الإعلان")</f>
        <v/>
      </c>
    </row>
    <row r="23">
      <c r="A23" s="18" t="inlineStr">
        <is>
          <t>72-516</t>
        </is>
      </c>
      <c r="B23" s="19" t="inlineStr">
        <is>
          <t>جامعة الكويت</t>
        </is>
      </c>
      <c r="C23" s="19" t="inlineStr">
        <is>
          <t>Eiman Ashkanani</t>
        </is>
      </c>
      <c r="D23" s="19" t="inlineStr">
        <is>
          <t>ممارسة رقم 72/2026-2027: صيانة أجهزة التعرف على الوجه والأجهزة العلمية بمراكز عمل جامعة الكويت</t>
        </is>
      </c>
      <c r="E23" s="19" t="inlineStr">
        <is>
          <t>صيانة دورية ودعم فني لأجهزة التحقق البيومتري والتعرف على الوجه (Face Recognition Systems) والأجهزة التابعة لها بجامعة الكويت.</t>
        </is>
      </c>
      <c r="F23" s="18" t="inlineStr">
        <is>
          <t>قطاع الأمن السيبراني والدفاع الرقمي</t>
        </is>
      </c>
      <c r="G23" s="18" t="inlineStr">
        <is>
          <t>55.0%</t>
        </is>
      </c>
      <c r="H23" s="18" t="inlineStr">
        <is>
          <t>فرصة محتملة</t>
        </is>
      </c>
      <c r="I23" s="18" t="inlineStr">
        <is>
          <t>-</t>
        </is>
      </c>
      <c r="J23" s="19" t="inlineStr">
        <is>
          <t>تطابق مع قطاع النظم الأمنية وأجهزة التحقق البيومتري والعمليات المدارة (Security BU / MOPS).</t>
        </is>
      </c>
      <c r="K23" s="19" t="inlineStr">
        <is>
          <t>• بيع الوثائق 75 د.ك، تأمين أولي 2% من قيمة العطاء، إغلاق 20/10/2026 بمقر الجامعة بالشدادية.</t>
        </is>
      </c>
      <c r="L23" s="18" t="inlineStr">
        <is>
          <t>2026-09-27</t>
        </is>
      </c>
      <c r="M23" s="18" t="inlineStr">
        <is>
          <t>2026-10-20</t>
        </is>
      </c>
      <c r="N23" s="18" t="inlineStr">
        <is>
          <t>2000.0 KWD</t>
        </is>
      </c>
      <c r="O23" s="18" t="inlineStr">
        <is>
          <t>75.0 KWD</t>
        </is>
      </c>
      <c r="P23" s="18">
        <f>HYPERLINK("https://kuwaitalyawm.media.gov.kw/Online/ViewAdsHTML?id=171702&amp;no=1", "عرض الإعلان")</f>
        <v/>
      </c>
    </row>
    <row r="24">
      <c r="A24" s="18" t="inlineStr">
        <is>
          <t>هـ ع ر2/2026/2027</t>
        </is>
      </c>
      <c r="B24" s="19" t="inlineStr">
        <is>
          <t>الهيئة العامة للرياضة</t>
        </is>
      </c>
      <c r="C24" s="19" t="inlineStr">
        <is>
          <t>Eiman Ashkanani</t>
        </is>
      </c>
      <c r="D24" s="19" t="inlineStr">
        <is>
          <t>بشأن اعمال صيانة مشروع تهيئة البنية التحتية ومركز البيانات الخاص بالهيئة العامة للرياضة وغرفة البيانات الاحتياطية باستاد جابر</t>
        </is>
      </c>
      <c r="E24" s="19"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8" t="inlineStr">
        <is>
          <t>قطاع العمليات المدارة والدعم الفني متعدد الموردين</t>
        </is>
      </c>
      <c r="G24" s="18" t="inlineStr">
        <is>
          <t>49.0%</t>
        </is>
      </c>
      <c r="H24" s="18" t="inlineStr">
        <is>
          <t>فرصة تتطلب شراكة أو دراسة نطاق</t>
        </is>
      </c>
      <c r="I24" s="18" t="inlineStr">
        <is>
          <t>-</t>
        </is>
      </c>
      <c r="J24" s="19" t="inlineStr">
        <is>
          <t>Aligned with Services BU (MOPS) (1 capability matches) | Core ICT Scope in Tender Title</t>
        </is>
      </c>
      <c r="K24"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8" t="inlineStr">
        <is>
          <t>2026-10-11</t>
        </is>
      </c>
      <c r="M24" s="18" t="inlineStr">
        <is>
          <t>2027-01-10</t>
        </is>
      </c>
      <c r="N24" s="18" t="inlineStr">
        <is>
          <t>6000.000 KWD</t>
        </is>
      </c>
      <c r="O24" s="18" t="inlineStr">
        <is>
          <t>300.000 KWD</t>
        </is>
      </c>
      <c r="P24" s="18">
        <f>HYPERLINK("https://capt.gov.kw/ar/tenders/opening-tenders/#card-5", "عرض الإعلان")</f>
        <v/>
      </c>
    </row>
    <row r="25">
      <c r="A25" s="18" t="inlineStr">
        <is>
          <t>2027/2026/15</t>
        </is>
      </c>
      <c r="B25" s="19" t="inlineStr">
        <is>
          <t>الهيئة العامة للطيران المدني</t>
        </is>
      </c>
      <c r="C25" s="19" t="inlineStr">
        <is>
          <t>Eiman Ashkanani</t>
        </is>
      </c>
      <c r="D25" s="19" t="inlineStr">
        <is>
          <t>ممارسة رقم 2027/2026/15: ممارسة تطوير وصيانة أنظمة وأجهزة الحضور</t>
        </is>
      </c>
      <c r="E25" s="19"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8" t="inlineStr">
        <is>
          <t>قطاع العمليات المدارة والدعم الفني متعدد الموردين</t>
        </is>
      </c>
      <c r="G25" s="18" t="inlineStr">
        <is>
          <t>49.0%</t>
        </is>
      </c>
      <c r="H25" s="18" t="inlineStr">
        <is>
          <t>فرصة تتطلب شراكة أو دراسة نطاق</t>
        </is>
      </c>
      <c r="I25" s="18" t="inlineStr">
        <is>
          <t>-</t>
        </is>
      </c>
      <c r="J25" s="19" t="inlineStr">
        <is>
          <t>Aligned with Services BU (MOPS) (1 capability matches) | Core ICT Scope in Tender Title</t>
        </is>
      </c>
      <c r="K25" s="19" t="inlineStr">
        <is>
          <t>• علماً بأن آخر موعد لتقديم العروض هو الساعة (الواحدة ظهراً) من يوم (الأربعاء) الموافق (21/10/2026) ويرفض أي عرض بعد هذا الموعد.</t>
        </is>
      </c>
      <c r="L25" s="18" t="inlineStr">
        <is>
          <t>2026-09-27</t>
        </is>
      </c>
      <c r="M25" s="18" t="inlineStr">
        <is>
          <t>2026-10-21</t>
        </is>
      </c>
      <c r="N25" s="18" t="inlineStr">
        <is>
          <t>-</t>
        </is>
      </c>
      <c r="O25" s="18" t="inlineStr">
        <is>
          <t>75.0 KWD</t>
        </is>
      </c>
      <c r="P25" s="18">
        <f>HYPERLINK("https://kuwaitalyawm.media.gov.kw/Online/ViewAdsHTML?id=171693&amp;no=1", "عرض الإعلان")</f>
        <v/>
      </c>
    </row>
    <row r="26">
      <c r="A26" s="18" t="inlineStr">
        <is>
          <t>و ش ج 8/2025/2026</t>
        </is>
      </c>
      <c r="B26" s="19" t="inlineStr">
        <is>
          <t>وزارة الشئون الاجتماعية</t>
        </is>
      </c>
      <c r="C26" s="19" t="inlineStr">
        <is>
          <t>Eiman Ashkanani</t>
        </is>
      </c>
      <c r="D26" s="19" t="inlineStr">
        <is>
          <t>أعمال اصلاح وتشغيل وصيانة معدات التكييف والتبريد والتدفئة والتهوية الخاصة بصالات الأفراح التابعة للوزارة</t>
        </is>
      </c>
      <c r="E26" s="19" t="inlineStr">
        <is>
          <t>أعمال صيانة وتشغيل وإصلاح وحدات ومحطات التكييف المركزي والمبردات وضواغط الهواء وشبكات مجاري الهواء.</t>
        </is>
      </c>
      <c r="F26" s="18" t="inlineStr">
        <is>
          <t>قطاع العمليات المدارة والدعم الفني متعدد الموردين</t>
        </is>
      </c>
      <c r="G26" s="18" t="inlineStr">
        <is>
          <t>49.0%</t>
        </is>
      </c>
      <c r="H26" s="18" t="inlineStr">
        <is>
          <t>فرصة تتطلب شراكة أو دراسة نطاق</t>
        </is>
      </c>
      <c r="I26" s="18" t="inlineStr">
        <is>
          <t>-</t>
        </is>
      </c>
      <c r="J26" s="19" t="inlineStr">
        <is>
          <t>Aligned with Services BU (MOPS) (1 capability matches) | Core ICT Scope in Tender Title</t>
        </is>
      </c>
      <c r="K26"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8" t="inlineStr">
        <is>
          <t>2026-10-04</t>
        </is>
      </c>
      <c r="M26" s="18" t="inlineStr">
        <is>
          <t>2026-12-29</t>
        </is>
      </c>
      <c r="N26" s="18" t="inlineStr">
        <is>
          <t>23000.000 KWD</t>
        </is>
      </c>
      <c r="O26" s="18" t="inlineStr">
        <is>
          <t>1000.000 KWD</t>
        </is>
      </c>
      <c r="P26" s="18">
        <f>HYPERLINK("https://capt.gov.kw/ar/tenders/opening-tenders/#card-3", "عرض الإعلان")</f>
        <v/>
      </c>
    </row>
    <row r="27">
      <c r="A27" s="18" t="inlineStr">
        <is>
          <t>هـ ع / ش أ م / 4/2026/2027</t>
        </is>
      </c>
      <c r="B27" s="19" t="inlineStr">
        <is>
          <t>الهيئة العامة للتعليم التطبيقي والتدريب</t>
        </is>
      </c>
      <c r="C27" s="19" t="inlineStr">
        <is>
          <t>Eiman Ashkanani</t>
        </is>
      </c>
      <c r="D27" s="19" t="inlineStr">
        <is>
          <t>توفير خدمة الانترنت و نقل المعلومات internet - wan للهيئة العامة للتعليم التطبيقي و التدريب</t>
        </is>
      </c>
      <c r="E27" s="19"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8" t="inlineStr">
        <is>
          <t>قطاع العمليات المدارة والدعم الفني متعدد الموردين</t>
        </is>
      </c>
      <c r="G27" s="18" t="inlineStr">
        <is>
          <t>49.0%</t>
        </is>
      </c>
      <c r="H27" s="18" t="inlineStr">
        <is>
          <t>فرصة تتطلب شراكة أو دراسة نطاق</t>
        </is>
      </c>
      <c r="I27" s="18" t="inlineStr">
        <is>
          <t>-</t>
        </is>
      </c>
      <c r="J27" s="19" t="inlineStr">
        <is>
          <t>Aligned with Services BU (MOPS) (1 capability matches) | Core ICT Scope in Tender Title</t>
        </is>
      </c>
      <c r="K27"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8" t="inlineStr">
        <is>
          <t>2026-09-06</t>
        </is>
      </c>
      <c r="M27" s="20" t="inlineStr">
        <is>
          <t>2026-11-03</t>
        </is>
      </c>
      <c r="N27" s="18" t="inlineStr">
        <is>
          <t>6000.000 KWD</t>
        </is>
      </c>
      <c r="O27" s="18" t="inlineStr">
        <is>
          <t>300.000 KWD</t>
        </is>
      </c>
      <c r="P27" s="18">
        <f>HYPERLINK("https://capt.gov.kw/ar/tenders/opening-tenders/#card-8", "عرض الإعلان")</f>
        <v/>
      </c>
    </row>
    <row r="28">
      <c r="A28" s="18" t="inlineStr">
        <is>
          <t>5/2025-2026</t>
        </is>
      </c>
      <c r="B28" s="19" t="inlineStr">
        <is>
          <t>ديوان المحاسبة</t>
        </is>
      </c>
      <c r="C28" s="19" t="inlineStr">
        <is>
          <t>Eiman Ashkanani</t>
        </is>
      </c>
      <c r="D28" s="19"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19"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8" t="inlineStr">
        <is>
          <t>قطاع العمليات المدارة والدعم الفني متعدد الموردين</t>
        </is>
      </c>
      <c r="G28" s="18" t="inlineStr">
        <is>
          <t>49.0%</t>
        </is>
      </c>
      <c r="H28" s="18" t="inlineStr">
        <is>
          <t>فرصة تتطلب شراكة أو دراسة نطاق</t>
        </is>
      </c>
      <c r="I28" s="18" t="inlineStr">
        <is>
          <t>-</t>
        </is>
      </c>
      <c r="J28" s="19" t="inlineStr">
        <is>
          <t>Aligned with Services BU (MOPS) (1 capability matches) | Core ICT Scope in Tender Title</t>
        </is>
      </c>
      <c r="K28"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8" t="inlineStr">
        <is>
          <t>2026-09-06</t>
        </is>
      </c>
      <c r="M28" s="18" t="inlineStr">
        <is>
          <t>2026-10-27</t>
        </is>
      </c>
      <c r="N28" s="18" t="inlineStr">
        <is>
          <t>3500.000 KWD</t>
        </is>
      </c>
      <c r="O28" s="18" t="inlineStr">
        <is>
          <t>150.000 KWD</t>
        </is>
      </c>
      <c r="P28" s="18">
        <f>HYPERLINK("https://capt.gov.kw/ar/tenders/opening-tenders/#card-1", "عرض الإعلان")</f>
        <v/>
      </c>
    </row>
    <row r="29">
      <c r="A29" s="18" t="inlineStr">
        <is>
          <t>2147428</t>
        </is>
      </c>
      <c r="B29" s="19" t="inlineStr">
        <is>
          <t>شركة نفط الكويت</t>
        </is>
      </c>
      <c r="C29" s="19" t="inlineStr">
        <is>
          <t>Ahmed Habib</t>
        </is>
      </c>
      <c r="D29" s="19" t="inlineStr">
        <is>
          <t>تقديم خدمات الامن السيبراني المدارة</t>
        </is>
      </c>
      <c r="E29" s="19" t="inlineStr">
        <is>
          <t>أعمال وتوريدات تقديم خدمات الامن السيبراني المدارة لصالح شركة نفط الكويت وفقاً للشروط والمواصفات المعتمدة في وثائق الطرح.</t>
        </is>
      </c>
      <c r="F29" s="18" t="inlineStr">
        <is>
          <t>قطاع الأمن السيبراني والدفاع الرقمي</t>
        </is>
      </c>
      <c r="G29" s="18" t="inlineStr">
        <is>
          <t>47.0%</t>
        </is>
      </c>
      <c r="H29" s="18" t="inlineStr">
        <is>
          <t>فرصة تتطلب شراكة أو دراسة نطاق</t>
        </is>
      </c>
      <c r="I29" s="18" t="inlineStr">
        <is>
          <t>-</t>
        </is>
      </c>
      <c r="J29" s="19" t="inlineStr">
        <is>
          <t>Aligned with Security BU (1 capability matches) | Strategic KBM Account Relationship</t>
        </is>
      </c>
      <c r="K29" s="19"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8" t="inlineStr">
        <is>
          <t>2026-08-23</t>
        </is>
      </c>
      <c r="M29" s="18" t="inlineStr">
        <is>
          <t>2026-11-17</t>
        </is>
      </c>
      <c r="N29" s="18" t="inlineStr">
        <is>
          <t>220000.000 KWD</t>
        </is>
      </c>
      <c r="O29" s="18" t="inlineStr">
        <is>
          <t>3500.000 KWD</t>
        </is>
      </c>
      <c r="P29" s="18">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4"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2"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4"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20"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4"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4"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4"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4"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2"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4"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2"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4"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2"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4"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2"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4"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2"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2"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4"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4"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4"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2"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20"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4"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20"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2"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4"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2"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2"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2"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20"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2"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2"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2"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2"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4"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20"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20"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20"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2"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2"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2"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2"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4"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2"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2"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4"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2"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4"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2"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4"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2"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4"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2"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4"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4"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4"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2"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4"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2"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20"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4"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20"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20"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20"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20"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4"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2"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4"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4"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4"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20"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4"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4"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20"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20"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20"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4"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20"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20"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4"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20"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4"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2"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4"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20"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20"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4"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4"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2"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4"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20"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4"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2"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20"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4"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2"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4"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4"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20"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2"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4"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2"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4"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4"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2"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2"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2"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4"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2"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2"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20"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20"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2"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20"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2"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2"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4"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4"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20"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2"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2"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4"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20"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4"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20"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20"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2"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2"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20"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4"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2"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4"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2"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20"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20"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20"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4"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2"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2"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2"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20"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4"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20"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4"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20"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4"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2"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4"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2"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4"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4"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4"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2"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4"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2"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4"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2"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4"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20"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20"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2"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20"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4"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2"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4"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2"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2"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4"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2"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4"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2"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4"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2"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4"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20"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20"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20"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4"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2"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4"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2"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4"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2"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4"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2"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4"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2"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20"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20"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20"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20"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20"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20"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2026-10-29 11:25:05</t>
        </is>
      </c>
      <c r="B2" s="32" t="inlineStr">
        <is>
          <t>CAPT</t>
        </is>
      </c>
      <c r="C2" s="32" t="inlineStr">
        <is>
          <t>SUCCESS</t>
        </is>
      </c>
      <c r="D2" s="32" t="n">
        <v>97</v>
      </c>
      <c r="E2" s="33" t="inlineStr">
        <is>
          <t>Scraped opening-tenders cleanly. Zero bot challenges encountered.</t>
        </is>
      </c>
    </row>
    <row r="3">
      <c r="A3" s="32" t="inlineStr">
        <is>
          <t>2026-10-29 11:25:05</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2026-10-29T11:25:05Z</dcterms:created>
  <dcterms:modified xmlns:dcterms="http://purl.org/dc/terms/" xmlns:xsi="http://www.w3.org/2001/XMLSchema-instance" xsi:type="dcterms:W3CDTF">2026-10-29T11:25:05Z</dcterms:modified>
</cp:coreProperties>
</file>