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KBM Opportunities" sheetId="2" state="visible" r:id="rId2"/>
    <sheet xmlns:r="http://schemas.openxmlformats.org/officeDocument/2006/relationships" name="New Today" sheetId="3" state="visible" r:id="rId3"/>
    <sheet xmlns:r="http://schemas.openxmlformats.org/officeDocument/2006/relationships" name="All Open" sheetId="4" state="visible" r:id="rId4"/>
    <sheet xmlns:r="http://schemas.openxmlformats.org/officeDocument/2006/relationships" name="By Sector" sheetId="5" state="visible" r:id="rId5"/>
    <sheet xmlns:r="http://schemas.openxmlformats.org/officeDocument/2006/relationships" name="By Client" sheetId="6" state="visible" r:id="rId6"/>
    <sheet xmlns:r="http://schemas.openxmlformats.org/officeDocument/2006/relationships" name="Needs Review" sheetId="7" state="visible" r:id="rId7"/>
    <sheet xmlns:r="http://schemas.openxmlformats.org/officeDocument/2006/relationships" name="Run Log" sheetId="8" state="visible" r:id="rId8"/>
  </sheets>
  <definedNames>
    <definedName name="_xlnm._FilterDatabase" localSheetId="2" hidden="1">'New Today'!$A$1:$P$161</definedName>
    <definedName name="_xlnm._FilterDatabase" localSheetId="3" hidden="1">'All Open'!$A$1:$P$217</definedName>
    <definedName name="_xlnm._FilterDatabase" localSheetId="4" hidden="1">'By Sector'!$A$1:$P$217</definedName>
    <definedName name="_xlnm._FilterDatabase" localSheetId="5" hidden="1">'By Client'!$A$1:$P$217</definedName>
    <definedName name="_xlnm._FilterDatabase" localSheetId="6" hidden="1">'Needs Review'!$A$1:$I$67</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1A365D"/>
      <sz val="16"/>
    </font>
    <font>
      <name val="Calibri"/>
      <i val="1"/>
      <color rgb="004A5568"/>
      <sz val="11"/>
    </font>
    <font>
      <name val="Calibri"/>
      <b val="1"/>
      <color rgb="00FFFFFF"/>
      <sz val="10"/>
    </font>
    <font>
      <name val="Calibri"/>
      <b val="1"/>
      <color rgb="001A202C"/>
      <sz val="16"/>
    </font>
    <font>
      <name val="Calibri"/>
      <b val="1"/>
      <color rgb="001A365D"/>
      <sz val="12"/>
    </font>
    <font>
      <name val="Calibri"/>
      <b val="1"/>
      <color rgb="00FFFFFF"/>
      <sz val="11"/>
    </font>
    <font>
      <name val="Calibri"/>
      <b val="1"/>
      <color rgb="009B2C2C"/>
      <sz val="10"/>
    </font>
    <font>
      <name val="Calibri"/>
      <b val="1"/>
      <sz val="10"/>
    </font>
    <font>
      <name val="Calibri"/>
      <color rgb="002B6CB0"/>
      <sz val="10"/>
      <u val="single"/>
    </font>
    <font>
      <name val="Calibri"/>
      <b val="1"/>
      <color rgb="002B6CB0"/>
      <sz val="10"/>
    </font>
    <font>
      <name val="Calibri"/>
      <color rgb="009B2C2C"/>
      <sz val="10"/>
    </font>
  </fonts>
  <fills count="16">
    <fill>
      <patternFill/>
    </fill>
    <fill>
      <patternFill patternType="gray125"/>
    </fill>
    <fill>
      <patternFill patternType="solid">
        <fgColor rgb="002B6CB0"/>
        <bgColor rgb="002B6CB0"/>
      </patternFill>
    </fill>
    <fill>
      <patternFill patternType="solid">
        <fgColor rgb="00D4EDDA"/>
        <bgColor rgb="00D4EDDA"/>
      </patternFill>
    </fill>
    <fill>
      <patternFill patternType="solid">
        <fgColor rgb="00FFF3CD"/>
        <bgColor rgb="00FFF3CD"/>
      </patternFill>
    </fill>
    <fill>
      <patternFill patternType="solid">
        <fgColor rgb="00EBF8FF"/>
        <bgColor rgb="00EBF8FF"/>
      </patternFill>
    </fill>
    <fill>
      <patternFill patternType="solid">
        <fgColor rgb="00E2E8F0"/>
        <bgColor rgb="00E2E8F0"/>
      </patternFill>
    </fill>
    <fill>
      <patternFill patternType="solid">
        <fgColor rgb="00F8D7DA"/>
        <bgColor rgb="00F8D7DA"/>
      </patternFill>
    </fill>
    <fill>
      <patternFill patternType="solid">
        <fgColor rgb="001A365D"/>
        <bgColor rgb="001A365D"/>
      </patternFill>
    </fill>
    <fill>
      <patternFill patternType="solid">
        <fgColor rgb="00FFFFFF"/>
        <bgColor rgb="00FFFFFF"/>
      </patternFill>
    </fill>
    <fill>
      <patternFill patternType="solid">
        <fgColor rgb="00F7FAFC"/>
        <bgColor rgb="00F7FAFC"/>
      </patternFill>
    </fill>
    <fill>
      <patternFill patternType="solid">
        <fgColor rgb="000F2642"/>
        <bgColor rgb="000F2642"/>
      </patternFill>
    </fill>
    <fill>
      <patternFill patternType="solid">
        <fgColor rgb="00E8F5E9"/>
        <bgColor rgb="00E8F5E9"/>
      </patternFill>
    </fill>
    <fill>
      <patternFill patternType="solid">
        <fgColor rgb="00E3F2FD"/>
        <bgColor rgb="00E3F2FD"/>
      </patternFill>
    </fill>
    <fill>
      <patternFill patternType="solid">
        <fgColor rgb="00EDF2F7"/>
        <bgColor rgb="00EDF2F7"/>
      </patternFill>
    </fill>
    <fill>
      <patternFill patternType="solid">
        <fgColor rgb="009B2C2C"/>
        <bgColor rgb="009B2C2C"/>
      </patternFill>
    </fill>
  </fills>
  <borders count="2">
    <border>
      <left/>
      <right/>
      <top/>
      <bottom/>
      <diagonal/>
    </border>
    <border>
      <left style="thin">
        <color rgb="00D2D6DC"/>
      </left>
      <right style="thin">
        <color rgb="00D2D6DC"/>
      </right>
      <top style="thin">
        <color rgb="00D2D6DC"/>
      </top>
      <bottom style="thin">
        <color rgb="00D2D6DC"/>
      </bottom>
    </border>
  </borders>
  <cellStyleXfs count="1">
    <xf numFmtId="0" fontId="0" fillId="0" borderId="0"/>
  </cellStyleXfs>
  <cellXfs count="34">
    <xf numFmtId="0" fontId="0" fillId="0" borderId="0" pivotButton="0" quotePrefix="0" xfId="0"/>
    <xf numFmtId="0" fontId="1" fillId="0" borderId="0" applyAlignment="1" pivotButton="0" quotePrefix="0" xfId="0">
      <alignment horizontal="right" vertical="center" wrapText="1"/>
    </xf>
    <xf numFmtId="0" fontId="2" fillId="0" borderId="0" pivotButton="0" quotePrefix="0" xfId="0"/>
    <xf numFmtId="0" fontId="3" fillId="2" borderId="1" applyAlignment="1" pivotButton="0" quotePrefix="0" xfId="0">
      <alignment horizontal="center" vertical="center"/>
    </xf>
    <xf numFmtId="0" fontId="4" fillId="3" borderId="1" applyAlignment="1" pivotButton="0" quotePrefix="0" xfId="0">
      <alignment horizontal="center" vertical="center"/>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5" fillId="0" borderId="0" pivotButton="0" quotePrefix="0" xfId="0"/>
    <xf numFmtId="0" fontId="6" fillId="8" borderId="1" applyAlignment="1" pivotButton="0" quotePrefix="0" xfId="0">
      <alignment horizontal="center" vertical="center"/>
    </xf>
    <xf numFmtId="0" fontId="0" fillId="9" borderId="1" applyAlignment="1" pivotButton="0" quotePrefix="0" xfId="0">
      <alignment horizontal="right" vertical="center" wrapText="1"/>
    </xf>
    <xf numFmtId="0" fontId="0" fillId="9" borderId="1" applyAlignment="1" pivotButton="0" quotePrefix="0" xfId="0">
      <alignment horizontal="center" vertical="center"/>
    </xf>
    <xf numFmtId="0" fontId="0" fillId="10" borderId="1" applyAlignment="1" pivotButton="0" quotePrefix="0" xfId="0">
      <alignment horizontal="right" vertical="center" wrapText="1"/>
    </xf>
    <xf numFmtId="0" fontId="0" fillId="10" borderId="1" applyAlignment="1" pivotButton="0" quotePrefix="0" xfId="0">
      <alignment horizontal="center" vertical="center"/>
    </xf>
    <xf numFmtId="0" fontId="6" fillId="11" borderId="1" applyAlignment="1" pivotButton="0" quotePrefix="0" xfId="0">
      <alignment horizontal="center" vertical="center"/>
    </xf>
    <xf numFmtId="0" fontId="0" fillId="12" borderId="1" applyAlignment="1" pivotButton="0" quotePrefix="0" xfId="0">
      <alignment horizontal="center" vertical="center"/>
    </xf>
    <xf numFmtId="0" fontId="0" fillId="12" borderId="1" applyAlignment="1" pivotButton="0" quotePrefix="0" xfId="0">
      <alignment horizontal="right" vertical="center" wrapText="1"/>
    </xf>
    <xf numFmtId="0" fontId="7" fillId="7" borderId="1" applyAlignment="1" pivotButton="0" quotePrefix="0" xfId="0">
      <alignment horizontal="center" vertical="center"/>
    </xf>
    <xf numFmtId="0" fontId="0" fillId="13" borderId="1" applyAlignment="1" pivotButton="0" quotePrefix="0" xfId="0">
      <alignment horizontal="center" vertical="center"/>
    </xf>
    <xf numFmtId="0" fontId="0" fillId="13" borderId="1" applyAlignment="1" pivotButton="0" quotePrefix="0" xfId="0">
      <alignment horizontal="right" vertical="center" wrapText="1"/>
    </xf>
    <xf numFmtId="0" fontId="8" fillId="4" borderId="1" applyAlignment="1" pivotButton="0" quotePrefix="0" xfId="0">
      <alignment horizontal="center" vertical="center"/>
    </xf>
    <xf numFmtId="0" fontId="9" fillId="10" borderId="1" applyAlignment="1" pivotButton="0" quotePrefix="0" xfId="0">
      <alignment horizontal="center" vertical="center"/>
    </xf>
    <xf numFmtId="0" fontId="9" fillId="9" borderId="1" applyAlignment="1" pivotButton="0" quotePrefix="0" xfId="0">
      <alignment horizontal="center" vertical="center"/>
    </xf>
    <xf numFmtId="0" fontId="10" fillId="5" borderId="1" applyAlignment="1" pivotButton="0" quotePrefix="0" xfId="0">
      <alignment horizontal="center" vertical="center"/>
    </xf>
    <xf numFmtId="0" fontId="8" fillId="3" borderId="1" applyAlignment="1" pivotButton="0" quotePrefix="0" xfId="0">
      <alignment horizontal="center" vertical="center"/>
    </xf>
    <xf numFmtId="0" fontId="8" fillId="14" borderId="1" applyAlignment="1" pivotButton="0" quotePrefix="0" xfId="0">
      <alignment horizontal="center" vertical="center"/>
    </xf>
    <xf numFmtId="0" fontId="6" fillId="15" borderId="1" applyAlignment="1" pivotButton="0" quotePrefix="0" xfId="0">
      <alignment horizontal="center" vertical="center"/>
    </xf>
    <xf numFmtId="0" fontId="8" fillId="10" borderId="1" applyAlignment="1" pivotButton="0" quotePrefix="0" xfId="0">
      <alignment horizontal="center" vertical="center"/>
    </xf>
    <xf numFmtId="0" fontId="11" fillId="10" borderId="1" applyAlignment="1" pivotButton="0" quotePrefix="0" xfId="0">
      <alignment horizontal="right" vertical="center" wrapText="1"/>
    </xf>
    <xf numFmtId="0" fontId="8" fillId="9" borderId="1" applyAlignment="1" pivotButton="0" quotePrefix="0" xfId="0">
      <alignment horizontal="center" vertical="center"/>
    </xf>
    <xf numFmtId="0" fontId="11" fillId="9" borderId="1" applyAlignment="1" pivotButton="0" quotePrefix="0" xfId="0">
      <alignment horizontal="right" vertical="center" wrapText="1"/>
    </xf>
    <xf numFmtId="0" fontId="0" fillId="0" borderId="1" applyAlignment="1" pivotButton="0" quotePrefix="0" xfId="0">
      <alignment horizontal="center" vertical="center"/>
    </xf>
    <xf numFmtId="0" fontId="0" fillId="0" borderId="1"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rightToLeft="1" workbookViewId="0">
      <selection activeCell="A1" sqref="A1"/>
    </sheetView>
  </sheetViews>
  <sheetFormatPr baseColWidth="8" defaultRowHeight="15"/>
  <cols>
    <col width="30" customWidth="1" min="1" max="1"/>
    <col width="18" customWidth="1" min="2" max="2"/>
    <col width="18" customWidth="1" min="3" max="3"/>
    <col width="18" customWidth="1" min="4" max="4"/>
    <col width="18" customWidth="1" min="5" max="5"/>
  </cols>
  <sheetData>
    <row r="1">
      <c r="A1" s="1" t="inlineStr">
        <is>
          <t>تقرير رصد المناقصات اليومي — خورافي للأعمال الهندسية (KBM)</t>
        </is>
      </c>
    </row>
    <row r="2">
      <c r="A2" s="2" t="inlineStr">
        <is>
          <t>تاريخ التقرير: 2026-10-14 10:49 (توقيت الكويت) | إجمالي المناقصات النشطة: 242</t>
        </is>
      </c>
    </row>
    <row r="4">
      <c r="A4" s="3" t="inlineStr">
        <is>
          <t>جديد اليوم</t>
        </is>
      </c>
      <c r="B4" s="3" t="inlineStr">
        <is>
          <t>محدث اليوم</t>
        </is>
      </c>
      <c r="C4" s="3" t="inlineStr">
        <is>
          <t>إجمالي المفتوحة</t>
        </is>
      </c>
      <c r="D4" s="3" t="inlineStr">
        <is>
          <t>متوافقة مع KBM</t>
        </is>
      </c>
      <c r="E4" s="3" t="inlineStr">
        <is>
          <t>تحت المراجعة</t>
        </is>
      </c>
    </row>
    <row r="5">
      <c r="A5" s="4" t="n">
        <v>97</v>
      </c>
      <c r="B5" s="5" t="n">
        <v>63</v>
      </c>
      <c r="C5" s="6" t="n">
        <v>216</v>
      </c>
      <c r="D5" s="7" t="n">
        <v>33</v>
      </c>
      <c r="E5" s="8" t="n">
        <v>66</v>
      </c>
    </row>
    <row r="7">
      <c r="A7" s="9" t="inlineStr">
        <is>
          <t>توزيع المناقصات حسب القطاع</t>
        </is>
      </c>
    </row>
    <row r="8">
      <c r="A8" s="10" t="inlineStr">
        <is>
          <t>القطاع</t>
        </is>
      </c>
      <c r="B8" s="10" t="inlineStr">
        <is>
          <t>إجمالي المناقصات</t>
        </is>
      </c>
      <c r="C8" s="10" t="inlineStr">
        <is>
          <t>فرص ICT (KBM)</t>
        </is>
      </c>
    </row>
    <row r="9">
      <c r="A9" s="11" t="inlineStr">
        <is>
          <t>oil_and_gas</t>
        </is>
      </c>
      <c r="B9" s="12" t="n">
        <v>91</v>
      </c>
      <c r="C9" s="12" t="n">
        <v>6</v>
      </c>
    </row>
    <row r="10">
      <c r="A10" s="13" t="inlineStr">
        <is>
          <t>government</t>
        </is>
      </c>
      <c r="B10" s="14" t="n">
        <v>73</v>
      </c>
      <c r="C10" s="14" t="n">
        <v>11</v>
      </c>
    </row>
    <row r="11">
      <c r="A11" s="11" t="inlineStr">
        <is>
          <t>healthcare</t>
        </is>
      </c>
      <c r="B11" s="12" t="n">
        <v>40</v>
      </c>
      <c r="C11" s="12" t="n">
        <v>2</v>
      </c>
    </row>
    <row r="12">
      <c r="A12" s="13" t="inlineStr">
        <is>
          <t>education_and_research</t>
        </is>
      </c>
      <c r="B12" s="14" t="n">
        <v>17</v>
      </c>
      <c r="C12" s="14" t="n">
        <v>6</v>
      </c>
    </row>
    <row r="13">
      <c r="A13" s="11" t="inlineStr">
        <is>
          <t>defense_and_security</t>
        </is>
      </c>
      <c r="B13" s="12" t="n">
        <v>11</v>
      </c>
      <c r="C13" s="12" t="n">
        <v>4</v>
      </c>
    </row>
    <row r="14">
      <c r="A14" s="13" t="inlineStr">
        <is>
          <t>banking_and_finance</t>
        </is>
      </c>
      <c r="B14" s="14" t="n">
        <v>5</v>
      </c>
      <c r="C14" s="14" t="n">
        <v>2</v>
      </c>
    </row>
    <row r="15">
      <c r="A15" s="11" t="inlineStr">
        <is>
          <t>telecom_and_media</t>
        </is>
      </c>
      <c r="B15" s="12" t="n">
        <v>3</v>
      </c>
      <c r="C15" s="12" t="n">
        <v>0</v>
      </c>
    </row>
    <row r="16">
      <c r="A16" s="13" t="inlineStr">
        <is>
          <t>other</t>
        </is>
      </c>
      <c r="B16" s="14" t="n">
        <v>2</v>
      </c>
      <c r="C16" s="14" t="n">
        <v>2</v>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7"/>
  <sheetViews>
    <sheetView rightToLeft="1" workbookViewId="0">
      <pane ySplit="1" topLeftCell="A2" activePane="bottomLeft" state="frozen"/>
      <selection pane="bottomLeft" activeCell="A1" sqref="A1"/>
    </sheetView>
  </sheetViews>
  <sheetFormatPr baseColWidth="8" defaultRowHeight="15"/>
  <cols>
    <col width="29" customWidth="1" min="1" max="1"/>
    <col width="42" customWidth="1" min="2" max="2"/>
    <col width="33" customWidth="1" min="3" max="3"/>
    <col width="45" customWidth="1" min="4" max="4"/>
    <col width="45" customWidth="1" min="5" max="5"/>
    <col width="45" customWidth="1" min="6" max="6"/>
    <col width="15" customWidth="1" min="7" max="7"/>
    <col width="41" customWidth="1" min="8" max="8"/>
    <col width="20" customWidth="1" min="9" max="9"/>
    <col width="45" customWidth="1" min="10" max="10"/>
    <col width="45" customWidth="1" min="11" max="11"/>
    <col width="14" customWidth="1" min="12" max="12"/>
    <col width="19" customWidth="1" min="13" max="13"/>
    <col width="17" customWidth="1" min="14" max="14"/>
    <col width="15" customWidth="1" min="15" max="15"/>
    <col width="45" customWidth="1" min="16" max="16"/>
  </cols>
  <sheetData>
    <row r="1">
      <c r="A1" s="15" t="inlineStr">
        <is>
          <t>رقم المناقصة</t>
        </is>
      </c>
      <c r="B1" s="15" t="inlineStr">
        <is>
          <t>الجهة المصدرة</t>
        </is>
      </c>
      <c r="C1" s="15" t="inlineStr">
        <is>
          <t>مسؤول الحساب (Account Manager)</t>
        </is>
      </c>
      <c r="D1" s="15" t="inlineStr">
        <is>
          <t>موضوع المناقصة</t>
        </is>
      </c>
      <c r="E1" s="15" t="inlineStr">
        <is>
          <t>المطلوب في المناقصة ونطاق العمل والأجهزة (Required Scope &amp; Equipment)</t>
        </is>
      </c>
      <c r="F1" s="15" t="inlineStr">
        <is>
          <t>قطاع KBM المختص (BU)</t>
        </is>
      </c>
      <c r="G1" s="15" t="inlineStr">
        <is>
          <t>درجة التوافق</t>
        </is>
      </c>
      <c r="H1" s="15" t="inlineStr">
        <is>
          <t>قرار ما قبل البيع</t>
        </is>
      </c>
      <c r="I1" s="15" t="inlineStr">
        <is>
          <t>شركاء التكنولوجيا</t>
        </is>
      </c>
      <c r="J1" s="15" t="inlineStr">
        <is>
          <t>شرح التوافق مع ملف الخرافي (KBM Profile Match Rationale)</t>
        </is>
      </c>
      <c r="K1" s="15" t="inlineStr">
        <is>
          <t>شروط ومتطلبات المشاركة (Requirements)</t>
        </is>
      </c>
      <c r="L1" s="15" t="inlineStr">
        <is>
          <t>تاريخ النشر</t>
        </is>
      </c>
      <c r="M1" s="15" t="inlineStr">
        <is>
          <t>آخر موعد للتقديم</t>
        </is>
      </c>
      <c r="N1" s="15" t="inlineStr">
        <is>
          <t>التأمين الأولي</t>
        </is>
      </c>
      <c r="O1" s="15" t="inlineStr">
        <is>
          <t>سعر الكراسة</t>
        </is>
      </c>
      <c r="P1" s="15" t="inlineStr">
        <is>
          <t>رابط الإعلان</t>
        </is>
      </c>
    </row>
    <row r="2">
      <c r="A2" s="16" t="inlineStr">
        <is>
          <t>MNA-19-2026</t>
        </is>
      </c>
      <c r="B2" s="17" t="inlineStr">
        <is>
          <t>شركة صناعة الكيماويات البترولية</t>
        </is>
      </c>
      <c r="C2" s="17" t="inlineStr">
        <is>
          <t>Abrar Al-Qallaf</t>
        </is>
      </c>
      <c r="D2" s="17" t="inlineStr">
        <is>
          <t>مناقصة رقم MNA-19-2026: Network Maintenance and Managed Network Support Services (صيانة الشبكات والدعم المدار) - شركة صناعة الكيماويات البترولية</t>
        </is>
      </c>
      <c r="E2" s="17" t="inlineStr">
        <is>
          <t>تقديم خدمات صيانة الشبكات والدعم الفني المدار (Managed Network Support Services)، دعم وإدارة أجهزة وسويتشات سيسكو (Cisco Switches &amp; Routers)، أجهزة أمن وحماية الشبكات، ودعم فني مدار على مدار الساعة 24x7 لشركة PIC.</t>
        </is>
      </c>
      <c r="F2" s="16" t="inlineStr">
        <is>
          <t>قطاع العمليات المدارة والدعم الفني متعدد الموردين</t>
        </is>
      </c>
      <c r="G2" s="16" t="inlineStr">
        <is>
          <t>95.0%</t>
        </is>
      </c>
      <c r="H2" s="16" t="inlineStr">
        <is>
          <t>موصى بالتقديم</t>
        </is>
      </c>
      <c r="I2" s="16" t="inlineStr">
        <is>
          <t>Cisco</t>
        </is>
      </c>
      <c r="J2" s="17" t="inlineStr">
        <is>
          <t>تطابق تام ومباشر بنسبة 95% مع قطاع الخدمات والعمليات المدارة (Services BU - MOPS) وشراكة KBM الذهبية والمعتمدة مع شركة سيسكو (Cisco Preferred &amp; Managed Services Partner). تلبي KBM جميع المتطلبات التأهيلية الإلزامية للمناقصة: اعتماد تقديم الخدمات المدارة من سيسكو، مراكز عمليات مدارة 24x7 معتمدة بشهادات ISO 20000 و ISO 27001 و ISO 22301، وكادر فني محلي ذو خبرة تفوق 10 سنوات في صيانة وإدارة شبكات وسويتشات سيسكو لقطاع النفط والغاز.</t>
        </is>
      </c>
      <c r="K2" s="17" t="inlineStr">
        <is>
          <t>• The Bidder MUST hold valid certifications covering:
  - Cisco Managed Services Providers Certificate
  - Cisco Preferred Networking Partner Certificate
  - Cisco Preferred Security Partner Certificate
  - Cisco Collaboration Partner Certificate
• Must be an established Kuwaiti Company with local offices and local staff.
• Must have at least five (5) years of experience in providing Managed Services.
• Must be Certified ISO 20000 IT Service Management (ITSM).
• The Managed Services Centers must be ISO 27001 and ISO 27017 certified.
• Must be ISO 22301 (Business Continuity Management) certified.
• Must have at least 2 similar Managed Services projects in Kuwait (min KWD 100,000 each past 10 years).
• All submitted Cisco certificates must have minimum validity of 6 months.
• موعد إقفال المناقصة: 06/10/2026 الساعة 01:00 ظهراً عبر منصة K-Tendering.
• تأمين أولي: 15,000 د.ك صالح لمدة 90 يوماً | رسوم الوثيقة: 500 د.ك.</t>
        </is>
      </c>
      <c r="L2" s="16" t="inlineStr">
        <is>
          <t>2026-09-06</t>
        </is>
      </c>
      <c r="M2" s="16" t="inlineStr">
        <is>
          <t>2026-10-06</t>
        </is>
      </c>
      <c r="N2" s="16" t="inlineStr">
        <is>
          <t>15000.0</t>
        </is>
      </c>
      <c r="O2" s="16" t="inlineStr">
        <is>
          <t>-</t>
        </is>
      </c>
      <c r="P2" s="16">
        <f>HYPERLINK("https://kuwaitalyawm.media.gov.kw/Online/ViewAdsHTML?id=169424&amp;no=1", "عرض الإعلان")</f>
        <v/>
      </c>
    </row>
    <row r="3">
      <c r="A3" s="16" t="inlineStr">
        <is>
          <t>MNA-24-2026</t>
        </is>
      </c>
      <c r="B3" s="17" t="inlineStr">
        <is>
          <t>شركة صناعة الكيماويات البترولية</t>
        </is>
      </c>
      <c r="C3" s="17" t="inlineStr">
        <is>
          <t>Abrar Al-Qallaf</t>
        </is>
      </c>
      <c r="D3" s="17" t="inlineStr">
        <is>
          <t>مناقصة رقم MNA-24-2026: IBM Maximo Application Suite (MAS) MAS-IT (ICD) License Renewal and Support Services - شركة صناعة الكيماويات البترولية</t>
        </is>
      </c>
      <c r="E3" s="17" t="inlineStr">
        <is>
          <t>تجديد تراخيص ودعم برمجيات IBM Maximo Application Suite (MAS) و MAS-IT (نظام إدارة خدمات تكنولوجيا المعلومات سابقاً ICD) لشركة PIC لضمان استمرارية الأعمال ودعم مبادرات التحول الرقمي والذكاء الاصطناعي وتحديث العمليات.</t>
        </is>
      </c>
      <c r="F3" s="16" t="inlineStr">
        <is>
          <t>قطاع برمجيات IBM وحلول الذكاء الاصطناعي وRed Hat</t>
        </is>
      </c>
      <c r="G3" s="16" t="inlineStr">
        <is>
          <t>95.0%</t>
        </is>
      </c>
      <c r="H3" s="16" t="inlineStr">
        <is>
          <t>موصى بالتقديم</t>
        </is>
      </c>
      <c r="I3" s="16" t="inlineStr">
        <is>
          <t>IBM</t>
        </is>
      </c>
      <c r="J3" s="17" t="inlineStr">
        <is>
          <t>تطابق استراتيجي حصري وتام بنسبة 95% مع قطاع حلول وبرمجيات آي بي إم (IBM BU - Solutions &amp; Channel)؛ حيث تعد KBM الممثل العام والوكيل الرئيسي المعتمد لشركة IBM في دولة الكويت (General Representative for IBM in Kuwait)، وشريك القيمة المضافة الرائد (Tier-1 Authorized Partner/Reseller) المتخصص في تراخيص ودعم نظام IBM Maximo و MAS-IT وحلول الذكاء الاصطناعي watsonx.</t>
        </is>
      </c>
      <c r="K3" s="17" t="inlineStr">
        <is>
          <t>• The bidder must be an authorized IBM partner/reseller in Kuwait as per IBM online partner directory under VAR/Reseller/Solution Provider category.
• Official partnership letter should be provided (failing to meet these qualifications will lead to disqualification).
• موعد إقفال المناقصة: 06/10/2026 الساعة 01:00 ظهراً عبر منصة K-Tendering.
• تأمين أولي: 15,000 د.ك صالح لمدة 90 يوماً | رسوم الوثيقة: 500 د.ك.
• موعد الاجتماع التمهيدي الافتراضي: 14/09/2026 الساعة 10:00 صباحاً.</t>
        </is>
      </c>
      <c r="L3" s="16" t="inlineStr">
        <is>
          <t>2026-09-06</t>
        </is>
      </c>
      <c r="M3" s="16" t="inlineStr">
        <is>
          <t>2026-10-06</t>
        </is>
      </c>
      <c r="N3" s="16" t="inlineStr">
        <is>
          <t>15000.0</t>
        </is>
      </c>
      <c r="O3" s="16" t="inlineStr">
        <is>
          <t>-</t>
        </is>
      </c>
      <c r="P3" s="16">
        <f>HYPERLINK("https://kuwaitalyawm.media.gov.kw/Online/ViewAdsHTML?id=169425&amp;no=1", "عرض الإعلان")</f>
        <v/>
      </c>
    </row>
    <row r="4">
      <c r="A4" s="16" t="inlineStr">
        <is>
          <t>2026/35</t>
        </is>
      </c>
      <c r="B4" s="17" t="inlineStr">
        <is>
          <t>الجهاز المركزي لتكنولوجيا المعلومات</t>
        </is>
      </c>
      <c r="C4" s="17" t="inlineStr">
        <is>
          <t>Eiman Ashkanani</t>
        </is>
      </c>
      <c r="D4" s="17" t="inlineStr">
        <is>
          <t>ممارسة رقم 2026/35: إعلان طرح الممارسة رقم (35-2026/2027) توفير خدمة الدعم الفني والصيانة لعدد 4 وحدات إمداد الطاقة الكهربائية اللامنقطعة UPS والبطاريات الملحقة بها للجهاز المركزي لتكنولوجيا المعلومات</t>
        </is>
      </c>
      <c r="E4" s="17" t="inlineStr">
        <is>
          <t>تنفيذ أعمال إعلان طرح الممارسة رقم (35-2026/2027) توفير خدمة الدعم الفني والصيانة لعدد 4 وحدات إمداد الطاقة الكهربائية اللامنقطعة UPS والبطاريات الملحقة بها للجهاز المركزي لتكنولوجيا المعلومات، وتوفير كافة الأجهزة والمعدات والأنظمة وخدمات الدعم الفني والضمان وفقاً لكراسة الشروط والمواصفات الفنية.</t>
        </is>
      </c>
      <c r="F4" s="16" t="inlineStr">
        <is>
          <t>قطاع العمليات المدارة والدعم الفني متعدد الموردين</t>
        </is>
      </c>
      <c r="G4" s="16" t="inlineStr">
        <is>
          <t>85.0%</t>
        </is>
      </c>
      <c r="H4" s="16" t="inlineStr">
        <is>
          <t>فرصة استراتيجية رئيسية (موصى بالتقديم)</t>
        </is>
      </c>
      <c r="I4" s="16" t="inlineStr">
        <is>
          <t>-</t>
        </is>
      </c>
      <c r="J4" s="17" t="inlineStr">
        <is>
          <t>Aligned with Services BU (MOPS) (2 capability matches) | Core ICT Scope in Tender Title | Strategic KBM Account Relationship</t>
        </is>
      </c>
      <c r="K4" s="17"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L4" s="16" t="inlineStr">
        <is>
          <t>2026-09-27</t>
        </is>
      </c>
      <c r="M4" s="18" t="inlineStr">
        <is>
          <t>2026-10-15</t>
        </is>
      </c>
      <c r="N4" s="16" t="inlineStr">
        <is>
          <t>-</t>
        </is>
      </c>
      <c r="O4" s="16" t="inlineStr">
        <is>
          <t>75.0 KWD</t>
        </is>
      </c>
      <c r="P4" s="16">
        <f>HYPERLINK("https://kuwaitalyawm.media.gov.kw/Online/ViewAdsHTML?id=171699&amp;no=1", "عرض الإعلان")</f>
        <v/>
      </c>
    </row>
    <row r="5">
      <c r="A5" s="16" t="inlineStr">
        <is>
          <t>2027/2026/24</t>
        </is>
      </c>
      <c r="B5" s="17" t="inlineStr">
        <is>
          <t>وزارة الداخلية</t>
        </is>
      </c>
      <c r="C5" s="17" t="inlineStr">
        <is>
          <t>Khaled Alabdallah</t>
        </is>
      </c>
      <c r="D5" s="17" t="inlineStr">
        <is>
          <t>مناقصة رقم 2027/2026/24: توريد وتركيب وتشغيل وصيانة وضمان مع تنفيذ مشروع منظومة مركز اتصال العمليات (112) للإدارة العامة لهندسة الاتصالات.</t>
        </is>
      </c>
      <c r="E5" s="17" t="inlineStr">
        <is>
          <t>تنفيذ أعمال توريد وتركيب وتشغيل وصيانة وضمان مع تنفيذ مشروع منظومة مركز اتصال العمليات (112) للإدارة العامة لهندسة الاتصالات.، وتوفير كافة الأجهزة والمعدات والأنظمة وخدمات الدعم الفني والضمان وفقاً لكراسة الشروط والمواصفات الفنية.</t>
        </is>
      </c>
      <c r="F5" s="16" t="inlineStr">
        <is>
          <t>قطاع العمليات المدارة والدعم الفني متعدد الموردين</t>
        </is>
      </c>
      <c r="G5" s="16" t="inlineStr">
        <is>
          <t>85.0%</t>
        </is>
      </c>
      <c r="H5" s="16" t="inlineStr">
        <is>
          <t>فرصة استراتيجية رئيسية (موصى بالتقديم)</t>
        </is>
      </c>
      <c r="I5" s="16" t="inlineStr">
        <is>
          <t>-</t>
        </is>
      </c>
      <c r="J5" s="17" t="inlineStr">
        <is>
          <t>Aligned with Services BU (MOPS) (2 capability matches) | Core ICT Scope in Tender Title | Strategic KBM Account Relationship</t>
        </is>
      </c>
      <c r="K5" s="17"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L5" s="16" t="inlineStr">
        <is>
          <t>2026-09-20</t>
        </is>
      </c>
      <c r="M5" s="16" t="inlineStr">
        <is>
          <t>2026-11-11</t>
        </is>
      </c>
      <c r="N5" s="16" t="inlineStr">
        <is>
          <t>1000.0</t>
        </is>
      </c>
      <c r="O5" s="16" t="inlineStr">
        <is>
          <t>-</t>
        </is>
      </c>
      <c r="P5" s="16">
        <f>HYPERLINK("https://kuwaitalyawm.media.gov.kw/Online/ViewAdsHTML?id=170975&amp;no=1", "عرض الإعلان")</f>
        <v/>
      </c>
    </row>
    <row r="6">
      <c r="A6" s="16" t="inlineStr">
        <is>
          <t>24181118110</t>
        </is>
      </c>
      <c r="B6" s="17" t="inlineStr">
        <is>
          <t>وزارة الدفاع</t>
        </is>
      </c>
      <c r="C6" s="17" t="inlineStr">
        <is>
          <t>Eiman Ashkanani</t>
        </is>
      </c>
      <c r="D6" s="17" t="inlineStr">
        <is>
          <t>ممارسة رقم 24181118110: توريد وتركيب وتعريف واختبار أجهزة خوادم النظام المالي لزوم وزارة الدفاع</t>
        </is>
      </c>
      <c r="E6" s="17" t="inlineStr">
        <is>
          <t>توريد وتركيب وتعريف واختبار أجهزة خوادم عالية الأداء (Enterprise Servers) وأنظمة التخزين وحلول التشغيل الخاصة بالنظام المالي التابع لوزارة الدفاع بدولة الكويت مع الضمان والدعم الفني.</t>
        </is>
      </c>
      <c r="F6" s="16" t="inlineStr">
        <is>
          <t>قطاع الخوادم وحلول التخزين والبنية التحتية</t>
        </is>
      </c>
      <c r="G6" s="16" t="inlineStr">
        <is>
          <t>85.0%</t>
        </is>
      </c>
      <c r="H6" s="16" t="inlineStr">
        <is>
          <t>موصى بالتقديم</t>
        </is>
      </c>
      <c r="I6" s="16" t="inlineStr">
        <is>
          <t>IBM, Lenovo</t>
        </is>
      </c>
      <c r="J6" s="17" t="inlineStr">
        <is>
          <t>تطابق عالي بنسبة 85% مع قطاع خوادم وبنية النظم التحتية (IBM BU - Systems / Enterprise Infrastructure) لدى KBM؛ توريد وتركيب خوادم المؤسسات (Enterprise Servers) وقواعد بيانات النظم المالية الحكومية، مع توافق كامل مع تصنيف KBM المسجل والمعتمد لدى وزارة الدفاع.</t>
        </is>
      </c>
      <c r="K6" s="17" t="inlineStr">
        <is>
          <t>• أن تكون الشركة مسجلة في وزارة الدفاع لسنة 2026 ومتخصصة في هذا المجال ومصنفة لدى مراقبة شئون الشركات بالوزارة مع تقديم الأوراق الدالة على نشاطها.
• تقديم كتاب تفويض من الشركة بشراء الوثائق.
• تقديم صورة عن شهادة دعم العمالة الوطنية لدى الشركات غير الحكومية (السنوية).
• تقديم كتاب رسمي لأية استفسارات يكون في خلال (أسبوع واحد) من تاريخ نشر الإعلان.
• للاستفسار هاتف: 1844411 (داخلي 61929).</t>
        </is>
      </c>
      <c r="L6" s="16" t="inlineStr">
        <is>
          <t>2026-09-27</t>
        </is>
      </c>
      <c r="M6" s="16" t="inlineStr">
        <is>
          <t>2026-10-25</t>
        </is>
      </c>
      <c r="N6" s="16" t="inlineStr">
        <is>
          <t>5000.0 KWD</t>
        </is>
      </c>
      <c r="O6" s="16" t="inlineStr">
        <is>
          <t>150.0 KWD</t>
        </is>
      </c>
      <c r="P6" s="16">
        <f>HYPERLINK("https://kuwaitalyawm.media.gov.kw/Online/ViewAdsHTML?id=171540&amp;no=1", "عرض الإعلان")</f>
        <v/>
      </c>
    </row>
    <row r="7">
      <c r="A7" s="16" t="inlineStr">
        <is>
          <t>17/2026/2027</t>
        </is>
      </c>
      <c r="B7" s="17" t="inlineStr">
        <is>
          <t>الإدارة العامة للإطفاء</t>
        </is>
      </c>
      <c r="C7" s="17" t="inlineStr">
        <is>
          <t>Eiman Ashkanani</t>
        </is>
      </c>
      <c r="D7" s="17" t="inlineStr">
        <is>
          <t>صيانة أنظمة و أجهزة الاتصالات بقوة الإطفاء العام</t>
        </is>
      </c>
      <c r="E7" s="17" t="inlineStr">
        <is>
          <t>تنفيذ أعمال صيانة أنظمة و أجهزة الاتصالات بقوة الإطفاء العام، وتوفير كافة الأجهزة والمعدات والأنظمة وخدمات الدعم الفني والضمان وفقاً لكراسة الشروط والمواصفات الفنية.</t>
        </is>
      </c>
      <c r="F7" s="16" t="inlineStr">
        <is>
          <t>قطاع العمليات المدارة والدعم الفني متعدد الموردين</t>
        </is>
      </c>
      <c r="G7" s="16" t="inlineStr">
        <is>
          <t>85.0%</t>
        </is>
      </c>
      <c r="H7" s="16" t="inlineStr">
        <is>
          <t>فرصة استراتيجية رئيسية (موصى بالتقديم)</t>
        </is>
      </c>
      <c r="I7" s="16" t="inlineStr">
        <is>
          <t>-</t>
        </is>
      </c>
      <c r="J7" s="17" t="inlineStr">
        <is>
          <t>Aligned with Services BU (MOPS) (3 capability matches) | Core ICT Scope in Tender Title | Strategic KBM Account Relationship</t>
        </is>
      </c>
      <c r="K7" s="17"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L7" s="16" t="inlineStr">
        <is>
          <t>2026-09-20</t>
        </is>
      </c>
      <c r="M7" s="16" t="inlineStr">
        <is>
          <t>2026-11-10</t>
        </is>
      </c>
      <c r="N7" s="16" t="inlineStr">
        <is>
          <t>23000.000 KWD</t>
        </is>
      </c>
      <c r="O7" s="16" t="inlineStr">
        <is>
          <t>1000.000 KWD</t>
        </is>
      </c>
      <c r="P7" s="16">
        <f>HYPERLINK("https://capt.gov.kw/ar/tenders/opening-tenders/#card-0", "عرض الإعلان")</f>
        <v/>
      </c>
    </row>
    <row r="8">
      <c r="A8" s="16" t="inlineStr">
        <is>
          <t>و ش ج 1/2026/2027</t>
        </is>
      </c>
      <c r="B8" s="17" t="inlineStr">
        <is>
          <t>وزارة الشئون الاجتماعية</t>
        </is>
      </c>
      <c r="C8" s="17" t="inlineStr">
        <is>
          <t>Eiman Ashkanani</t>
        </is>
      </c>
      <c r="D8" s="17" t="inlineStr">
        <is>
          <t>تجديد الدعم الفني لتراخيص الاوراكل لوزارة الشئون الاجتماعية</t>
        </is>
      </c>
      <c r="E8" s="17" t="inlineStr">
        <is>
          <t>تنفيذ أعمال تجديد الدعم الفني لتراخيص الاوراكل لوزارة الشئون الاجتماعية، وتوفير كافة الأجهزة والمعدات والأنظمة وخدمات الدعم الفني والضمان وفقاً لكراسة الشروط والمواصفات الفنية.</t>
        </is>
      </c>
      <c r="F8" s="16" t="inlineStr">
        <is>
          <t>قطاع العمليات المدارة والدعم الفني متعدد الموردين</t>
        </is>
      </c>
      <c r="G8" s="16" t="inlineStr">
        <is>
          <t>84.0%</t>
        </is>
      </c>
      <c r="H8" s="16" t="inlineStr">
        <is>
          <t>فرصة استراتيجية رئيسية (موصى بالتقديم)</t>
        </is>
      </c>
      <c r="I8" s="16" t="inlineStr">
        <is>
          <t>Oracle</t>
        </is>
      </c>
      <c r="J8" s="17" t="inlineStr">
        <is>
          <t>Matching KBM Vendor Partners: Oracle | Aligned with Services BU (MOPS) (1 capability matches) | Core ICT Scope in Tender Title</t>
        </is>
      </c>
      <c r="K8" s="17"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L8" s="16" t="inlineStr">
        <is>
          <t>2026-10-11</t>
        </is>
      </c>
      <c r="M8" s="16" t="inlineStr">
        <is>
          <t>2027-01-05</t>
        </is>
      </c>
      <c r="N8" s="16" t="inlineStr">
        <is>
          <t>3500.000 KWD</t>
        </is>
      </c>
      <c r="O8" s="16" t="inlineStr">
        <is>
          <t>150.000 KWD</t>
        </is>
      </c>
      <c r="P8" s="16">
        <f>HYPERLINK("https://capt.gov.kw/ar/tenders/opening-tenders/#card-6", "عرض الإعلان")</f>
        <v/>
      </c>
    </row>
    <row r="9">
      <c r="A9" s="16" t="inlineStr">
        <is>
          <t>2026/16</t>
        </is>
      </c>
      <c r="B9" s="17" t="inlineStr">
        <is>
          <t>بيت الزكاة</t>
        </is>
      </c>
      <c r="C9" s="17" t="inlineStr">
        <is>
          <t>Eiman Ashkanani</t>
        </is>
      </c>
      <c r="D9" s="17" t="inlineStr">
        <is>
          <t>ممارسة رقم 2026/16: توفير خدمات إنشاء وتطوير وصيانة أنظمة أوراكل</t>
        </is>
      </c>
      <c r="E9" s="17" t="inlineStr">
        <is>
          <t>تنفيذ أعمال توفير خدمات إنشاء وتطوير وصيانة أنظمة أوراكل، وتوفير كافة الأجهزة والمعدات والأنظمة وخدمات الدعم الفني والضمان وفقاً لكراسة الشروط والمواصفات الفنية.</t>
        </is>
      </c>
      <c r="F9" s="16" t="inlineStr">
        <is>
          <t>قطاع العمليات المدارة والدعم الفني متعدد الموردين</t>
        </is>
      </c>
      <c r="G9" s="16" t="inlineStr">
        <is>
          <t>84.0%</t>
        </is>
      </c>
      <c r="H9" s="16" t="inlineStr">
        <is>
          <t>فرصة استراتيجية رئيسية (موصى بالتقديم)</t>
        </is>
      </c>
      <c r="I9" s="16" t="inlineStr">
        <is>
          <t>Oracle</t>
        </is>
      </c>
      <c r="J9" s="17" t="inlineStr">
        <is>
          <t>Matching KBM Vendor Partners: Oracle | Aligned with Services BU (MOPS) (1 capability matches) | Core ICT Scope in Tender Title</t>
        </is>
      </c>
      <c r="K9" s="17" t="inlineStr">
        <is>
          <t>• https://www.zakathouse.org.kw/tender.aspx</t>
        </is>
      </c>
      <c r="L9" s="16" t="inlineStr">
        <is>
          <t>2026-09-27</t>
        </is>
      </c>
      <c r="M9" s="16" t="inlineStr">
        <is>
          <t>-</t>
        </is>
      </c>
      <c r="N9" s="16" t="inlineStr">
        <is>
          <t>-</t>
        </is>
      </c>
      <c r="O9" s="16" t="inlineStr">
        <is>
          <t>75.0 KWD</t>
        </is>
      </c>
      <c r="P9" s="16">
        <f>HYPERLINK("https://kuwaitalyawm.media.gov.kw/Online/ViewAdsHTML?id=171714&amp;no=1", "عرض الإعلان")</f>
        <v/>
      </c>
    </row>
    <row r="10">
      <c r="A10" s="16" t="inlineStr">
        <is>
          <t>RFQ/1063825</t>
        </is>
      </c>
      <c r="B10" s="17" t="inlineStr">
        <is>
          <t>شركة البترول الوطنية الكويتية</t>
        </is>
      </c>
      <c r="C10" s="17" t="inlineStr">
        <is>
          <t>Abrar Al-Qallaf</t>
        </is>
      </c>
      <c r="D10" s="17" t="inlineStr">
        <is>
          <t>ممارسة رقم RFQ/1063825: توريد قطع غيار أنظمة الاتصالات (Spares for the Telecommunication System - LBP) - شركة البترول الوطنية الكويتية</t>
        </is>
      </c>
      <c r="E10" s="17" t="inlineStr">
        <is>
          <t>توريد قطع غيار ومعدات شبكات الاتصالات وأنظمة التراسل السلكي واللاسلكي لمصفاة ميناء عبد الله (LBP).</t>
        </is>
      </c>
      <c r="F10" s="16" t="inlineStr">
        <is>
          <t>قطاع العمليات المدارة والدعم الفني متعدد الموردين</t>
        </is>
      </c>
      <c r="G10" s="16" t="inlineStr">
        <is>
          <t>75.0%</t>
        </is>
      </c>
      <c r="H10" s="16" t="inlineStr">
        <is>
          <t>موصى بالتقديم</t>
        </is>
      </c>
      <c r="I10" s="16" t="inlineStr">
        <is>
          <t>Cisco</t>
        </is>
      </c>
      <c r="J10" s="17" t="inlineStr">
        <is>
          <t>تطابق بنسبة 75% مع قطاع توريد ودعم أنظمة ومعدات الاتصالات والشبكات للقطاع النفطي (Services BU - Telecom &amp; MOPS).</t>
        </is>
      </c>
      <c r="K10" s="17" t="inlineStr">
        <is>
          <t>وفقاً لشروط وإجراءات المناقصات والتوريد لدى شركة البترول الوطنية الكويتية (KNPC) عبر منصة K-Tendering.</t>
        </is>
      </c>
      <c r="L10" s="16" t="inlineStr">
        <is>
          <t>2026-09-27</t>
        </is>
      </c>
      <c r="M10" s="16" t="inlineStr">
        <is>
          <t>2026-10-22</t>
        </is>
      </c>
      <c r="N10" s="16" t="inlineStr">
        <is>
          <t>1000.0 KWD</t>
        </is>
      </c>
      <c r="O10" s="16" t="inlineStr">
        <is>
          <t>-</t>
        </is>
      </c>
      <c r="P10" s="16">
        <f>HYPERLINK("https://kuwaitalyawm.media.gov.kw/Online/ViewAdsHTML?id=171725&amp;no=1", "عرض الإعلان")</f>
        <v/>
      </c>
    </row>
    <row r="11">
      <c r="A11" s="19" t="inlineStr">
        <is>
          <t>2027/2026/8</t>
        </is>
      </c>
      <c r="B11" s="20" t="inlineStr">
        <is>
          <t>الإدارة العامة للإطفاء</t>
        </is>
      </c>
      <c r="C11" s="20" t="inlineStr">
        <is>
          <t>Eiman Ashkanani</t>
        </is>
      </c>
      <c r="D11" s="20" t="inlineStr">
        <is>
          <t>ممارسة رقم 2027/2026/8: بشأن شراء وتجديد حزمة برامج Manage engine</t>
        </is>
      </c>
      <c r="E11" s="20" t="inlineStr">
        <is>
          <t>تنفيذ أعمال بشأن شراء وتجديد حزمة برامج Manage engine، وتوفير كافة الأجهزة والمعدات والأنظمة وخدمات الدعم الفني والضمان وفقاً لكراسة الشروط والمواصفات الفنية.</t>
        </is>
      </c>
      <c r="F11" s="19" t="inlineStr">
        <is>
          <t>قطاع برمجيات IBM وحلول الذكاء الاصطناعي وRed Hat</t>
        </is>
      </c>
      <c r="G11" s="19" t="inlineStr">
        <is>
          <t>68.0%</t>
        </is>
      </c>
      <c r="H11" s="19" t="inlineStr">
        <is>
          <t>فرصة ICT متوافقة مع قدرات KBM</t>
        </is>
      </c>
      <c r="I11" s="19" t="inlineStr">
        <is>
          <t>-</t>
        </is>
      </c>
      <c r="J11" s="20" t="inlineStr">
        <is>
          <t>Aligned with IBM BU - Solutions &amp; Channel (1 capability matches) | Core ICT Scope in Tender Title | Strategic KBM Account Relationship</t>
        </is>
      </c>
      <c r="K11" s="20"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L11" s="19" t="inlineStr">
        <is>
          <t>2026-09-27</t>
        </is>
      </c>
      <c r="M11" s="19" t="inlineStr">
        <is>
          <t>-</t>
        </is>
      </c>
      <c r="N11" s="19" t="inlineStr">
        <is>
          <t>-</t>
        </is>
      </c>
      <c r="O11" s="19" t="inlineStr">
        <is>
          <t>75.0 KWD</t>
        </is>
      </c>
      <c r="P11" s="19">
        <f>HYPERLINK("https://kuwaitalyawm.media.gov.kw/Online/ViewAdsHTML?id=171698&amp;no=1", "عرض الإعلان")</f>
        <v/>
      </c>
    </row>
    <row r="12">
      <c r="A12" s="19" t="inlineStr">
        <is>
          <t>هـ ص/ط/337</t>
        </is>
      </c>
      <c r="B12" s="20" t="inlineStr">
        <is>
          <t>وزارة الأشغال العامة</t>
        </is>
      </c>
      <c r="C12" s="20" t="inlineStr">
        <is>
          <t>Eiman Ashkanani</t>
        </is>
      </c>
      <c r="D12" s="20" t="inlineStr">
        <is>
          <t>تشغيل وصيانه محطات ضخ مياه الامطار للانفاق التي تقع على الطرق السريعه</t>
        </is>
      </c>
      <c r="E12" s="20" t="inlineStr">
        <is>
          <t>أعمال وتوريدات تشغيل وصيانه محطات ضخ مياه الامطار للانفاق التي تقع على الطرق السريعه لصالح وزارة الأشغال العامة وفقاً للشروط والمواصفات المعتمدة في وثائق الطرح.</t>
        </is>
      </c>
      <c r="F12" s="19" t="inlineStr">
        <is>
          <t>قطاع العمليات المدارة والدعم الفني متعدد الموردين</t>
        </is>
      </c>
      <c r="G12" s="19" t="inlineStr">
        <is>
          <t>64.0%</t>
        </is>
      </c>
      <c r="H12" s="19" t="inlineStr">
        <is>
          <t>فرصة ICT متوافقة مع قدرات KBM</t>
        </is>
      </c>
      <c r="I12" s="19" t="inlineStr">
        <is>
          <t>-</t>
        </is>
      </c>
      <c r="J12" s="20" t="inlineStr">
        <is>
          <t>Aligned with Services BU (MOPS) (1 capability matches) | Core ICT Scope in Tender Title | Strategic KBM Account Relationship</t>
        </is>
      </c>
      <c r="K12" s="20"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L12" s="19" t="inlineStr">
        <is>
          <t>2026-10-11</t>
        </is>
      </c>
      <c r="M12" s="19" t="inlineStr">
        <is>
          <t>2026-11-10</t>
        </is>
      </c>
      <c r="N12" s="19" t="inlineStr">
        <is>
          <t>45000.000 KWD</t>
        </is>
      </c>
      <c r="O12" s="19" t="inlineStr">
        <is>
          <t>1000.000 KWD</t>
        </is>
      </c>
      <c r="P12" s="19">
        <f>HYPERLINK("https://capt.gov.kw/ar/tenders/opening-tenders/#card-4", "عرض الإعلان")</f>
        <v/>
      </c>
    </row>
    <row r="13">
      <c r="A13" s="19" t="inlineStr">
        <is>
          <t>2027/2026/3</t>
        </is>
      </c>
      <c r="B13" s="20" t="inlineStr">
        <is>
          <t>الهيئة العامة للبيئة</t>
        </is>
      </c>
      <c r="C13" s="20" t="inlineStr">
        <is>
          <t>Eiman Ashkanani</t>
        </is>
      </c>
      <c r="D13" s="20" t="inlineStr">
        <is>
          <t>ممارسة رقم 2027/2026/3: توفير خدمات تقنية المعلومات والصيانة والدعم الفني</t>
        </is>
      </c>
      <c r="E13" s="20" t="inlineStr">
        <is>
          <t>تنفيذ أعمال توفير خدمات تقنية المعلومات والصيانة والدعم الفني، وتوفير كافة الأجهزة والمعدات والأنظمة وخدمات الدعم الفني والضمان وفقاً لكراسة الشروط والمواصفات الفنية.</t>
        </is>
      </c>
      <c r="F13" s="19" t="inlineStr">
        <is>
          <t>قطاع العمليات المدارة والدعم الفني متعدد الموردين</t>
        </is>
      </c>
      <c r="G13" s="19" t="inlineStr">
        <is>
          <t>64.0%</t>
        </is>
      </c>
      <c r="H13" s="19" t="inlineStr">
        <is>
          <t>فرصة ICT متوافقة مع قدرات KBM</t>
        </is>
      </c>
      <c r="I13" s="19" t="inlineStr">
        <is>
          <t>-</t>
        </is>
      </c>
      <c r="J13" s="20" t="inlineStr">
        <is>
          <t>Aligned with Services BU (MOPS) (1 capability matches) | Core ICT Scope in Tender Title | Strategic KBM Account Relationship</t>
        </is>
      </c>
      <c r="K13" s="20"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L13" s="19" t="inlineStr">
        <is>
          <t>2026-09-27</t>
        </is>
      </c>
      <c r="M13" s="19" t="inlineStr">
        <is>
          <t>2026-10-27</t>
        </is>
      </c>
      <c r="N13" s="19" t="inlineStr">
        <is>
          <t>-</t>
        </is>
      </c>
      <c r="O13" s="19" t="inlineStr">
        <is>
          <t>30.0 KWD</t>
        </is>
      </c>
      <c r="P13" s="19">
        <f>HYPERLINK("https://kuwaitalyawm.media.gov.kw/Online/ViewAdsHTML?id=171677&amp;no=1", "عرض الإعلان")</f>
        <v/>
      </c>
    </row>
    <row r="14">
      <c r="A14" s="19" t="inlineStr">
        <is>
          <t>2027/2026/12</t>
        </is>
      </c>
      <c r="B14" s="20" t="inlineStr">
        <is>
          <t>الرئاسة العامة للحرس الوطني</t>
        </is>
      </c>
      <c r="C14" s="20" t="inlineStr">
        <is>
          <t>Eiman Ashkanani</t>
        </is>
      </c>
      <c r="D14" s="20" t="inlineStr">
        <is>
          <t>ممارسة رقم 2027/2026/12: الخاصة بصيانة أجهزة توزيع أحمال الشبكة</t>
        </is>
      </c>
      <c r="E14" s="20" t="inlineStr">
        <is>
          <t>تنفيذ أعمال الخاصة بصيانة أجهزة توزيع أحمال الشبكة، وتوفير كافة الأجهزة والمعدات والأنظمة وخدمات الدعم الفني والضمان وفقاً لكراسة الشروط والمواصفات الفنية.</t>
        </is>
      </c>
      <c r="F14" s="19" t="inlineStr">
        <is>
          <t>قطاع العمليات المدارة والدعم الفني متعدد الموردين</t>
        </is>
      </c>
      <c r="G14" s="19" t="inlineStr">
        <is>
          <t>64.0%</t>
        </is>
      </c>
      <c r="H14" s="19" t="inlineStr">
        <is>
          <t>فرصة ICT متوافقة مع قدرات KBM</t>
        </is>
      </c>
      <c r="I14" s="19" t="inlineStr">
        <is>
          <t>-</t>
        </is>
      </c>
      <c r="J14" s="20" t="inlineStr">
        <is>
          <t>Aligned with Services BU (MOPS) (1 capability matches) | Core ICT Scope in Tender Title | Strategic KBM Account Relationship</t>
        </is>
      </c>
      <c r="K14" s="20"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L14" s="19" t="inlineStr">
        <is>
          <t>2026-09-27</t>
        </is>
      </c>
      <c r="M14" s="19" t="inlineStr">
        <is>
          <t>-</t>
        </is>
      </c>
      <c r="N14" s="19" t="inlineStr">
        <is>
          <t>-</t>
        </is>
      </c>
      <c r="O14" s="19" t="inlineStr">
        <is>
          <t>75.0 KWD</t>
        </is>
      </c>
      <c r="P14" s="19">
        <f>HYPERLINK("https://kuwaitalyawm.media.gov.kw/Online/ViewAdsHTML?id=171707&amp;no=1", "عرض الإعلان")</f>
        <v/>
      </c>
    </row>
    <row r="15">
      <c r="A15" s="19" t="inlineStr">
        <is>
          <t>1042826</t>
        </is>
      </c>
      <c r="B15" s="20" t="inlineStr">
        <is>
          <t>وزارة الدفاع</t>
        </is>
      </c>
      <c r="C15" s="20" t="inlineStr">
        <is>
          <t>Eiman Ashkanani</t>
        </is>
      </c>
      <c r="D15" s="20" t="inlineStr">
        <is>
          <t>مناقصة رقم 1042826: تشغيل وصيانة وإصلاح لمحطات الوقود بمعسكرات</t>
        </is>
      </c>
      <c r="E15" s="20" t="inlineStr">
        <is>
          <t>أعمال وتوريدات تشغيل وصيانة وإصلاح لمحطات الوقود بمعسكرات لصالح وزارة الدفاع وفقاً للشروط والمواصفات المعتمدة في وثائق الطرح.</t>
        </is>
      </c>
      <c r="F15" s="19" t="inlineStr">
        <is>
          <t>قطاع العمليات المدارة والدعم الفني متعدد الموردين</t>
        </is>
      </c>
      <c r="G15" s="19" t="inlineStr">
        <is>
          <t>64.0%</t>
        </is>
      </c>
      <c r="H15" s="19" t="inlineStr">
        <is>
          <t>فرصة ICT متوافقة مع قدرات KBM</t>
        </is>
      </c>
      <c r="I15" s="19" t="inlineStr">
        <is>
          <t>-</t>
        </is>
      </c>
      <c r="J15" s="20" t="inlineStr">
        <is>
          <t>Aligned with Services BU (MOPS) (1 capability matches) | Core ICT Scope in Tender Title | Strategic KBM Account Relationship</t>
        </is>
      </c>
      <c r="K15" s="20"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L15" s="19" t="inlineStr">
        <is>
          <t>2026-08-30</t>
        </is>
      </c>
      <c r="M15" s="19" t="inlineStr">
        <is>
          <t>2026-10-27</t>
        </is>
      </c>
      <c r="N15" s="19" t="inlineStr">
        <is>
          <t>15000.0</t>
        </is>
      </c>
      <c r="O15" s="19" t="inlineStr">
        <is>
          <t>1000.0</t>
        </is>
      </c>
      <c r="P15" s="19">
        <f>HYPERLINK("https://kuwaitalyawm.media.gov.kw/Online/ViewAdsHTML?id=168279&amp;no=1", "عرض الإعلان")</f>
        <v/>
      </c>
    </row>
    <row r="16">
      <c r="A16" s="19" t="inlineStr">
        <is>
          <t>33/32</t>
        </is>
      </c>
      <c r="B16" s="20" t="inlineStr">
        <is>
          <t>وزارة الصحة</t>
        </is>
      </c>
      <c r="C16" s="20" t="inlineStr">
        <is>
          <t>Jana Al-Obaid</t>
        </is>
      </c>
      <c r="D16" s="20" t="inlineStr">
        <is>
          <t>ممارسة رقم 33/32: توريد وتركيب وتشغيل وصيانة نظام كاميرات المراقبة الأمنية بمستشفى الأميري الجديد والقديم والمباني التابعة لها</t>
        </is>
      </c>
      <c r="E16" s="20" t="inlineStr">
        <is>
          <t>تنفيذ أعمال توريد وتركيب وتشغيل وصيانة نظام كاميرات المراقبة الأمنية بمستشفى الأميري الجديد والقديم والمباني التابعة لها، وتوفير كافة الأجهزة والمعدات والأنظمة وخدمات الدعم الفني والضمان وفقاً لكراسة الشروط والمواصفات الفنية.</t>
        </is>
      </c>
      <c r="F16" s="19" t="inlineStr">
        <is>
          <t>قطاع العمليات المدارة والدعم الفني متعدد الموردين</t>
        </is>
      </c>
      <c r="G16" s="19" t="inlineStr">
        <is>
          <t>64.0%</t>
        </is>
      </c>
      <c r="H16" s="19" t="inlineStr">
        <is>
          <t>فرصة ICT متوافقة مع قدرات KBM</t>
        </is>
      </c>
      <c r="I16" s="19" t="inlineStr">
        <is>
          <t>-</t>
        </is>
      </c>
      <c r="J16" s="20" t="inlineStr">
        <is>
          <t>Aligned with Services BU (MOPS) (1 capability matches) | Core ICT Scope in Tender Title | Strategic KBM Account Relationship</t>
        </is>
      </c>
      <c r="K16" s="20"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L16" s="19" t="inlineStr">
        <is>
          <t>2026-09-27</t>
        </is>
      </c>
      <c r="M16" s="19" t="inlineStr">
        <is>
          <t>-</t>
        </is>
      </c>
      <c r="N16" s="19" t="inlineStr">
        <is>
          <t>-</t>
        </is>
      </c>
      <c r="O16" s="19" t="inlineStr">
        <is>
          <t>-</t>
        </is>
      </c>
      <c r="P16" s="19">
        <f>HYPERLINK("https://kuwaitalyawm.media.gov.kw/Online/ViewAdsHTML?id=171544&amp;no=1", "عرض الإعلان")</f>
        <v/>
      </c>
    </row>
    <row r="17">
      <c r="A17" s="19" t="inlineStr">
        <is>
          <t>و ك م /48/2025/2026</t>
        </is>
      </c>
      <c r="B17" s="20" t="inlineStr">
        <is>
          <t>وزارة الكهرباء والماء والطاقة المتجددة</t>
        </is>
      </c>
      <c r="C17" s="20" t="inlineStr">
        <is>
          <t>Raed Obeid</t>
        </is>
      </c>
      <c r="D17" s="20" t="inlineStr">
        <is>
          <t>أعمال صيانة أنظمة الإنذار ومكافحة الحريق في محطات الشعيبة لتوليد القوى الكهربائية وتقطير المياه</t>
        </is>
      </c>
      <c r="E17" s="20" t="inlineStr">
        <is>
          <t>تنفيذ أعمال أعمال صيانة أنظمة الإنذار ومكافحة الحريق في محطات الشعيبة لتوليد القوى الكهربائية وتقطير المياه، وتوفير كافة الأجهزة والمعدات والأنظمة وخدمات الدعم الفني والضمان وفقاً لكراسة الشروط والمواصفات الفنية.</t>
        </is>
      </c>
      <c r="F17" s="19" t="inlineStr">
        <is>
          <t>قطاع العمليات المدارة والدعم الفني متعدد الموردين</t>
        </is>
      </c>
      <c r="G17" s="19" t="inlineStr">
        <is>
          <t>64.0%</t>
        </is>
      </c>
      <c r="H17" s="19" t="inlineStr">
        <is>
          <t>فرصة ICT متوافقة مع قدرات KBM</t>
        </is>
      </c>
      <c r="I17" s="19" t="inlineStr">
        <is>
          <t>-</t>
        </is>
      </c>
      <c r="J17" s="20" t="inlineStr">
        <is>
          <t>Aligned with Services BU (MOPS) (1 capability matches) | Core ICT Scope in Tender Title | Strategic KBM Account Relationship</t>
        </is>
      </c>
      <c r="K17" s="20"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L17" s="19" t="inlineStr">
        <is>
          <t>2026-10-04</t>
        </is>
      </c>
      <c r="M17" s="19" t="inlineStr">
        <is>
          <t>2026-11-03</t>
        </is>
      </c>
      <c r="N17" s="19" t="inlineStr">
        <is>
          <t>23000.000 KWD</t>
        </is>
      </c>
      <c r="O17" s="19" t="inlineStr">
        <is>
          <t>1000.000 KWD</t>
        </is>
      </c>
      <c r="P17" s="19">
        <f>HYPERLINK("https://capt.gov.kw/ar/tenders/opening-tenders/#card-4", "عرض الإعلان")</f>
        <v/>
      </c>
    </row>
    <row r="18">
      <c r="A18" s="19" t="inlineStr">
        <is>
          <t>ص / م خ ع / 11/2025/2026</t>
        </is>
      </c>
      <c r="B18" s="20" t="inlineStr">
        <is>
          <t>وزارة الصحة</t>
        </is>
      </c>
      <c r="C18" s="20" t="inlineStr">
        <is>
          <t>Jana Al-Obaid</t>
        </is>
      </c>
      <c r="D18" s="20" t="inlineStr">
        <is>
          <t>زيادة سعة بدالة مستشفى الاميري الجديد وربط المباني الملحقة بها بنظام اتصالات مركزي موحد</t>
        </is>
      </c>
      <c r="E18" s="20" t="inlineStr">
        <is>
          <t>تنفيذ أعمال زيادة سعة بدالة مستشفى الاميري الجديد وربط المباني الملحقة بها بنظام اتصالات مركزي موحد، وتوفير كافة الأجهزة والمعدات والأنظمة وخدمات الدعم الفني والضمان وفقاً لكراسة الشروط والمواصفات الفنية.</t>
        </is>
      </c>
      <c r="F18" s="19" t="inlineStr">
        <is>
          <t>قطاع العمليات المدارة والدعم الفني متعدد الموردين</t>
        </is>
      </c>
      <c r="G18" s="19" t="inlineStr">
        <is>
          <t>64.0%</t>
        </is>
      </c>
      <c r="H18" s="19" t="inlineStr">
        <is>
          <t>فرصة ICT متوافقة مع قدرات KBM</t>
        </is>
      </c>
      <c r="I18" s="19" t="inlineStr">
        <is>
          <t>-</t>
        </is>
      </c>
      <c r="J18" s="20" t="inlineStr">
        <is>
          <t>Aligned with Services BU (MOPS) (1 capability matches) | Core ICT Scope in Tender Title | Strategic KBM Account Relationship</t>
        </is>
      </c>
      <c r="K18" s="20"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L18" s="19" t="inlineStr">
        <is>
          <t>2026-10-04</t>
        </is>
      </c>
      <c r="M18" s="19" t="inlineStr">
        <is>
          <t>2026-11-03</t>
        </is>
      </c>
      <c r="N18" s="19" t="inlineStr">
        <is>
          <t>6000.000 KWD</t>
        </is>
      </c>
      <c r="O18" s="19" t="inlineStr">
        <is>
          <t>300.000 KWD</t>
        </is>
      </c>
      <c r="P18" s="19">
        <f>HYPERLINK("https://capt.gov.kw/ar/tenders/opening-tenders/#card-2", "عرض الإعلان")</f>
        <v/>
      </c>
    </row>
    <row r="19">
      <c r="A19" s="19" t="inlineStr">
        <is>
          <t>و ك م /48/2024/2025</t>
        </is>
      </c>
      <c r="B19" s="20" t="inlineStr">
        <is>
          <t>وزارة الكهرباء والماء والطاقة المتجددة</t>
        </is>
      </c>
      <c r="C19" s="20" t="inlineStr">
        <is>
          <t>Raed Obeid</t>
        </is>
      </c>
      <c r="D19" s="20" t="inlineStr">
        <is>
          <t>توريد كيبلات ألمنيوم ضغط متوسط 11ك.ف، كيبلات نحاس ضغط متوسط 11ك.ف كيبلات قيادية (PILOT) كيبلات ضغط منخفض 1ك.ف لمشاريع شبكات التوزيع الكهربائية 11ك.ف</t>
        </is>
      </c>
      <c r="E19" s="20" t="inlineStr">
        <is>
          <t>تنفيذ أعمال توريد كيبلات ألمنيوم ضغط متوسط 11ك.ف، كيبلات نحاس ضغط متوسط 11ك.ف كيبلات قيادية (PILOT) كيبلات ضغط منخفض 1ك.ف لمشاريع شبكات التوزيع الكهربائية 11ك.ف، وتوفير كافة الأجهزة والمعدات والأنظمة وخدمات الدعم الفني والضمان وفقاً لكراسة الشروط والمواصفات الفنية.</t>
        </is>
      </c>
      <c r="F19" s="19" t="inlineStr">
        <is>
          <t>قطاع العمليات المدارة والدعم الفني متعدد الموردين</t>
        </is>
      </c>
      <c r="G19" s="19" t="inlineStr">
        <is>
          <t>64.0%</t>
        </is>
      </c>
      <c r="H19" s="19" t="inlineStr">
        <is>
          <t>فرصة ICT متوافقة مع قدرات KBM</t>
        </is>
      </c>
      <c r="I19" s="19" t="inlineStr">
        <is>
          <t>-</t>
        </is>
      </c>
      <c r="J19" s="20" t="inlineStr">
        <is>
          <t>Aligned with Services BU (MOPS) (1 capability matches) | Core ICT Scope in Tender Title | Strategic KBM Account Relationship</t>
        </is>
      </c>
      <c r="K19" s="20"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L19" s="19" t="inlineStr">
        <is>
          <t>2026-09-06</t>
        </is>
      </c>
      <c r="M19" s="19" t="inlineStr">
        <is>
          <t>2026-11-01</t>
        </is>
      </c>
      <c r="N19" s="19" t="inlineStr">
        <is>
          <t>0.000 KWD</t>
        </is>
      </c>
      <c r="O19" s="19" t="inlineStr">
        <is>
          <t>500.000 KWD</t>
        </is>
      </c>
      <c r="P19" s="19">
        <f>HYPERLINK("https://capt.gov.kw/ar/tenders/opening-tenders/#card-0", "عرض الإعلان")</f>
        <v/>
      </c>
    </row>
    <row r="20">
      <c r="A20" s="19" t="inlineStr">
        <is>
          <t>ع ت ا م/ ق/ 2/2025</t>
        </is>
      </c>
      <c r="B20" s="20" t="inlineStr">
        <is>
          <t>المؤسسة العامة للتأمينات الاجتماعية</t>
        </is>
      </c>
      <c r="C20" s="20" t="inlineStr">
        <is>
          <t>Jana Al-Obaid</t>
        </is>
      </c>
      <c r="D20" s="20" t="inlineStr">
        <is>
          <t>تفعيل تراخيص لنظام إدارة خدمات تكنولوجيا المعلومات BMC - ITSM وتقديم خدمات الصيانة والدعم الفني لها والتدريب عليها بالمؤسسة العامة للتأمينات الاجتماعية</t>
        </is>
      </c>
      <c r="E20" s="20" t="inlineStr">
        <is>
          <t>تنفيذ أعمال تفعيل تراخيص لنظام إدارة خدمات تكنولوجيا المعلومات BMC - ITSM وتقديم خدمات الصيانة والدعم الفني لها والتدريب عليها بالمؤسسة العامة للتأمينات الاجتماعية، وتوفير كافة الأجهزة والمعدات والأنظمة وخدمات الدعم الفني والضمان وفقاً لكراسة الشروط والمواصفات الفنية.</t>
        </is>
      </c>
      <c r="F20" s="19" t="inlineStr">
        <is>
          <t>قطاع العمليات المدارة والدعم الفني متعدد الموردين</t>
        </is>
      </c>
      <c r="G20" s="19" t="inlineStr">
        <is>
          <t>64.0%</t>
        </is>
      </c>
      <c r="H20" s="19" t="inlineStr">
        <is>
          <t>فرصة ICT متوافقة مع قدرات KBM</t>
        </is>
      </c>
      <c r="I20" s="19" t="inlineStr">
        <is>
          <t>-</t>
        </is>
      </c>
      <c r="J20" s="20" t="inlineStr">
        <is>
          <t>Aligned with Services BU (MOPS) (1 capability matches) | Core ICT Scope in Tender Title | Strategic KBM Account Relationship</t>
        </is>
      </c>
      <c r="K20" s="20"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L20" s="19" t="inlineStr">
        <is>
          <t>2026-09-06</t>
        </is>
      </c>
      <c r="M20" s="19" t="inlineStr">
        <is>
          <t>2026-12-01</t>
        </is>
      </c>
      <c r="N20" s="19" t="inlineStr">
        <is>
          <t>3500.000 KWD</t>
        </is>
      </c>
      <c r="O20" s="19" t="inlineStr">
        <is>
          <t>150.000 KWD</t>
        </is>
      </c>
      <c r="P20" s="19">
        <f>HYPERLINK("https://capt.gov.kw/ar/tenders/opening-tenders/#card-7", "عرض الإعلان")</f>
        <v/>
      </c>
    </row>
    <row r="21">
      <c r="A21" s="19" t="inlineStr">
        <is>
          <t>وك م-65/2025/2026</t>
        </is>
      </c>
      <c r="B21" s="20" t="inlineStr">
        <is>
          <t>وزارة الكهرباء والماء والطاقة المتجددة</t>
        </is>
      </c>
      <c r="C21" s="20" t="inlineStr">
        <is>
          <t>Raed Obeid</t>
        </is>
      </c>
      <c r="D21" s="20" t="inlineStr">
        <is>
          <t>توريد وتركيب وتشغيل وصيانة وضمان أعمال التمديدات الكهربائية للأعمال الصغيرة بمحافظات(الفروانية-الجهراء-العاصمة)</t>
        </is>
      </c>
      <c r="E21" s="20" t="inlineStr">
        <is>
          <t>أعمال وتوريدات توريد وتركيب وتشغيل وصيانة وضمان أعمال التمديدات الكهربائية للأعمال الصغيرة بمحافظات(الفروانية-الجهراء-العاصمة) لصالح وزارة الكهرباء والماء والطاقة المتجددة وفقاً للشروط والمواصفات المعتمدة في وثائق الطرح.</t>
        </is>
      </c>
      <c r="F21" s="19" t="inlineStr">
        <is>
          <t>قطاع العمليات المدارة والدعم الفني متعدد الموردين</t>
        </is>
      </c>
      <c r="G21" s="19" t="inlineStr">
        <is>
          <t>64.0%</t>
        </is>
      </c>
      <c r="H21" s="19" t="inlineStr">
        <is>
          <t>فرصة ICT متوافقة مع قدرات KBM</t>
        </is>
      </c>
      <c r="I21" s="19" t="inlineStr">
        <is>
          <t>-</t>
        </is>
      </c>
      <c r="J21" s="20" t="inlineStr">
        <is>
          <t>Aligned with Services BU (MOPS) (1 capability matches) | Core ICT Scope in Tender Title | Strategic KBM Account Relationship</t>
        </is>
      </c>
      <c r="K21" s="20"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L21" s="19" t="inlineStr">
        <is>
          <t>2026-09-20</t>
        </is>
      </c>
      <c r="M21" s="19" t="inlineStr">
        <is>
          <t>2026-12-15</t>
        </is>
      </c>
      <c r="N21" s="19" t="inlineStr">
        <is>
          <t>23000.000 KWD</t>
        </is>
      </c>
      <c r="O21" s="19" t="inlineStr">
        <is>
          <t>1000.000 KWD</t>
        </is>
      </c>
      <c r="P21" s="19">
        <f>HYPERLINK("https://capt.gov.kw/ar/tenders/opening-tenders/#card-6", "عرض الإعلان")</f>
        <v/>
      </c>
    </row>
    <row r="22">
      <c r="A22" s="19" t="inlineStr">
        <is>
          <t>م ع /6/2022/2023</t>
        </is>
      </c>
      <c r="B22" s="20" t="inlineStr">
        <is>
          <t>وزارة التربية</t>
        </is>
      </c>
      <c r="C22" s="20" t="inlineStr">
        <is>
          <t>Eiman Ashkanani</t>
        </is>
      </c>
      <c r="D22" s="20" t="inlineStr">
        <is>
          <t>أعمال  فحص واصلاح وتشغيل وصيانة شبكة الإنذار ومكافحة الحريق لمباني ومدارس تابعة لمنطقة العاصمة التعليمية</t>
        </is>
      </c>
      <c r="E22" s="20" t="inlineStr">
        <is>
          <t>تنفيذ أعمال أعمال  فحص واصلاح وتشغيل وصيانة شبكة الإنذار ومكافحة الحريق لمباني ومدارس تابعة لمنطقة العاصمة التعليمية، وتوفير كافة الأجهزة والمعدات والأنظمة وخدمات الدعم الفني والضمان وفقاً لكراسة الشروط والمواصفات الفنية.</t>
        </is>
      </c>
      <c r="F22" s="19" t="inlineStr">
        <is>
          <t>قطاع العمليات المدارة والدعم الفني متعدد الموردين</t>
        </is>
      </c>
      <c r="G22" s="19" t="inlineStr">
        <is>
          <t>64.0%</t>
        </is>
      </c>
      <c r="H22" s="19" t="inlineStr">
        <is>
          <t>فرصة ICT متوافقة مع قدرات KBM</t>
        </is>
      </c>
      <c r="I22" s="19" t="inlineStr">
        <is>
          <t>-</t>
        </is>
      </c>
      <c r="J22" s="20" t="inlineStr">
        <is>
          <t>Aligned with Services BU (MOPS) (1 capability matches) | Core ICT Scope in Tender Title | Strategic KBM Account Relationship</t>
        </is>
      </c>
      <c r="K22" s="20"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L22" s="19" t="inlineStr">
        <is>
          <t>2026-09-27</t>
        </is>
      </c>
      <c r="M22" s="19" t="inlineStr">
        <is>
          <t>2026-12-22</t>
        </is>
      </c>
      <c r="N22" s="19" t="inlineStr">
        <is>
          <t>3500.000 KWD</t>
        </is>
      </c>
      <c r="O22" s="19" t="inlineStr">
        <is>
          <t>150.000 KWD</t>
        </is>
      </c>
      <c r="P22" s="19">
        <f>HYPERLINK("https://capt.gov.kw/ar/tenders/opening-tenders/#card-6", "عرض الإعلان")</f>
        <v/>
      </c>
    </row>
    <row r="23">
      <c r="A23" s="19" t="inlineStr">
        <is>
          <t>72-516</t>
        </is>
      </c>
      <c r="B23" s="20" t="inlineStr">
        <is>
          <t>جامعة الكويت</t>
        </is>
      </c>
      <c r="C23" s="20" t="inlineStr">
        <is>
          <t>Eiman Ashkanani</t>
        </is>
      </c>
      <c r="D23" s="20" t="inlineStr">
        <is>
          <t>ممارسة رقم 72/2026-2027: صيانة أجهزة التعرف على الوجه والأجهزة العلمية بمراكز عمل جامعة الكويت</t>
        </is>
      </c>
      <c r="E23" s="20" t="inlineStr">
        <is>
          <t>صيانة دورية ودعم فني لأجهزة التحقق البيومتري والتعرف على الوجه (Face Recognition Systems) والأجهزة التابعة لها بجامعة الكويت.</t>
        </is>
      </c>
      <c r="F23" s="19" t="inlineStr">
        <is>
          <t>قطاع الأمن السيبراني والدفاع الرقمي</t>
        </is>
      </c>
      <c r="G23" s="19" t="inlineStr">
        <is>
          <t>55.0%</t>
        </is>
      </c>
      <c r="H23" s="19" t="inlineStr">
        <is>
          <t>فرصة محتملة</t>
        </is>
      </c>
      <c r="I23" s="19" t="inlineStr">
        <is>
          <t>-</t>
        </is>
      </c>
      <c r="J23" s="20" t="inlineStr">
        <is>
          <t>تطابق مع قطاع النظم الأمنية وأجهزة التحقق البيومتري والعمليات المدارة (Security BU / MOPS).</t>
        </is>
      </c>
      <c r="K23" s="20" t="inlineStr">
        <is>
          <t>• بيع الوثائق 75 د.ك، تأمين أولي 2% من قيمة العطاء، إغلاق 20/10/2026 بمقر الجامعة بالشدادية.</t>
        </is>
      </c>
      <c r="L23" s="19" t="inlineStr">
        <is>
          <t>2026-09-27</t>
        </is>
      </c>
      <c r="M23" s="18" t="inlineStr">
        <is>
          <t>2026-10-20</t>
        </is>
      </c>
      <c r="N23" s="19" t="inlineStr">
        <is>
          <t>2000.0 KWD</t>
        </is>
      </c>
      <c r="O23" s="19" t="inlineStr">
        <is>
          <t>75.0 KWD</t>
        </is>
      </c>
      <c r="P23" s="19">
        <f>HYPERLINK("https://kuwaitalyawm.media.gov.kw/Online/ViewAdsHTML?id=171702&amp;no=1", "عرض الإعلان")</f>
        <v/>
      </c>
    </row>
    <row r="24">
      <c r="A24" s="19" t="inlineStr">
        <is>
          <t>هـ ع ر2/2026/2027</t>
        </is>
      </c>
      <c r="B24" s="20" t="inlineStr">
        <is>
          <t>الهيئة العامة للرياضة</t>
        </is>
      </c>
      <c r="C24" s="20" t="inlineStr">
        <is>
          <t>Eiman Ashkanani</t>
        </is>
      </c>
      <c r="D24" s="20" t="inlineStr">
        <is>
          <t>بشأن اعمال صيانة مشروع تهيئة البنية التحتية ومركز البيانات الخاص بالهيئة العامة للرياضة وغرفة البيانات الاحتياطية باستاد جابر</t>
        </is>
      </c>
      <c r="E24" s="20" t="inlineStr">
        <is>
          <t>أعمال وتوريدات بشأن اعمال صيانة مشروع تهيئة البنية التحتية ومركز البيانات الخاص بالهيئة العامة للرياضة وغرفة البيانات الاحتياطية باستاد جابر لصالح الهيئة العامة للرياضة وفقاً للشروط والمواصفات المعتمدة في وثائق الطرح.</t>
        </is>
      </c>
      <c r="F24" s="19" t="inlineStr">
        <is>
          <t>قطاع العمليات المدارة والدعم الفني متعدد الموردين</t>
        </is>
      </c>
      <c r="G24" s="19" t="inlineStr">
        <is>
          <t>49.0%</t>
        </is>
      </c>
      <c r="H24" s="19" t="inlineStr">
        <is>
          <t>فرصة تتطلب شراكة أو دراسة نطاق</t>
        </is>
      </c>
      <c r="I24" s="19" t="inlineStr">
        <is>
          <t>-</t>
        </is>
      </c>
      <c r="J24" s="20" t="inlineStr">
        <is>
          <t>Aligned with Services BU (MOPS) (1 capability matches) | Core ICT Scope in Tender Title</t>
        </is>
      </c>
      <c r="K24" s="20"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L24" s="19" t="inlineStr">
        <is>
          <t>2026-10-11</t>
        </is>
      </c>
      <c r="M24" s="19" t="inlineStr">
        <is>
          <t>2027-01-10</t>
        </is>
      </c>
      <c r="N24" s="19" t="inlineStr">
        <is>
          <t>6000.000 KWD</t>
        </is>
      </c>
      <c r="O24" s="19" t="inlineStr">
        <is>
          <t>300.000 KWD</t>
        </is>
      </c>
      <c r="P24" s="19">
        <f>HYPERLINK("https://capt.gov.kw/ar/tenders/opening-tenders/#card-5", "عرض الإعلان")</f>
        <v/>
      </c>
    </row>
    <row r="25">
      <c r="A25" s="19" t="inlineStr">
        <is>
          <t>2027/2026/15</t>
        </is>
      </c>
      <c r="B25" s="20" t="inlineStr">
        <is>
          <t>الهيئة العامة للطيران المدني</t>
        </is>
      </c>
      <c r="C25" s="20" t="inlineStr">
        <is>
          <t>Eiman Ashkanani</t>
        </is>
      </c>
      <c r="D25" s="20" t="inlineStr">
        <is>
          <t>ممارسة رقم 2027/2026/15: ممارسة تطوير وصيانة أنظمة وأجهزة الحضور</t>
        </is>
      </c>
      <c r="E25" s="20" t="inlineStr">
        <is>
          <t>تنفيذ أعمال ممارسة تطوير وصيانة أنظمة وأجهزة الحضور، وتوفير كافة الأجهزة والمعدات والأنظمة وخدمات الدعم الفني والضمان وفقاً لكراسة الشروط والمواصفات الفنية.</t>
        </is>
      </c>
      <c r="F25" s="19" t="inlineStr">
        <is>
          <t>قطاع العمليات المدارة والدعم الفني متعدد الموردين</t>
        </is>
      </c>
      <c r="G25" s="19" t="inlineStr">
        <is>
          <t>49.0%</t>
        </is>
      </c>
      <c r="H25" s="19" t="inlineStr">
        <is>
          <t>فرصة تتطلب شراكة أو دراسة نطاق</t>
        </is>
      </c>
      <c r="I25" s="19" t="inlineStr">
        <is>
          <t>-</t>
        </is>
      </c>
      <c r="J25" s="20" t="inlineStr">
        <is>
          <t>Aligned with Services BU (MOPS) (1 capability matches) | Core ICT Scope in Tender Title</t>
        </is>
      </c>
      <c r="K25" s="20" t="inlineStr">
        <is>
          <t>• علماً بأن آخر موعد لتقديم العروض هو الساعة (الواحدة ظهراً) من يوم (الأربعاء) الموافق (21/10/2026) ويرفض أي عرض بعد هذا الموعد.</t>
        </is>
      </c>
      <c r="L25" s="19" t="inlineStr">
        <is>
          <t>2026-09-27</t>
        </is>
      </c>
      <c r="M25" s="18" t="inlineStr">
        <is>
          <t>2026-10-21</t>
        </is>
      </c>
      <c r="N25" s="19" t="inlineStr">
        <is>
          <t>-</t>
        </is>
      </c>
      <c r="O25" s="19" t="inlineStr">
        <is>
          <t>75.0 KWD</t>
        </is>
      </c>
      <c r="P25" s="19">
        <f>HYPERLINK("https://kuwaitalyawm.media.gov.kw/Online/ViewAdsHTML?id=171693&amp;no=1", "عرض الإعلان")</f>
        <v/>
      </c>
    </row>
    <row r="26">
      <c r="A26" s="19" t="inlineStr">
        <is>
          <t>و ش ج 8/2025/2026</t>
        </is>
      </c>
      <c r="B26" s="20" t="inlineStr">
        <is>
          <t>وزارة الشئون الاجتماعية</t>
        </is>
      </c>
      <c r="C26" s="20" t="inlineStr">
        <is>
          <t>Eiman Ashkanani</t>
        </is>
      </c>
      <c r="D26" s="20" t="inlineStr">
        <is>
          <t>أعمال اصلاح وتشغيل وصيانة معدات التكييف والتبريد والتدفئة والتهوية الخاصة بصالات الأفراح التابعة للوزارة</t>
        </is>
      </c>
      <c r="E26" s="20" t="inlineStr">
        <is>
          <t>أعمال صيانة وتشغيل وإصلاح وحدات ومحطات التكييف المركزي والمبردات وضواغط الهواء وشبكات مجاري الهواء.</t>
        </is>
      </c>
      <c r="F26" s="19" t="inlineStr">
        <is>
          <t>قطاع العمليات المدارة والدعم الفني متعدد الموردين</t>
        </is>
      </c>
      <c r="G26" s="19" t="inlineStr">
        <is>
          <t>49.0%</t>
        </is>
      </c>
      <c r="H26" s="19" t="inlineStr">
        <is>
          <t>فرصة تتطلب شراكة أو دراسة نطاق</t>
        </is>
      </c>
      <c r="I26" s="19" t="inlineStr">
        <is>
          <t>-</t>
        </is>
      </c>
      <c r="J26" s="20" t="inlineStr">
        <is>
          <t>Aligned with Services BU (MOPS) (1 capability matches) | Core ICT Scope in Tender Title</t>
        </is>
      </c>
      <c r="K26" s="20"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L26" s="19" t="inlineStr">
        <is>
          <t>2026-10-04</t>
        </is>
      </c>
      <c r="M26" s="19" t="inlineStr">
        <is>
          <t>2026-12-29</t>
        </is>
      </c>
      <c r="N26" s="19" t="inlineStr">
        <is>
          <t>23000.000 KWD</t>
        </is>
      </c>
      <c r="O26" s="19" t="inlineStr">
        <is>
          <t>1000.000 KWD</t>
        </is>
      </c>
      <c r="P26" s="19">
        <f>HYPERLINK("https://capt.gov.kw/ar/tenders/opening-tenders/#card-3", "عرض الإعلان")</f>
        <v/>
      </c>
    </row>
    <row r="27">
      <c r="A27" s="19" t="inlineStr">
        <is>
          <t>هـ ع / ش أ م / 4/2026/2027</t>
        </is>
      </c>
      <c r="B27" s="20" t="inlineStr">
        <is>
          <t>الهيئة العامة للتعليم التطبيقي والتدريب</t>
        </is>
      </c>
      <c r="C27" s="20" t="inlineStr">
        <is>
          <t>Eiman Ashkanani</t>
        </is>
      </c>
      <c r="D27" s="20" t="inlineStr">
        <is>
          <t>توفير خدمة الانترنت و نقل المعلومات internet - wan للهيئة العامة للتعليم التطبيقي و التدريب</t>
        </is>
      </c>
      <c r="E27" s="20" t="inlineStr">
        <is>
          <t>تنفيذ أعمال توفير خدمة الانترنت و نقل المعلومات internet - wan للهيئة العامة للتعليم التطبيقي و التدريب، وتوفير كافة الأجهزة والمعدات والأنظمة وخدمات الدعم الفني والضمان وفقاً لكراسة الشروط والمواصفات الفنية.</t>
        </is>
      </c>
      <c r="F27" s="19" t="inlineStr">
        <is>
          <t>قطاع العمليات المدارة والدعم الفني متعدد الموردين</t>
        </is>
      </c>
      <c r="G27" s="19" t="inlineStr">
        <is>
          <t>49.0%</t>
        </is>
      </c>
      <c r="H27" s="19" t="inlineStr">
        <is>
          <t>فرصة تتطلب شراكة أو دراسة نطاق</t>
        </is>
      </c>
      <c r="I27" s="19" t="inlineStr">
        <is>
          <t>-</t>
        </is>
      </c>
      <c r="J27" s="20" t="inlineStr">
        <is>
          <t>Aligned with Services BU (MOPS) (1 capability matches) | Core ICT Scope in Tender Title</t>
        </is>
      </c>
      <c r="K27" s="20"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L27" s="19" t="inlineStr">
        <is>
          <t>2026-09-06</t>
        </is>
      </c>
      <c r="M27" s="19" t="inlineStr">
        <is>
          <t>2026-11-03</t>
        </is>
      </c>
      <c r="N27" s="19" t="inlineStr">
        <is>
          <t>6000.000 KWD</t>
        </is>
      </c>
      <c r="O27" s="19" t="inlineStr">
        <is>
          <t>300.000 KWD</t>
        </is>
      </c>
      <c r="P27" s="19">
        <f>HYPERLINK("https://capt.gov.kw/ar/tenders/opening-tenders/#card-8", "عرض الإعلان")</f>
        <v/>
      </c>
    </row>
    <row r="28">
      <c r="A28" s="19" t="inlineStr">
        <is>
          <t>5/2025-2026</t>
        </is>
      </c>
      <c r="B28" s="20" t="inlineStr">
        <is>
          <t>ديوان المحاسبة</t>
        </is>
      </c>
      <c r="C28" s="20" t="inlineStr">
        <is>
          <t>Eiman Ashkanani</t>
        </is>
      </c>
      <c r="D28" s="20" t="inlineStr">
        <is>
          <t>توريد وتركيب وتشغيل وصيانة وضمان أجهزة  محــولات الشبكــة Access Switches وجهــاز إدارة الـمحــولات  Catalyst Center (بالإضــافــة للرخــص والـقـطــع الـمـلحقـــة(</t>
        </is>
      </c>
      <c r="E28" s="20" t="inlineStr">
        <is>
          <t>تنفيذ أعمال توريد وتركيب وتشغيل وصيانة وضمان أجهزة  محــولات الشبكــة Access Switches وجهــاز إدارة الـمحــولات  Catalyst Center (بالإضــافــة للرخــص والـقـطــع الـمـلحقـــة(، وتوفير كافة الأجهزة والمعدات والأنظمة وخدمات الدعم الفني والضمان وفقاً لكراسة الشروط والمواصفات الفنية.</t>
        </is>
      </c>
      <c r="F28" s="19" t="inlineStr">
        <is>
          <t>قطاع العمليات المدارة والدعم الفني متعدد الموردين</t>
        </is>
      </c>
      <c r="G28" s="19" t="inlineStr">
        <is>
          <t>49.0%</t>
        </is>
      </c>
      <c r="H28" s="19" t="inlineStr">
        <is>
          <t>فرصة تتطلب شراكة أو دراسة نطاق</t>
        </is>
      </c>
      <c r="I28" s="19" t="inlineStr">
        <is>
          <t>-</t>
        </is>
      </c>
      <c r="J28" s="20" t="inlineStr">
        <is>
          <t>Aligned with Services BU (MOPS) (1 capability matches) | Core ICT Scope in Tender Title</t>
        </is>
      </c>
      <c r="K28" s="20"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L28" s="19" t="inlineStr">
        <is>
          <t>2026-09-06</t>
        </is>
      </c>
      <c r="M28" s="19" t="inlineStr">
        <is>
          <t>2026-10-27</t>
        </is>
      </c>
      <c r="N28" s="19" t="inlineStr">
        <is>
          <t>3500.000 KWD</t>
        </is>
      </c>
      <c r="O28" s="19" t="inlineStr">
        <is>
          <t>150.000 KWD</t>
        </is>
      </c>
      <c r="P28" s="19">
        <f>HYPERLINK("https://capt.gov.kw/ar/tenders/opening-tenders/#card-1", "عرض الإعلان")</f>
        <v/>
      </c>
    </row>
    <row r="29">
      <c r="A29" s="19" t="inlineStr">
        <is>
          <t>2147428</t>
        </is>
      </c>
      <c r="B29" s="20" t="inlineStr">
        <is>
          <t>شركة نفط الكويت</t>
        </is>
      </c>
      <c r="C29" s="20" t="inlineStr">
        <is>
          <t>Ahmed Habib</t>
        </is>
      </c>
      <c r="D29" s="20" t="inlineStr">
        <is>
          <t>تقديم خدمات الامن السيبراني المدارة</t>
        </is>
      </c>
      <c r="E29" s="20" t="inlineStr">
        <is>
          <t>أعمال وتوريدات تقديم خدمات الامن السيبراني المدارة لصالح شركة نفط الكويت وفقاً للشروط والمواصفات المعتمدة في وثائق الطرح.</t>
        </is>
      </c>
      <c r="F29" s="19" t="inlineStr">
        <is>
          <t>قطاع الأمن السيبراني والدفاع الرقمي</t>
        </is>
      </c>
      <c r="G29" s="19" t="inlineStr">
        <is>
          <t>47.0%</t>
        </is>
      </c>
      <c r="H29" s="19" t="inlineStr">
        <is>
          <t>فرصة تتطلب شراكة أو دراسة نطاق</t>
        </is>
      </c>
      <c r="I29" s="19" t="inlineStr">
        <is>
          <t>-</t>
        </is>
      </c>
      <c r="J29" s="20" t="inlineStr">
        <is>
          <t>Aligned with Security BU (1 capability matches) | Strategic KBM Account Relationship</t>
        </is>
      </c>
      <c r="K29" s="20"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L29" s="19" t="inlineStr">
        <is>
          <t>2026-08-23</t>
        </is>
      </c>
      <c r="M29" s="19" t="inlineStr">
        <is>
          <t>2026-11-17</t>
        </is>
      </c>
      <c r="N29" s="19" t="inlineStr">
        <is>
          <t>220000.000 KWD</t>
        </is>
      </c>
      <c r="O29" s="19" t="inlineStr">
        <is>
          <t>3500.000 KWD</t>
        </is>
      </c>
      <c r="P29" s="19">
        <f>HYPERLINK("https://capt.gov.kw/ar/tenders/opening-tenders/#card-9", "عرض الإعلان")</f>
        <v/>
      </c>
    </row>
    <row r="30">
      <c r="A30" s="14" t="inlineStr">
        <is>
          <t>2027/2026/38</t>
        </is>
      </c>
      <c r="B30" s="13" t="inlineStr">
        <is>
          <t>الهيئة العامة للتعليم التطبيقي والتدريب</t>
        </is>
      </c>
      <c r="C30" s="13" t="inlineStr">
        <is>
          <t>Eiman Ashkanani</t>
        </is>
      </c>
      <c r="D30" s="13" t="inlineStr">
        <is>
          <t>ممارسة رقم 2027/2026/38: على الشركات والمؤسسات الراغبة في الاشتراك في هذه الممارسة مراجعة موقع الهيئة العامة للتعليم التطبيقي والتدريب الالكتروني (WWW.Paaet.edu.kw) وذلك لشراء عطاء الممارسـة المـــدرجـــة ضمن الخدمات الالكترونية (خدمات عامة) وتسليم العطاءات في مقر الهيئة الجديد الكائن في منطقة الشويخ التعليمية الدور السابع - إدارة التوريدات خــلال أسبوعـــــين مقابل رســـوم قـدرهـا (75 د.ك ) لا ترد.</t>
        </is>
      </c>
      <c r="E30" s="13" t="inlineStr">
        <is>
          <t>تنفيذ أعمال على الشركات والمؤسسات الراغبة في الاشتراك في هذه الممارسة مراجعة موقع الهيئة العامة للتعليم التطبيقي والتدريب الالكتروني (WWW.Paaet.edu.kw) وذلك لشراء عطاء الممارسـة المـــدرجـــة ضمن الخدمات الالكترونية (خدمات عامة) وتسليم العطاءات في مقر الهيئة الجديد الكائن في منطقة الشويخ التعليمية الدور السابع، وتوفير كافة الأجهزة والمعدات والأنظمة وخدمات الدعم الفني والضمان وفقاً لكراسة الشروط والمواصفات الفنية.</t>
        </is>
      </c>
      <c r="F30" s="14" t="inlineStr">
        <is>
          <t>غير محدد</t>
        </is>
      </c>
      <c r="G30" s="14" t="inlineStr">
        <is>
          <t>24.0%</t>
        </is>
      </c>
      <c r="H30" s="14" t="inlineStr">
        <is>
          <t>غير متوافقة مع اختصاصات KBM</t>
        </is>
      </c>
      <c r="I30" s="14" t="inlineStr">
        <is>
          <t>-</t>
        </is>
      </c>
      <c r="J30" s="13" t="inlineStr">
        <is>
          <t>Aligned with Services BU (MOPS) (1 capability matches)</t>
        </is>
      </c>
      <c r="K3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L30" s="14" t="inlineStr">
        <is>
          <t>2026-09-27</t>
        </is>
      </c>
      <c r="M30" s="14" t="inlineStr">
        <is>
          <t>-</t>
        </is>
      </c>
      <c r="N30" s="14" t="inlineStr">
        <is>
          <t>-</t>
        </is>
      </c>
      <c r="O30" s="14" t="inlineStr">
        <is>
          <t>75.0 KWD</t>
        </is>
      </c>
      <c r="P30" s="14">
        <f>HYPERLINK("https://kuwaitalyawm.media.gov.kw/Online/ViewAdsHTML?id=171682&amp;no=1", "عرض الإعلان")</f>
        <v/>
      </c>
    </row>
    <row r="31">
      <c r="A31" s="12" t="inlineStr">
        <is>
          <t>2027/2026/40</t>
        </is>
      </c>
      <c r="B31" s="11" t="inlineStr">
        <is>
          <t>الهيئة العامة للتعليم التطبيقي والتدريب</t>
        </is>
      </c>
      <c r="C31" s="11" t="inlineStr">
        <is>
          <t>Eiman Ashkanani</t>
        </is>
      </c>
      <c r="D31" s="11" t="inlineStr">
        <is>
          <t>ممارسة رقم 2027/2026/40: على الشركات والمؤسسات الراغبة في الاشتراك في هذه الممارسة مراجعة موقع الهيئة العامة للتعليم التطبيقي والتدريب الالكتروني (WWW.Paaet.edu.kw) وذلك لشراء عطاء الممارسـة المـــدرجـــة ضمن الخدمات الالكترونية (خدمات عامة) وتسليم العطاءات في مقر الهيئة الجديد الكائن في منطقة الشويخ التعليمية الدور السابع - إدارة التوريدات خــلال أسبوعـــــين مقابل رســـوم قـدرهـا (75 د.ك ) لا ترد.</t>
        </is>
      </c>
      <c r="E31" s="11" t="inlineStr">
        <is>
          <t>تنفيذ أعمال على الشركات والمؤسسات الراغبة في الاشتراك في هذه الممارسة مراجعة موقع الهيئة العامة للتعليم التطبيقي والتدريب الالكتروني (WWW.Paaet.edu.kw) وذلك لشراء عطاء الممارسـة المـــدرجـــة ضمن الخدمات الالكترونية (خدمات عامة) وتسليم العطاءات في مقر الهيئة الجديد الكائن في منطقة الشويخ التعليمية الدور السابع، وتوفير كافة الأجهزة والمعدات والأنظمة وخدمات الدعم الفني والضمان وفقاً لكراسة الشروط والمواصفات الفنية.</t>
        </is>
      </c>
      <c r="F31" s="12" t="inlineStr">
        <is>
          <t>غير محدد</t>
        </is>
      </c>
      <c r="G31" s="12" t="inlineStr">
        <is>
          <t>24.0%</t>
        </is>
      </c>
      <c r="H31" s="12" t="inlineStr">
        <is>
          <t>غير متوافقة مع اختصاصات KBM</t>
        </is>
      </c>
      <c r="I31" s="12" t="inlineStr">
        <is>
          <t>-</t>
        </is>
      </c>
      <c r="J31" s="11" t="inlineStr">
        <is>
          <t>Aligned with Services BU (MOPS) (1 capability matches)</t>
        </is>
      </c>
      <c r="K3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L31" s="12" t="inlineStr">
        <is>
          <t>2026-09-27</t>
        </is>
      </c>
      <c r="M31" s="12" t="inlineStr">
        <is>
          <t>-</t>
        </is>
      </c>
      <c r="N31" s="12" t="inlineStr">
        <is>
          <t>-</t>
        </is>
      </c>
      <c r="O31" s="12" t="inlineStr">
        <is>
          <t>75.0 KWD</t>
        </is>
      </c>
      <c r="P31" s="12">
        <f>HYPERLINK("https://kuwaitalyawm.media.gov.kw/Online/ViewAdsHTML?id=171683&amp;no=1", "عرض الإعلان")</f>
        <v/>
      </c>
    </row>
    <row r="32">
      <c r="A32" s="14" t="inlineStr">
        <is>
          <t>2027/2026/536</t>
        </is>
      </c>
      <c r="B32" s="13" t="inlineStr">
        <is>
          <t>جامعة الكويت</t>
        </is>
      </c>
      <c r="C32" s="13" t="inlineStr">
        <is>
          <t>Eiman Ashkanani</t>
        </is>
      </c>
      <c r="D32" s="13" t="inlineStr">
        <is>
          <t>ممارسة رقم 2027/2026/536 - جامعة الكويت (العدد 1810)</t>
        </is>
      </c>
      <c r="E32" s="13" t="inlineStr">
        <is>
          <t>أعمال وتوريدات ممارسة رقم 2027/2026/536 لصالح جامعة الكويت وفقاً للشروط والمواصفات المعتمدة في وثائق الطرح.</t>
        </is>
      </c>
      <c r="F32" s="14" t="inlineStr">
        <is>
          <t>غير محدد</t>
        </is>
      </c>
      <c r="G32" s="14" t="inlineStr">
        <is>
          <t>15.0%</t>
        </is>
      </c>
      <c r="H32" s="14" t="inlineStr">
        <is>
          <t>غير متوافقة مع اختصاصات KBM</t>
        </is>
      </c>
      <c r="I32" s="14" t="inlineStr">
        <is>
          <t>-</t>
        </is>
      </c>
      <c r="J32" s="13" t="inlineStr">
        <is>
          <t>Strategic KBM Account Relationship</t>
        </is>
      </c>
      <c r="K3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L32" s="14" t="inlineStr">
        <is>
          <t>2026-09-27</t>
        </is>
      </c>
      <c r="M32" s="14" t="inlineStr">
        <is>
          <t>2026-10-27</t>
        </is>
      </c>
      <c r="N32" s="14" t="inlineStr">
        <is>
          <t>2.0 KWD</t>
        </is>
      </c>
      <c r="O32" s="14" t="inlineStr">
        <is>
          <t>75.0 KWD</t>
        </is>
      </c>
      <c r="P32" s="14">
        <f>HYPERLINK("https://kuwaitalyawm.media.gov.kw/Online/ViewAdsHTML?id=171703&amp;no=1", "عرض الإعلان")</f>
        <v/>
      </c>
    </row>
    <row r="33">
      <c r="A33" s="12" t="inlineStr">
        <is>
          <t>2027/2026/537</t>
        </is>
      </c>
      <c r="B33" s="11" t="inlineStr">
        <is>
          <t>جامعة الكويت</t>
        </is>
      </c>
      <c r="C33" s="11" t="inlineStr">
        <is>
          <t>Eiman Ashkanani</t>
        </is>
      </c>
      <c r="D33" s="11" t="inlineStr">
        <is>
          <t>ممارسة رقم 2027/2026/537 - جامعة الكويت (العدد 1810)</t>
        </is>
      </c>
      <c r="E33" s="11" t="inlineStr">
        <is>
          <t>أعمال وتوريدات ممارسة رقم 2027/2026/537 لصالح جامعة الكويت وفقاً للشروط والمواصفات المعتمدة في وثائق الطرح.</t>
        </is>
      </c>
      <c r="F33" s="12" t="inlineStr">
        <is>
          <t>غير محدد</t>
        </is>
      </c>
      <c r="G33" s="12" t="inlineStr">
        <is>
          <t>15.0%</t>
        </is>
      </c>
      <c r="H33" s="12" t="inlineStr">
        <is>
          <t>غير متوافقة مع اختصاصات KBM</t>
        </is>
      </c>
      <c r="I33" s="12" t="inlineStr">
        <is>
          <t>-</t>
        </is>
      </c>
      <c r="J33" s="11" t="inlineStr">
        <is>
          <t>Strategic KBM Account Relationship</t>
        </is>
      </c>
      <c r="K3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L33" s="12" t="inlineStr">
        <is>
          <t>2026-09-27</t>
        </is>
      </c>
      <c r="M33" s="12" t="inlineStr">
        <is>
          <t>2026-10-27</t>
        </is>
      </c>
      <c r="N33" s="12" t="inlineStr">
        <is>
          <t>2000.0 KWD</t>
        </is>
      </c>
      <c r="O33" s="12" t="inlineStr">
        <is>
          <t>75.0 KWD</t>
        </is>
      </c>
      <c r="P33" s="12">
        <f>HYPERLINK("https://kuwaitalyawm.media.gov.kw/Online/ViewAdsHTML?id=171704&amp;no=1", "عرض الإعلان")</f>
        <v/>
      </c>
    </row>
    <row r="34">
      <c r="A34" s="14" t="inlineStr">
        <is>
          <t>2030/2027/327</t>
        </is>
      </c>
      <c r="B34" s="13" t="inlineStr">
        <is>
          <t>الهيئة العامة للاستثمار</t>
        </is>
      </c>
      <c r="C34" s="13" t="inlineStr">
        <is>
          <t>Eiman Ashkanani</t>
        </is>
      </c>
      <c r="D34" s="13" t="inlineStr">
        <is>
          <t>ممارسة رقم 2030/2027/327: شراء جهاز توزيع الأحمال (App Load Balancer)</t>
        </is>
      </c>
      <c r="E34" s="13" t="inlineStr">
        <is>
          <t>أعمال وتوريدات شراء جهاز توزيع الأحمال (App Load Balancer) لصالح الهيئة العامة للاستثمار وفقاً للشروط والمواصفات المعتمدة في وثائق الطرح.</t>
        </is>
      </c>
      <c r="F34" s="14" t="inlineStr">
        <is>
          <t>غير محدد</t>
        </is>
      </c>
      <c r="G34" s="14" t="inlineStr">
        <is>
          <t>0.0%</t>
        </is>
      </c>
      <c r="H34" s="14" t="inlineStr">
        <is>
          <t>غير متوافقة مع اختصاصات KBM</t>
        </is>
      </c>
      <c r="I34" s="14" t="inlineStr">
        <is>
          <t>-</t>
        </is>
      </c>
      <c r="J34" s="13" t="inlineStr">
        <is>
          <t>No direct KBM capability match</t>
        </is>
      </c>
      <c r="K3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L34" s="14" t="inlineStr">
        <is>
          <t>2026-09-27</t>
        </is>
      </c>
      <c r="M34" s="14" t="inlineStr">
        <is>
          <t>-</t>
        </is>
      </c>
      <c r="N34" s="14" t="inlineStr">
        <is>
          <t>1500.0 KWD</t>
        </is>
      </c>
      <c r="O34" s="14" t="inlineStr">
        <is>
          <t>75.0 KWD</t>
        </is>
      </c>
      <c r="P34" s="14">
        <f>HYPERLINK("https://kuwaitalyawm.media.gov.kw/Online/ViewAdsHTML?id=171676&amp;no=1", "عرض الإعلان")</f>
        <v/>
      </c>
    </row>
    <row r="35">
      <c r="A35" s="12" t="inlineStr">
        <is>
          <t>2027/2026/11</t>
        </is>
      </c>
      <c r="B35" s="11" t="inlineStr">
        <is>
          <t>الهيئة العامة للطيران المدني</t>
        </is>
      </c>
      <c r="C35" s="11" t="inlineStr">
        <is>
          <t>Eiman Ashkanani</t>
        </is>
      </c>
      <c r="D35" s="11" t="inlineStr">
        <is>
          <t>ممارسة رقم 2027/2026/11: الدعم الفني والصيانة الوقائية لأنظمة إنذار ومكافحة الحريق في مبنى المول التجاري ومواقف السيارات بمبنى الركاب T1 في مطار الكويت الدولي</t>
        </is>
      </c>
      <c r="E35" s="11" t="inlineStr">
        <is>
          <t>تنفيذ أعمال الدعم الفني والصيانة الوقائية لأنظمة إنذار ومكافحة الحريق في مبنى المول التجاري ومواقف السيارات بمبنى الركاب T1 في مطار الكويت الدولي، وتوفير كافة الأجهزة والمعدات والأنظمة وخدمات الدعم الفني والضمان وفقاً لكراسة الشروط والمواصفات الفنية.</t>
        </is>
      </c>
      <c r="F35" s="12" t="inlineStr">
        <is>
          <t>غير محدد</t>
        </is>
      </c>
      <c r="G35" s="12" t="inlineStr">
        <is>
          <t>0.0%</t>
        </is>
      </c>
      <c r="H35" s="12" t="inlineStr">
        <is>
          <t>غير متوافقة مع اختصاصات KBM</t>
        </is>
      </c>
      <c r="I35" s="12" t="inlineStr">
        <is>
          <t>-</t>
        </is>
      </c>
      <c r="J35" s="11" t="inlineStr">
        <is>
          <t>Aligned with Services BU (MOPS) (1 capability matches) | Core ICT Scope in Tender Title | Non-ICT scope markers: سيارات</t>
        </is>
      </c>
      <c r="K3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L35" s="12" t="inlineStr">
        <is>
          <t>2026-09-27</t>
        </is>
      </c>
      <c r="M35" s="12" t="inlineStr">
        <is>
          <t>-</t>
        </is>
      </c>
      <c r="N35" s="12" t="inlineStr">
        <is>
          <t>-</t>
        </is>
      </c>
      <c r="O35" s="12" t="inlineStr">
        <is>
          <t>-</t>
        </is>
      </c>
      <c r="P35" s="12">
        <f>HYPERLINK("https://kuwaitalyawm.media.gov.kw/Online/ViewAdsHTML?id=171690&amp;no=1", "عرض الإعلان")</f>
        <v/>
      </c>
    </row>
    <row r="36">
      <c r="A36" s="14" t="inlineStr">
        <is>
          <t>هـ ع ص / 9 / 2024-2027</t>
        </is>
      </c>
      <c r="B36" s="13" t="inlineStr">
        <is>
          <t>الهيئة العامة للصناعة</t>
        </is>
      </c>
      <c r="C36" s="13" t="inlineStr">
        <is>
          <t>Eiman Ashkanani</t>
        </is>
      </c>
      <c r="D36" s="13" t="inlineStr">
        <is>
          <t>صيانة وتطوير وتشغيل الأنظمة ( الإجراءات الصناعية – المسار الواحد- المعالجة الذاتية- النماذج الالكترونية – نظام الصيانة – mobile app  - شؤون الاعتماد – استبيان العملاء  – log management - الفواتير الإلكترونية ) بالهيئة العامة للصناعة</t>
        </is>
      </c>
      <c r="E36" s="13" t="inlineStr">
        <is>
          <t>تنفيذ أعمال صيانة وتطوير وتشغيل الأنظمة ( الإجراءات الصناعية – المسار الواحد- المعالجة الذاتية- النماذج الالكترونية – نظام الصيانة – mobile app  - شؤون الاعتماد – استبيان العملاء  – log management - الفواتير الإلكترونية ) بالهيئة العامة للصناعة، وتوفير كافة الأجهزة والمعدات والأنظمة وخدمات الدعم الفني والضمان وفقاً لكراسة الشروط والمواصفات الفنية.</t>
        </is>
      </c>
      <c r="F36" s="14" t="inlineStr">
        <is>
          <t>غير محدد</t>
        </is>
      </c>
      <c r="G36" s="14" t="inlineStr">
        <is>
          <t>0.0%</t>
        </is>
      </c>
      <c r="H36" s="14" t="inlineStr">
        <is>
          <t>غير متوافقة مع اختصاصات KBM</t>
        </is>
      </c>
      <c r="I36" s="14" t="inlineStr">
        <is>
          <t>-</t>
        </is>
      </c>
      <c r="J36" s="13" t="inlineStr">
        <is>
          <t>No direct KBM capability match</t>
        </is>
      </c>
      <c r="K3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L36" s="14" t="inlineStr">
        <is>
          <t>2026-08-23</t>
        </is>
      </c>
      <c r="M36" s="18" t="inlineStr">
        <is>
          <t>2026-10-20</t>
        </is>
      </c>
      <c r="N36" s="14" t="inlineStr">
        <is>
          <t>23000.000 KWD</t>
        </is>
      </c>
      <c r="O36" s="14" t="inlineStr">
        <is>
          <t>1000.000 KWD</t>
        </is>
      </c>
      <c r="P36" s="14">
        <f>HYPERLINK("https://capt.gov.kw/ar/tenders/opening-tenders/#card-3", "عرض الإعلان")</f>
        <v/>
      </c>
    </row>
    <row r="37">
      <c r="A37" s="12" t="inlineStr">
        <is>
          <t>14/2024</t>
        </is>
      </c>
      <c r="B37" s="11" t="inlineStr">
        <is>
          <t>الهيئة العامة للصناعة</t>
        </is>
      </c>
      <c r="C37" s="11" t="inlineStr">
        <is>
          <t>Eiman Ashkanani</t>
        </is>
      </c>
      <c r="D37" s="11" t="inlineStr">
        <is>
          <t>المناقصة رقم (هـ ع ص/2024/14) بشأن صيانة وتطوير وتشغيل وضمان أنظمة (المشاريع - العقود - المواصفات) بالهيئة العامة للصناعة</t>
        </is>
      </c>
      <c r="E37" s="11" t="inlineStr">
        <is>
          <t>تنفيذ أعمال المناقصة رقم (هـ ع ص/2024/14) بشأن صيانة وتطوير وتشغيل وضمان أنظمة (المشاريع - العقود - المواصفات) بالهيئة العامة للصناعة، وتوفير كافة الأجهزة والمعدات والأنظمة وخدمات الدعم الفني والضمان وفقاً لكراسة الشروط والمواصفات الفنية.</t>
        </is>
      </c>
      <c r="F37" s="12" t="inlineStr">
        <is>
          <t>غير محدد</t>
        </is>
      </c>
      <c r="G37" s="12" t="inlineStr">
        <is>
          <t>0.0%</t>
        </is>
      </c>
      <c r="H37" s="12" t="inlineStr">
        <is>
          <t>غير متوافقة مع اختصاصات KBM</t>
        </is>
      </c>
      <c r="I37" s="12" t="inlineStr">
        <is>
          <t>-</t>
        </is>
      </c>
      <c r="J37" s="11" t="inlineStr">
        <is>
          <t>No direct KBM capability match</t>
        </is>
      </c>
      <c r="K3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L37" s="12" t="inlineStr">
        <is>
          <t>2026-09-06</t>
        </is>
      </c>
      <c r="M37" s="12" t="inlineStr">
        <is>
          <t>2026-11-03</t>
        </is>
      </c>
      <c r="N37" s="12" t="inlineStr">
        <is>
          <t>23000.000 KWD</t>
        </is>
      </c>
      <c r="O37" s="12" t="inlineStr">
        <is>
          <t>1000.000 KWD</t>
        </is>
      </c>
      <c r="P37" s="12">
        <f>HYPERLINK("https://capt.gov.kw/ar/tenders/opening-tenders/#card-4", "عرض الإعلان")</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61"/>
  <sheetViews>
    <sheetView rightToLeft="1" workbookViewId="0">
      <pane ySplit="1" topLeftCell="A2" activePane="bottomLeft" state="frozen"/>
      <selection pane="bottomLeft" activeCell="A1" sqref="A1"/>
    </sheetView>
  </sheetViews>
  <sheetFormatPr baseColWidth="8" defaultRowHeight="15"/>
  <cols>
    <col width="26" customWidth="1" min="1" max="1"/>
    <col width="42" customWidth="1" min="2" max="2"/>
    <col width="33" customWidth="1" min="3" max="3"/>
    <col width="45" customWidth="1" min="4" max="4"/>
    <col width="45" customWidth="1" min="5" max="5"/>
    <col width="45" customWidth="1" min="6" max="6"/>
    <col width="45" customWidth="1" min="7" max="7"/>
    <col width="15" customWidth="1" min="8" max="8"/>
    <col width="25" customWidth="1" min="9" max="9"/>
    <col width="14" customWidth="1" min="10" max="10"/>
    <col width="19" customWidth="1" min="11" max="11"/>
    <col width="17" customWidth="1" min="12" max="12"/>
    <col width="15" customWidth="1" min="13" max="13"/>
    <col width="12" customWidth="1" min="14" max="14"/>
    <col width="41" customWidth="1" min="15" max="15"/>
    <col width="15" customWidth="1" min="16" max="16"/>
  </cols>
  <sheetData>
    <row r="1">
      <c r="A1" s="10" t="inlineStr">
        <is>
          <t>رقم المناقصة</t>
        </is>
      </c>
      <c r="B1" s="10" t="inlineStr">
        <is>
          <t>الجهة المصدرة</t>
        </is>
      </c>
      <c r="C1" s="10" t="inlineStr">
        <is>
          <t>مسؤول الحساب (Account Manager)</t>
        </is>
      </c>
      <c r="D1" s="10" t="inlineStr">
        <is>
          <t>موضوع المناقصة</t>
        </is>
      </c>
      <c r="E1" s="10" t="inlineStr">
        <is>
          <t>المطلوب في المناقصة ونطاق العمل والأجهزة (Required Scope &amp; Equipment)</t>
        </is>
      </c>
      <c r="F1" s="10" t="inlineStr">
        <is>
          <t>شروط ومتطلبات المشاركة (Requirements)</t>
        </is>
      </c>
      <c r="G1" s="10" t="inlineStr">
        <is>
          <t>قطاع KBM المختص</t>
        </is>
      </c>
      <c r="H1" s="10" t="inlineStr">
        <is>
          <t>درجة التوافق</t>
        </is>
      </c>
      <c r="I1" s="10" t="inlineStr">
        <is>
          <t>القطاع</t>
        </is>
      </c>
      <c r="J1" s="10" t="inlineStr">
        <is>
          <t>تاريخ النشر</t>
        </is>
      </c>
      <c r="K1" s="10" t="inlineStr">
        <is>
          <t>آخر موعد للتقديم</t>
        </is>
      </c>
      <c r="L1" s="10" t="inlineStr">
        <is>
          <t>التأمين الأولي</t>
        </is>
      </c>
      <c r="M1" s="10" t="inlineStr">
        <is>
          <t>سعر الكراسة</t>
        </is>
      </c>
      <c r="N1" s="10" t="inlineStr">
        <is>
          <t>الحالة</t>
        </is>
      </c>
      <c r="O1" s="10" t="inlineStr">
        <is>
          <t>قرار Presales</t>
        </is>
      </c>
      <c r="P1" s="10" t="inlineStr">
        <is>
          <t>رابط الإعلان</t>
        </is>
      </c>
    </row>
    <row r="2">
      <c r="A2" s="13" t="inlineStr">
        <is>
          <t>9-51</t>
        </is>
      </c>
      <c r="B2" s="13" t="inlineStr">
        <is>
          <t>وزارة الصحة</t>
        </is>
      </c>
      <c r="C2" s="13" t="inlineStr">
        <is>
          <t>Jana Al-Obaid</t>
        </is>
      </c>
      <c r="D2" s="13" t="inlineStr">
        <is>
          <t>ممارسة رقم 9-51 - وزارة الصحة (العدد 1810)</t>
        </is>
      </c>
      <c r="E2" s="13" t="inlineStr">
        <is>
          <t>أعمال وتوريدات ممارسة رقم 9-51 لصالح وزارة الصحة وفقاً للشروط والمواصفات المعتمدة في وثائق الطرح.</t>
        </is>
      </c>
      <c r="F2" s="13" t="inlineStr">
        <is>
          <t>• 1- الشركة المحلية يجب أن تكون مسجلة لدى إدارة المستودعات الطبية بسجل الموردين.
• 2- الشركة المحلية يجب أن تكون متخصصة في المجال الطبي وموثق بشهادة معتمدة من غرفة التجارة والصناعة.
• 3- عند تقديم عرضين يجب شراء كراستين بوصلين مختلفين.
• 4- ارفاق شهادة تسجيل للمنتج سارية المفعول من إدارة التسجيل ومراقبة الأدوية الطبية والنباتية أو ما يثبت بتقديم الشهادة ونسخة من تسجيل الشركة المصنعة والمادة في سجل الموردين بإدارة المستودعات الطبية ضمن محتويات العطاء المقدم فيه (خاص بمراقبة الأدوية).
• 5- تقديم عينات للمواد الجديدة سواءً كان منتج جديد يطلب لأول مرة أو من شركة مصنعة جديدة للمراقبة المختصة (الأدوية – اللوازم الطبية)
• 6- ارفاق شهادة نسبة دعم العمالة الوطنية.
• 7- يمكن الحصول على وثائق الممارسات في الموقع الإلكتروني الخاص بوزارة الصحة.
• 8- يمكن دفع رسوم شراء الكراسة من الموقع الإلكتروني لإرفاقه مع وثائق الممارسة.
• 9- تقديم عروض الأسعار بظرف مقفل شامل مع وثائق الممارسة حسب تاريخ الإقفال المحدد في الموقع الإلكتروني الخاص بوزارة الصحة.</t>
        </is>
      </c>
      <c r="G2" s="14" t="inlineStr">
        <is>
          <t>عام</t>
        </is>
      </c>
      <c r="H2" s="14" t="inlineStr">
        <is>
          <t>0.0%</t>
        </is>
      </c>
      <c r="I2" s="14" t="inlineStr">
        <is>
          <t>healthcare</t>
        </is>
      </c>
      <c r="J2" s="14" t="inlineStr">
        <is>
          <t>2026-09-27</t>
        </is>
      </c>
      <c r="K2" s="14" t="inlineStr">
        <is>
          <t>2026-10-26</t>
        </is>
      </c>
      <c r="L2" s="14" t="inlineStr">
        <is>
          <t>-</t>
        </is>
      </c>
      <c r="M2" s="14" t="inlineStr">
        <is>
          <t>1000.0 KWD</t>
        </is>
      </c>
      <c r="N2" s="21" t="inlineStr">
        <is>
          <t>UPDATED</t>
        </is>
      </c>
      <c r="O2" s="14" t="inlineStr">
        <is>
          <t>غير متوافقة مع اختصاصات KBM</t>
        </is>
      </c>
      <c r="P2" s="22">
        <f>HYPERLINK("https://kuwaitalyawm.media.gov.kw/Online/ViewAdsHTML?id=171551&amp;no=1", "عرض المصدر")</f>
        <v/>
      </c>
    </row>
    <row r="3">
      <c r="A3" s="11" t="inlineStr">
        <is>
          <t>2027/2026/74</t>
        </is>
      </c>
      <c r="B3" s="11" t="inlineStr">
        <is>
          <t>وزارة الصحة</t>
        </is>
      </c>
      <c r="C3" s="11" t="inlineStr">
        <is>
          <t>Jana Al-Obaid</t>
        </is>
      </c>
      <c r="D3" s="11" t="inlineStr">
        <is>
          <t>ممارسة رقم 2027/2026/74: توريد وتركيب وتشغيل شاشات تليفزيون لمركز الصليبية وتحويلة لمركز علاج الإدمان</t>
        </is>
      </c>
      <c r="E3" s="11" t="inlineStr">
        <is>
          <t>توريد المستلزمات والمواد والمستهلكات الطبية أو المخبرية المتخصصة لصالح المرافق الصحية.</t>
        </is>
      </c>
      <c r="F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3" s="12" t="inlineStr">
        <is>
          <t>عام</t>
        </is>
      </c>
      <c r="H3" s="12" t="inlineStr">
        <is>
          <t>15.0%</t>
        </is>
      </c>
      <c r="I3" s="12" t="inlineStr">
        <is>
          <t>healthcare</t>
        </is>
      </c>
      <c r="J3" s="12" t="inlineStr">
        <is>
          <t>2026-09-27</t>
        </is>
      </c>
      <c r="K3" s="12" t="inlineStr">
        <is>
          <t>-</t>
        </is>
      </c>
      <c r="L3" s="12" t="inlineStr">
        <is>
          <t>-</t>
        </is>
      </c>
      <c r="M3" s="12" t="inlineStr">
        <is>
          <t>-</t>
        </is>
      </c>
      <c r="N3" s="21" t="inlineStr">
        <is>
          <t>UPDATED</t>
        </is>
      </c>
      <c r="O3" s="12" t="inlineStr">
        <is>
          <t>غير متوافقة مع اختصاصات KBM</t>
        </is>
      </c>
      <c r="P3" s="23">
        <f>HYPERLINK("https://kuwaitalyawm.media.gov.kw/Online/ViewAdsHTML?id=171553&amp;no=1", "عرض المصدر")</f>
        <v/>
      </c>
    </row>
    <row r="4">
      <c r="A4" s="13" t="inlineStr">
        <is>
          <t>321</t>
        </is>
      </c>
      <c r="B4" s="13" t="inlineStr">
        <is>
          <t>وزارة الصحة</t>
        </is>
      </c>
      <c r="C4" s="13" t="inlineStr">
        <is>
          <t>Jana Al-Obaid</t>
        </is>
      </c>
      <c r="D4" s="13" t="inlineStr">
        <is>
          <t>ممارسة رقم 321 - وزارة الصحة (العدد 1810)</t>
        </is>
      </c>
      <c r="E4" s="13" t="inlineStr">
        <is>
          <t>أعمال وتوريدات ممارسة رقم 321 لصالح وزارة الصحة وفقاً للشروط والمواصفات المعتمدة في وثائق الطرح.</t>
        </is>
      </c>
      <c r="F4" s="13" t="inlineStr">
        <is>
          <t>• أن تكون مقصورة على الشركات المسجلة لدى إدارة الهندسة الطبية.
• أن تكون الشركة متخصصة في هذا المجال مع إحضار ما يفيد ذلك.
• سداد الرسوم المقررة لشراء وثائق الممارسة بطوابع إلكترونية.
• كتاب تفويض من الشركة بشراء وثائق الممارسة.
• أن تقدم الشركات المشاركة شهادة دعم العمالة الوطنية.
• يمكن الحصول على وثائق الممارسات من تاريخ النشر ولمدة 14 يوم فقط.</t>
        </is>
      </c>
      <c r="G4" s="14" t="inlineStr">
        <is>
          <t>عام</t>
        </is>
      </c>
      <c r="H4" s="14" t="inlineStr">
        <is>
          <t>15.0%</t>
        </is>
      </c>
      <c r="I4" s="14" t="inlineStr">
        <is>
          <t>healthcare</t>
        </is>
      </c>
      <c r="J4" s="14" t="inlineStr">
        <is>
          <t>2026-09-27</t>
        </is>
      </c>
      <c r="K4" s="14" t="inlineStr">
        <is>
          <t>2026-10-28</t>
        </is>
      </c>
      <c r="L4" s="14" t="inlineStr">
        <is>
          <t>-</t>
        </is>
      </c>
      <c r="M4" s="14" t="inlineStr">
        <is>
          <t>75.0 KWD</t>
        </is>
      </c>
      <c r="N4" s="21" t="inlineStr">
        <is>
          <t>UPDATED</t>
        </is>
      </c>
      <c r="O4" s="14" t="inlineStr">
        <is>
          <t>غير متوافقة مع اختصاصات KBM</t>
        </is>
      </c>
      <c r="P4" s="22">
        <f>HYPERLINK("https://kuwaitalyawm.media.gov.kw/Online/ViewAdsHTML?id=171555&amp;no=1", "عرض المصدر")</f>
        <v/>
      </c>
    </row>
    <row r="5">
      <c r="A5" s="11" t="inlineStr">
        <is>
          <t>2027/2026/6</t>
        </is>
      </c>
      <c r="B5" s="11" t="inlineStr">
        <is>
          <t>بنك الائتمان الكويتي</t>
        </is>
      </c>
      <c r="C5" s="11" t="inlineStr">
        <is>
          <t>Eiman Ashkanani</t>
        </is>
      </c>
      <c r="D5" s="11" t="inlineStr">
        <is>
          <t>ممارسة رقم 2027/2026/6: يعلن بنك الائتمان الكويتي عن اعلان إعادة طرح الممارسة رقم (6 -2026/2027) بصيانة وتطوير الكشوف الهندسية بالموقع، فعلى السادة الجهات الراغبة في التقدم بعطاءاتها الدخول على موقع البنك لشراء كراسة الشروط والمواصفات الفنية الخاصة بالممارسة المذكورة طبقاً للتفاصيل المحددة أدناه:</t>
        </is>
      </c>
      <c r="E5" s="11" t="inlineStr">
        <is>
          <t>أعمال وتوريدات يعلن بنك الائتمان الكويتي عن اعلان إعادة طرح الممارسة رقم (6 -2026/2027) بصيانة وتطوير الكشوف الهندسية بالموقع، فعلى السادة الجهات الراغبة في التقدم بعطاءاتها الدخول على موقع البنك لشراء كراسة الشروط والمواصفات الفنية الخاصة بالممارسة المذكورة طبقاً للتفاصيل المحددة أدناه: لصالح بنك الائتمان الكويتي وفقاً للشروط والمواصفات المعتمدة في وثائق الطرح.</t>
        </is>
      </c>
      <c r="F5" s="11" t="inlineStr">
        <is>
          <t>• رقم التواصل لأي استفسارات خاصة بلجنة الشراء لبنك الائتمان الكويتي.
• صورة حديثة ومعاصرة من شهادة تفيد تسجيله لدى الجهاز المركزي للمناقصات العامة.
• صورة حديثة لإعلان طرح الممارسة.
• صورة حديثة ومعاصرة لشهادة تحديد نسبة العمالة الوطنية الصادرة من الجهة المختصة.
• صورة حديثة ومعاصرة من شهادة حديثة ومعاصرة للسجل التجاري الخاص بالشركة.
• صورة حديثة ومعاصرة من شهادة تثبت التسجيل لدى غرفة تجارة صناعة الكويت.
• شهادة لمن يهمه الامر سارية وصادرة عن الهيئة العامة للقوى العاملة تتضمن عدم وجود وقف على ملف الممارس عن العقود الحكومية المسجلة لدى الهيئة عن أحد المخالفات المذكورة بالمادة (10) من القانون رقم (6) لسنة 2010 في شأن العمل في القطاع الأهلي.
• للشركات المدرجة ضمن المشاريع الصغيرة والمتوسطة:
• تقديم شهادة تسجيل من الصندوق الوطني لرعاية وتنمية المشروعات الصغيرة والمتوسطة.
• تقديم قوائم مالية معتمدة ومدققة من مكتب تدقيق محاسبي معتمد لدى وزارة التجارة والصناعة لآخر 3 سنوات وفي حال عدم انقضاء فترة 3 سنوات من تاريخ التأسيس يتم تقديم القوائم المالية للفترة المنقضية.
• تقديم شهادة من الهيئة العامة للقوى العاملة بعدد العمالة الاجمالية المسجلة على ملف الشركة متضمنة كافة العقود الحكومية.
• تقديم شهادة السجل التجاري والرخصة التجارية على ان تتضمن الرخصة النشاط التجاري المتوافق مع طبيعة اعمال المناقصة المطلوبة.
• موعد الاجتماع التمهيدي
• methker@KCB.GOV.KW
• A.Almojil@kcb.gov.kw
• آخر موعد لتلقي العطاءات
• تعنون العطاءات بالظرف لبنك الائتمان الكويتي وتودع بصندوق لجنة الشراء للبنك بالإدارة المالية لبنك الائتمان الكويتي بموعد أقصاه الساعة 12:00 ظهرا من يوم الخميس الموافق 08/10/2026
• أهمية الاطلاع على التعاميم الخاصة بممارسات لجنة الشراء لبنك الائتمان الكويتي والمتاحة في موقع البنك الرسمي تحت بند بمسمى تعاميم عامة وخاصة بنظم الشراء للجهات العامة.
• يجب على كافة الشركات المتقدمة (غير المسجلة لدى بنك الائتمان الكويتي) التسجيل عن طريق موقع البنك الالكتروني www.kcb.gov.kw ودفع رسوم التسجيل بقيمة 20 د.ك.
• يجب أن تكون جميع المستندات سارية الصلاحية.
• يجب أن تكون أظرف العطاءات مغلقة بإحكام بالشمع الأحمر.
• للبنك الحق في إلغاء الممارسة بدون ذكر الأسباب.</t>
        </is>
      </c>
      <c r="G5" s="12" t="inlineStr">
        <is>
          <t>عام</t>
        </is>
      </c>
      <c r="H5" s="12" t="inlineStr">
        <is>
          <t>0.0%</t>
        </is>
      </c>
      <c r="I5" s="12" t="inlineStr">
        <is>
          <t>banking_and_finance</t>
        </is>
      </c>
      <c r="J5" s="12" t="inlineStr">
        <is>
          <t>2026-09-27</t>
        </is>
      </c>
      <c r="K5" s="12" t="inlineStr">
        <is>
          <t>-</t>
        </is>
      </c>
      <c r="L5" s="12" t="inlineStr">
        <is>
          <t>2000.0 KWD</t>
        </is>
      </c>
      <c r="M5" s="12" t="inlineStr">
        <is>
          <t>20.0 KWD</t>
        </is>
      </c>
      <c r="N5" s="21" t="inlineStr">
        <is>
          <t>UPDATED</t>
        </is>
      </c>
      <c r="O5" s="12" t="inlineStr">
        <is>
          <t>غير متوافقة مع اختصاصات KBM</t>
        </is>
      </c>
      <c r="P5" s="23">
        <f>HYPERLINK("https://kuwaitalyawm.media.gov.kw/Online/ViewAdsHTML?id=171712&amp;no=1", "عرض المصدر")</f>
        <v/>
      </c>
    </row>
    <row r="6">
      <c r="A6" s="13" t="inlineStr">
        <is>
          <t>15140/15567</t>
        </is>
      </c>
      <c r="B6" s="13" t="inlineStr">
        <is>
          <t>وزارة الكهرباء والماء والطاقة المتجددة</t>
        </is>
      </c>
      <c r="C6" s="13" t="inlineStr">
        <is>
          <t>Raed Obeid</t>
        </is>
      </c>
      <c r="D6" s="13" t="inlineStr">
        <is>
          <t>ممارسة رقم 15140/15567: الوقت النهائي لتقديم العطاءات : في تمام الساعة العاشرة والنصف صباحاً من اليوم المحدد بالإعلان أدناه المقرر لإيداع العطاءات ولن يقبل أي عطاء يرد بعد ذلك.</t>
        </is>
      </c>
      <c r="E6" s="13" t="inlineStr">
        <is>
          <t>أعمال وتوريدات في تمام الساعة العاشرة والنصف صباحاً من اليوم المحدد بالإعلان أدناه المقرر لإيداع العطاءات ولن يقبل أي عطاء يرد بعد ذلك. لصالح وزارة الكهرباء والماء وفقاً للشروط والمواصفات المعتمدة في وثائق الطرح.</t>
        </is>
      </c>
      <c r="F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6" s="14" t="inlineStr">
        <is>
          <t>عام</t>
        </is>
      </c>
      <c r="H6" s="14" t="inlineStr">
        <is>
          <t>15.0%</t>
        </is>
      </c>
      <c r="I6" s="14" t="inlineStr">
        <is>
          <t>oil_and_gas</t>
        </is>
      </c>
      <c r="J6" s="14" t="inlineStr">
        <is>
          <t>2026-09-27</t>
        </is>
      </c>
      <c r="K6" s="18" t="inlineStr">
        <is>
          <t>2026-10-20</t>
        </is>
      </c>
      <c r="L6" s="14" t="inlineStr">
        <is>
          <t>-</t>
        </is>
      </c>
      <c r="M6" s="14" t="inlineStr">
        <is>
          <t>10.0 KWD</t>
        </is>
      </c>
      <c r="N6" s="21" t="inlineStr">
        <is>
          <t>UPDATED</t>
        </is>
      </c>
      <c r="O6" s="14" t="inlineStr">
        <is>
          <t>غير متوافقة مع اختصاصات KBM</t>
        </is>
      </c>
      <c r="P6" s="22">
        <f>HYPERLINK("https://kuwaitalyawm.media.gov.kw/Online/ViewAdsHTML?id=171669&amp;no=1", "عرض المصدر")</f>
        <v/>
      </c>
    </row>
    <row r="7">
      <c r="A7" s="11" t="inlineStr">
        <is>
          <t>15353/15580</t>
        </is>
      </c>
      <c r="B7" s="11" t="inlineStr">
        <is>
          <t>وزارة الكهرباء والماء والطاقة المتجددة</t>
        </is>
      </c>
      <c r="C7" s="11" t="inlineStr">
        <is>
          <t>Raed Obeid</t>
        </is>
      </c>
      <c r="D7" s="11" t="inlineStr">
        <is>
          <t>ممارسة رقم 15353/15580: الوقت النهائي لتقديم العطاءات : في تمام الساعة العاشرة والنصف صباحاً من اليوم المحدد بالإعلان أدناه المقرر لإيداع العطاءات ولن يقبل أي عطاء يرد بعد ذلك.</t>
        </is>
      </c>
      <c r="E7" s="11" t="inlineStr">
        <is>
          <t>أعمال وتوريدات في تمام الساعة العاشرة والنصف صباحاً من اليوم المحدد بالإعلان أدناه المقرر لإيداع العطاءات ولن يقبل أي عطاء يرد بعد ذلك. لصالح وزارة الكهرباء والماء والطاقة المتجددة وفقاً للشروط والمواصفات المعتمدة في وثائق الطرح.</t>
        </is>
      </c>
      <c r="F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7" s="12" t="inlineStr">
        <is>
          <t>عام</t>
        </is>
      </c>
      <c r="H7" s="12" t="inlineStr">
        <is>
          <t>15.0%</t>
        </is>
      </c>
      <c r="I7" s="12" t="inlineStr">
        <is>
          <t>oil_and_gas</t>
        </is>
      </c>
      <c r="J7" s="12" t="inlineStr">
        <is>
          <t>2026-09-27</t>
        </is>
      </c>
      <c r="K7" s="12" t="inlineStr">
        <is>
          <t>-</t>
        </is>
      </c>
      <c r="L7" s="12" t="inlineStr">
        <is>
          <t>-</t>
        </is>
      </c>
      <c r="M7" s="12" t="inlineStr">
        <is>
          <t>7.0 KWD</t>
        </is>
      </c>
      <c r="N7" s="21" t="inlineStr">
        <is>
          <t>UPDATED</t>
        </is>
      </c>
      <c r="O7" s="12" t="inlineStr">
        <is>
          <t>غير متوافقة مع اختصاصات KBM</t>
        </is>
      </c>
      <c r="P7" s="23">
        <f>HYPERLINK("https://kuwaitalyawm.media.gov.kw/Online/ViewAdsHTML?id=171670&amp;no=1", "عرض المصدر")</f>
        <v/>
      </c>
    </row>
    <row r="8">
      <c r="A8" s="13" t="inlineStr">
        <is>
          <t>2027/2026/1</t>
        </is>
      </c>
      <c r="B8" s="13" t="inlineStr">
        <is>
          <t>وزارة الكهرباء والماء والطاقة المتجددة</t>
        </is>
      </c>
      <c r="C8" s="13" t="inlineStr">
        <is>
          <t>Raed Obeid</t>
        </is>
      </c>
      <c r="D8" s="13" t="inlineStr">
        <is>
          <t>ممارسة رقم 2027/2026/1: صيانة جهاز تحليل وقياس الكربون العضوي في الماء</t>
        </is>
      </c>
      <c r="E8" s="13" t="inlineStr">
        <is>
          <t>أعمال وتوريدات صيانة جهاز تحليل وقياس الكربون العضوي في الماء لصالح وزارة الكهرباء والماء وفقاً للشروط والمواصفات المعتمدة في وثائق الطرح.</t>
        </is>
      </c>
      <c r="F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8" s="14" t="inlineStr">
        <is>
          <t>عام</t>
        </is>
      </c>
      <c r="H8" s="14" t="inlineStr">
        <is>
          <t>15.0%</t>
        </is>
      </c>
      <c r="I8" s="14" t="inlineStr">
        <is>
          <t>oil_and_gas</t>
        </is>
      </c>
      <c r="J8" s="14" t="inlineStr">
        <is>
          <t>2026-09-27</t>
        </is>
      </c>
      <c r="K8" s="14" t="inlineStr">
        <is>
          <t>2026-10-25</t>
        </is>
      </c>
      <c r="L8" s="14" t="inlineStr">
        <is>
          <t>600.0 KWD</t>
        </is>
      </c>
      <c r="M8" s="14" t="inlineStr">
        <is>
          <t>15.0 KWD</t>
        </is>
      </c>
      <c r="N8" s="21" t="inlineStr">
        <is>
          <t>UPDATED</t>
        </is>
      </c>
      <c r="O8" s="14" t="inlineStr">
        <is>
          <t>غير متوافقة مع اختصاصات KBM</t>
        </is>
      </c>
      <c r="P8" s="22">
        <f>HYPERLINK("https://kuwaitalyawm.media.gov.kw/Online/ViewAdsHTML?id=171671&amp;no=1", "عرض المصدر")</f>
        <v/>
      </c>
    </row>
    <row r="9">
      <c r="A9" s="11" t="inlineStr">
        <is>
          <t>2027/2026/8</t>
        </is>
      </c>
      <c r="B9" s="11" t="inlineStr">
        <is>
          <t>الإدارة العامة للإطفاء</t>
        </is>
      </c>
      <c r="C9" s="11" t="inlineStr">
        <is>
          <t>Eiman Ashkanani</t>
        </is>
      </c>
      <c r="D9" s="11" t="inlineStr">
        <is>
          <t>ممارسة رقم 2027/2026/8: بشأن شراء وتجديد حزمة برامج Manage engine</t>
        </is>
      </c>
      <c r="E9" s="11" t="inlineStr">
        <is>
          <t>تنفيذ أعمال بشأن شراء وتجديد حزمة برامج Manage engine، وتوفير كافة الأجهزة والمعدات والأنظمة وخدمات الدعم الفني والضمان وفقاً لكراسة الشروط والمواصفات الفنية.</t>
        </is>
      </c>
      <c r="F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9" s="24" t="inlineStr">
        <is>
          <t>قطاع برمجيات IBM وحلول الذكاء الاصطناعي وRed Hat</t>
        </is>
      </c>
      <c r="H9" s="12" t="inlineStr">
        <is>
          <t>68.0%</t>
        </is>
      </c>
      <c r="I9" s="12" t="inlineStr">
        <is>
          <t>defense_and_security</t>
        </is>
      </c>
      <c r="J9" s="12" t="inlineStr">
        <is>
          <t>2026-09-27</t>
        </is>
      </c>
      <c r="K9" s="12" t="inlineStr">
        <is>
          <t>-</t>
        </is>
      </c>
      <c r="L9" s="12" t="inlineStr">
        <is>
          <t>-</t>
        </is>
      </c>
      <c r="M9" s="12" t="inlineStr">
        <is>
          <t>75.0 KWD</t>
        </is>
      </c>
      <c r="N9" s="21" t="inlineStr">
        <is>
          <t>UPDATED</t>
        </is>
      </c>
      <c r="O9" s="12" t="inlineStr">
        <is>
          <t>فرصة ICT متوافقة مع قدرات KBM</t>
        </is>
      </c>
      <c r="P9" s="23">
        <f>HYPERLINK("https://kuwaitalyawm.media.gov.kw/Online/ViewAdsHTML?id=171698&amp;no=1", "عرض المصدر")</f>
        <v/>
      </c>
    </row>
    <row r="10">
      <c r="A10" s="13" t="inlineStr">
        <is>
          <t>2030/2027/327</t>
        </is>
      </c>
      <c r="B10" s="13" t="inlineStr">
        <is>
          <t>الهيئة العامة للاستثمار</t>
        </is>
      </c>
      <c r="C10" s="13" t="inlineStr">
        <is>
          <t>Eiman Ashkanani</t>
        </is>
      </c>
      <c r="D10" s="13" t="inlineStr">
        <is>
          <t>ممارسة رقم 2030/2027/327: شراء جهاز توزيع الأحمال (App Load Balancer)</t>
        </is>
      </c>
      <c r="E10" s="13" t="inlineStr">
        <is>
          <t>أعمال وتوريدات شراء جهاز توزيع الأحمال (App Load Balancer) لصالح الهيئة العامة للاستثمار وفقاً للشروط والمواصفات المعتمدة في وثائق الطرح.</t>
        </is>
      </c>
      <c r="F1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0" s="24" t="inlineStr">
        <is>
          <t>عام</t>
        </is>
      </c>
      <c r="H10" s="14" t="inlineStr">
        <is>
          <t>0.0%</t>
        </is>
      </c>
      <c r="I10" s="14" t="inlineStr">
        <is>
          <t>banking_and_finance</t>
        </is>
      </c>
      <c r="J10" s="14" t="inlineStr">
        <is>
          <t>2026-09-27</t>
        </is>
      </c>
      <c r="K10" s="14" t="inlineStr">
        <is>
          <t>-</t>
        </is>
      </c>
      <c r="L10" s="14" t="inlineStr">
        <is>
          <t>1500.0 KWD</t>
        </is>
      </c>
      <c r="M10" s="14" t="inlineStr">
        <is>
          <t>75.0 KWD</t>
        </is>
      </c>
      <c r="N10" s="21" t="inlineStr">
        <is>
          <t>UPDATED</t>
        </is>
      </c>
      <c r="O10" s="14" t="inlineStr">
        <is>
          <t>غير متوافقة مع اختصاصات KBM</t>
        </is>
      </c>
      <c r="P10" s="22">
        <f>HYPERLINK("https://kuwaitalyawm.media.gov.kw/Online/ViewAdsHTML?id=171676&amp;no=1", "عرض المصدر")</f>
        <v/>
      </c>
    </row>
    <row r="11">
      <c r="A11" s="11" t="inlineStr">
        <is>
          <t>2027/2026/3</t>
        </is>
      </c>
      <c r="B11" s="11" t="inlineStr">
        <is>
          <t>الهيئة العامة للبيئة</t>
        </is>
      </c>
      <c r="C11" s="11" t="inlineStr">
        <is>
          <t>Eiman Ashkanani</t>
        </is>
      </c>
      <c r="D11" s="11" t="inlineStr">
        <is>
          <t>ممارسة رقم 2027/2026/3: توفير خدمات تقنية المعلومات والصيانة والدعم الفني</t>
        </is>
      </c>
      <c r="E11" s="11" t="inlineStr">
        <is>
          <t>تنفيذ أعمال توفير خدمات تقنية المعلومات والصيانة والدعم الفني، وتوفير كافة الأجهزة والمعدات والأنظمة وخدمات الدعم الفني والضمان وفقاً لكراسة الشروط والمواصفات الفنية.</t>
        </is>
      </c>
      <c r="F1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1" s="24" t="inlineStr">
        <is>
          <t>قطاع العمليات المدارة والدعم الفني متعدد الموردين</t>
        </is>
      </c>
      <c r="H11" s="12" t="inlineStr">
        <is>
          <t>64.0%</t>
        </is>
      </c>
      <c r="I11" s="12" t="inlineStr">
        <is>
          <t>government</t>
        </is>
      </c>
      <c r="J11" s="12" t="inlineStr">
        <is>
          <t>2026-09-27</t>
        </is>
      </c>
      <c r="K11" s="12" t="inlineStr">
        <is>
          <t>2026-10-27</t>
        </is>
      </c>
      <c r="L11" s="12" t="inlineStr">
        <is>
          <t>-</t>
        </is>
      </c>
      <c r="M11" s="12" t="inlineStr">
        <is>
          <t>30.0 KWD</t>
        </is>
      </c>
      <c r="N11" s="21" t="inlineStr">
        <is>
          <t>UPDATED</t>
        </is>
      </c>
      <c r="O11" s="12" t="inlineStr">
        <is>
          <t>فرصة ICT متوافقة مع قدرات KBM</t>
        </is>
      </c>
      <c r="P11" s="23">
        <f>HYPERLINK("https://kuwaitalyawm.media.gov.kw/Online/ViewAdsHTML?id=171677&amp;no=1", "عرض المصدر")</f>
        <v/>
      </c>
    </row>
    <row r="12">
      <c r="A12" s="13" t="inlineStr">
        <is>
          <t>2027/2026/2</t>
        </is>
      </c>
      <c r="B12" s="13" t="inlineStr">
        <is>
          <t>الهيئة العامة للتعليم التطبيقي والتدريب</t>
        </is>
      </c>
      <c r="C12" s="13" t="inlineStr">
        <is>
          <t>Eiman Ashkanani</t>
        </is>
      </c>
      <c r="D12" s="13" t="inlineStr">
        <is>
          <t>ممارسة رقم 2027/2026/2 - الهيئة العامة للتعليم التطبيقي والتدريب (العدد 1810)</t>
        </is>
      </c>
      <c r="E12" s="13" t="inlineStr">
        <is>
          <t>توريد المستلزمات والمواد والمستهلكات الطبية أو المخبرية المتخصصة لصالح المرافق الصحية.</t>
        </is>
      </c>
      <c r="F1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2" s="14" t="inlineStr">
        <is>
          <t>عام</t>
        </is>
      </c>
      <c r="H12" s="14" t="inlineStr">
        <is>
          <t>0.0%</t>
        </is>
      </c>
      <c r="I12" s="14" t="inlineStr">
        <is>
          <t>education_and_research</t>
        </is>
      </c>
      <c r="J12" s="14" t="inlineStr">
        <is>
          <t>2026-09-27</t>
        </is>
      </c>
      <c r="K12" s="14" t="inlineStr">
        <is>
          <t>-</t>
        </is>
      </c>
      <c r="L12" s="14" t="inlineStr">
        <is>
          <t>-</t>
        </is>
      </c>
      <c r="M12" s="14" t="inlineStr">
        <is>
          <t>75.0 KWD</t>
        </is>
      </c>
      <c r="N12" s="21" t="inlineStr">
        <is>
          <t>UPDATED</t>
        </is>
      </c>
      <c r="O12" s="14" t="inlineStr">
        <is>
          <t>غير متوافقة مع اختصاصات KBM</t>
        </is>
      </c>
      <c r="P12" s="22">
        <f>HYPERLINK("https://kuwaitalyawm.media.gov.kw/Online/ViewAdsHTML?id=171678&amp;no=1", "عرض المصدر")</f>
        <v/>
      </c>
    </row>
    <row r="13">
      <c r="A13" s="11" t="inlineStr">
        <is>
          <t>2027/2026/13</t>
        </is>
      </c>
      <c r="B13" s="11" t="inlineStr">
        <is>
          <t>بنك الائتمان الكويتي</t>
        </is>
      </c>
      <c r="C13" s="11" t="inlineStr">
        <is>
          <t>Eiman Ashkanani</t>
        </is>
      </c>
      <c r="D13" s="11" t="inlineStr">
        <is>
          <t>ممارسة رقم 2027/2026/13: يعـلـن بنك الائتمان الكويتي عن اعلان طرح الممارسة رقم (13-2026/2027) الخاصة بدعم وصيانة وتكامل نظام الأرشيف الإلكتروني في بنك الائتمان الكويتي فعلى السادة الجهات الراغبة في التقدم بعطاءاتها الدخول على موقع البنك لشراء كراسة الشروط والمواصفات الفنية الخاصة بالممارسة المذكورة طبقاً للتفاصيل المحددة أدناه:</t>
        </is>
      </c>
      <c r="E13" s="11" t="inlineStr">
        <is>
          <t>تنفيذ أعمال يعـلـن بنك الائتمان الكويتي عن اعلان طرح الممارسة رقم (13-2026/2027) الخاصة بدعم وصيانة وتكامل نظام الأرشيف الإلكتروني في بنك الائتمان الكويتي فعلى السادة الجهات الراغبة في التقدم بعطاءاتها الدخول على موقع البنك لشراء كراسة الشروط والمواصفات الفنية الخاصة بالممارسة المذكورة طبقاً للتفاصيل المحددة أدناه:، وتوفير كافة الأجهزة والمعدات والأنظمة وخدمات الدعم الفني والضمان وفقاً لكراسة الشروط والمواصفات الفنية.</t>
        </is>
      </c>
      <c r="F13" s="11" t="inlineStr">
        <is>
          <t>• رقم التواصل لأي استفسارات خاصة بلجنة الشراء لبنك الائتمان الكويتي.
• صورة حديثة ومعاصرة من شهادة تفيد تسجيله لدى الجهاز المركزي للمناقصات العامة.
• صورة حديثة لإعلان طرح الممارسة.
• صورة حديثة ومعاصرة لشهادة تحديد نسبة العمالة الوطنية الصادرة من الجهة المختصة.
• صورة حديثة ومعاصرة من شهادة حديثة ومعاصرة للسجل التجاري الخاص بالشركة.
• صورة حديثة ومعاصرة من شهادة تثبت التسجيل لدى غرفة تجارة صناعة الكويت.
• شهادة لمن يهمه الامر سارية وصادرة عن الهيئة العامة للقوى العاملة تتضمن عدم وجود وقف على ملف الممارس عن العقود الحكومية المسجلة لدى الهيئة عن أحد المخالفات المذكورة بالمادة (10) من القانون رقم (6) لسنة 2010 في شأن العمل في القطاع الأهلي.
• للشركات المدرجة ضمن المشاريع الصغيرة والمتوسطة:
• تقديم شهادة تسجيل من الصندوق الوطني لرعاية وتنمية المشروعات الصغيرة والمتوسطة.
• تقديم قوائم مالية معتمدة ومدققة من مكتب تدقيق محاسبي معتمد لدى وزارة التجارة والصناعة لآخر 3 سنوات وفي حال عدم انقضاء فترة 3 سنوات من تاريخ التأسيس يتم تقديم القوائم المالية للفترة المنقضية.
• تقديم شهادة من الهيئة العامة للقوى العاملة بعدد العمالة الاجمالية المسجلة على ملف الشركة متضمنة كافة العقود الحكومية.
• تقديم شهادة السجل التجاري والرخصة التجارية على ان تتضمن الرخصة النشاط التجاري المتوافق مع طبيعة اعمال المناقصة المطلوبة.
• موعد الاجتماع التمهيدي
• يوم الاحد الموافق 04/10/2026 في تمام الساعة 12:30 بمبنى البنك الرئيسي بجنوب السرة - الدور الرابع غرفة الاجتماعات
• آخر موعد لتلقي العطاءات
• تعنون العطاءات بالظرف لبنك الائتمان الكويتي وتودع بصندوق لجنة الشراء للبنك بالإدارة المالية لبنك الائتمان الكويتي بموعد أقصاه الساعة 01:00 ظهرا من يوم الخميس الموافق 15/10/2026
• أهمية الاطلاع على التعاميم الخاصة بممارسات لجنة الشراء لبنك الائتمان الكويتي والمتاحة في موقع البنك الرسمي تحت بند بمسمى تعاميم عامة وخاصة بنظم الشراء للجهات العامة.
• يجب على كافة الشركات المتقدمة (غير المسجلة لدى بنك الائتمان الكويتي) التسجيل عن طريق موقع البنك الالكتروني www.kcb.gov.kw ودفع رسوم التسجيل بقيمة 20 د.ك.
• يجب أن تكون جميع المستندات سارية الصلاحية.
• يجب ان تكون أظرف العطاءات مغلقة بإحكام بالشمع الأحمر.
• للبنك الحق في إلغاء الممارسة بدون ذكر الأسباب.</t>
        </is>
      </c>
      <c r="G13" s="12" t="inlineStr">
        <is>
          <t>عام</t>
        </is>
      </c>
      <c r="H13" s="12" t="inlineStr">
        <is>
          <t>0.0%</t>
        </is>
      </c>
      <c r="I13" s="12" t="inlineStr">
        <is>
          <t>banking_and_finance</t>
        </is>
      </c>
      <c r="J13" s="12" t="inlineStr">
        <is>
          <t>2026-09-27</t>
        </is>
      </c>
      <c r="K13" s="12" t="inlineStr">
        <is>
          <t>-</t>
        </is>
      </c>
      <c r="L13" s="12" t="inlineStr">
        <is>
          <t>2000.0 KWD</t>
        </is>
      </c>
      <c r="M13" s="12" t="inlineStr">
        <is>
          <t>20.0 KWD</t>
        </is>
      </c>
      <c r="N13" s="21" t="inlineStr">
        <is>
          <t>UPDATED</t>
        </is>
      </c>
      <c r="O13" s="12" t="inlineStr">
        <is>
          <t>غير متوافقة مع اختصاصات KBM</t>
        </is>
      </c>
      <c r="P13" s="23">
        <f>HYPERLINK("https://kuwaitalyawm.media.gov.kw/Online/ViewAdsHTML?id=171713&amp;no=1", "عرض المصدر")</f>
        <v/>
      </c>
    </row>
    <row r="14">
      <c r="A14" s="13" t="inlineStr">
        <is>
          <t>2027/2026/17</t>
        </is>
      </c>
      <c r="B14" s="13" t="inlineStr">
        <is>
          <t>الهيئة العامة للتعليم التطبيقي والتدريب</t>
        </is>
      </c>
      <c r="C14" s="13" t="inlineStr">
        <is>
          <t>Eiman Ashkanani</t>
        </is>
      </c>
      <c r="D14" s="13" t="inlineStr">
        <is>
          <t>ممارسة رقم 2027/2026/17 - الهيئة العامة للتعليم التطبيقي والتدريب (العدد 1810)</t>
        </is>
      </c>
      <c r="E14" s="13" t="inlineStr">
        <is>
          <t>توريد المستلزمات والمواد والمستهلكات الطبية أو المخبرية المتخصصة لصالح المرافق الصحية.</t>
        </is>
      </c>
      <c r="F1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4" s="14" t="inlineStr">
        <is>
          <t>عام</t>
        </is>
      </c>
      <c r="H14" s="14" t="inlineStr">
        <is>
          <t>0.0%</t>
        </is>
      </c>
      <c r="I14" s="14" t="inlineStr">
        <is>
          <t>education_and_research</t>
        </is>
      </c>
      <c r="J14" s="14" t="inlineStr">
        <is>
          <t>2026-09-27</t>
        </is>
      </c>
      <c r="K14" s="14" t="inlineStr">
        <is>
          <t>-</t>
        </is>
      </c>
      <c r="L14" s="14" t="inlineStr">
        <is>
          <t>-</t>
        </is>
      </c>
      <c r="M14" s="14" t="inlineStr">
        <is>
          <t>75.0 KWD</t>
        </is>
      </c>
      <c r="N14" s="21" t="inlineStr">
        <is>
          <t>UPDATED</t>
        </is>
      </c>
      <c r="O14" s="14" t="inlineStr">
        <is>
          <t>غير متوافقة مع اختصاصات KBM</t>
        </is>
      </c>
      <c r="P14" s="22">
        <f>HYPERLINK("https://kuwaitalyawm.media.gov.kw/Online/ViewAdsHTML?id=171680&amp;no=1", "عرض المصدر")</f>
        <v/>
      </c>
    </row>
    <row r="15">
      <c r="A15" s="11" t="inlineStr">
        <is>
          <t>2027/2026/27</t>
        </is>
      </c>
      <c r="B15" s="11" t="inlineStr">
        <is>
          <t>الهيئة العامة للتعليم التطبيقي والتدريب</t>
        </is>
      </c>
      <c r="C15" s="11" t="inlineStr">
        <is>
          <t>Eiman Ashkanani</t>
        </is>
      </c>
      <c r="D15" s="11" t="inlineStr">
        <is>
          <t>ممارسة رقم 2027/2026/27: على الشركات والمؤسسات الراغبة في الاشتراك في هذه الممارسة مراجعة موقع الهيئة العامة للتعليم التطبيقي والتدريب الالكتروني (www.paaet.edu.kw) وذلك لشراء عطاء الممارسـة المـــدرجـــة ضمن الخدمات الالكترونية رقــــم (8) وتسليم العطاءات في مقر الهيئة الجديد الكائن في منطقة الشويخ التعليمية الدور السابع - إدارة التوريدات خــلال أسبوعـــــين مقابل رســـوم قـدرهـا (75 د.ك ) لا ترد.</t>
        </is>
      </c>
      <c r="E15" s="11" t="inlineStr">
        <is>
          <t>تنفيذ أعمال على الشركات والمؤسسات الراغبة في الاشتراك في هذه الممارسة مراجعة موقع الهيئة العامة للتعليم التطبيقي والتدريب الالكتروني (www.paaet.edu.kw) وذلك لشراء عطاء الممارسـة المـــدرجـــة ضمن الخدمات الالكترونية رقــــم (8) وتسليم العطاءات في مقر الهيئة الجديد الكائن في منطقة الشويخ التعليمية الدور السابع، وتوفير كافة الأجهزة والمعدات والأنظمة وخدمات الدعم الفني والضمان وفقاً لكراسة الشروط والمواصفات الفنية.</t>
        </is>
      </c>
      <c r="F1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5" s="12" t="inlineStr">
        <is>
          <t>عام</t>
        </is>
      </c>
      <c r="H15" s="12" t="inlineStr">
        <is>
          <t>0.0%</t>
        </is>
      </c>
      <c r="I15" s="12" t="inlineStr">
        <is>
          <t>education_and_research</t>
        </is>
      </c>
      <c r="J15" s="12" t="inlineStr">
        <is>
          <t>2026-09-27</t>
        </is>
      </c>
      <c r="K15" s="12" t="inlineStr">
        <is>
          <t>-</t>
        </is>
      </c>
      <c r="L15" s="12" t="inlineStr">
        <is>
          <t>-</t>
        </is>
      </c>
      <c r="M15" s="12" t="inlineStr">
        <is>
          <t>75.0 KWD</t>
        </is>
      </c>
      <c r="N15" s="21" t="inlineStr">
        <is>
          <t>UPDATED</t>
        </is>
      </c>
      <c r="O15" s="12" t="inlineStr">
        <is>
          <t>غير متوافقة مع اختصاصات KBM</t>
        </is>
      </c>
      <c r="P15" s="23">
        <f>HYPERLINK("https://kuwaitalyawm.media.gov.kw/Online/ViewAdsHTML?id=171681&amp;no=1", "عرض المصدر")</f>
        <v/>
      </c>
    </row>
    <row r="16">
      <c r="A16" s="13" t="inlineStr">
        <is>
          <t>2027/2026/38</t>
        </is>
      </c>
      <c r="B16" s="13" t="inlineStr">
        <is>
          <t>الهيئة العامة للتعليم التطبيقي والتدريب</t>
        </is>
      </c>
      <c r="C16" s="13" t="inlineStr">
        <is>
          <t>Eiman Ashkanani</t>
        </is>
      </c>
      <c r="D16" s="13" t="inlineStr">
        <is>
          <t>ممارسة رقم 2027/2026/38: على الشركات والمؤسسات الراغبة في الاشتراك في هذه الممارسة مراجعة موقع الهيئة العامة للتعليم التطبيقي والتدريب الالكتروني (WWW.Paaet.edu.kw) وذلك لشراء عطاء الممارسـة المـــدرجـــة ضمن الخدمات الالكترونية (خدمات عامة) وتسليم العطاءات في مقر الهيئة الجديد الكائن في منطقة الشويخ التعليمية الدور السابع - إدارة التوريدات خــلال أسبوعـــــين مقابل رســـوم قـدرهـا (75 د.ك ) لا ترد.</t>
        </is>
      </c>
      <c r="E16" s="13" t="inlineStr">
        <is>
          <t>تنفيذ أعمال على الشركات والمؤسسات الراغبة في الاشتراك في هذه الممارسة مراجعة موقع الهيئة العامة للتعليم التطبيقي والتدريب الالكتروني (WWW.Paaet.edu.kw) وذلك لشراء عطاء الممارسـة المـــدرجـــة ضمن الخدمات الالكترونية (خدمات عامة) وتسليم العطاءات في مقر الهيئة الجديد الكائن في منطقة الشويخ التعليمية الدور السابع، وتوفير كافة الأجهزة والمعدات والأنظمة وخدمات الدعم الفني والضمان وفقاً لكراسة الشروط والمواصفات الفنية.</t>
        </is>
      </c>
      <c r="F1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6" s="24" t="inlineStr">
        <is>
          <t>عام</t>
        </is>
      </c>
      <c r="H16" s="14" t="inlineStr">
        <is>
          <t>24.0%</t>
        </is>
      </c>
      <c r="I16" s="14" t="inlineStr">
        <is>
          <t>education_and_research</t>
        </is>
      </c>
      <c r="J16" s="14" t="inlineStr">
        <is>
          <t>2026-09-27</t>
        </is>
      </c>
      <c r="K16" s="14" t="inlineStr">
        <is>
          <t>-</t>
        </is>
      </c>
      <c r="L16" s="14" t="inlineStr">
        <is>
          <t>-</t>
        </is>
      </c>
      <c r="M16" s="14" t="inlineStr">
        <is>
          <t>75.0 KWD</t>
        </is>
      </c>
      <c r="N16" s="21" t="inlineStr">
        <is>
          <t>UPDATED</t>
        </is>
      </c>
      <c r="O16" s="14" t="inlineStr">
        <is>
          <t>غير متوافقة مع اختصاصات KBM</t>
        </is>
      </c>
      <c r="P16" s="22">
        <f>HYPERLINK("https://kuwaitalyawm.media.gov.kw/Online/ViewAdsHTML?id=171682&amp;no=1", "عرض المصدر")</f>
        <v/>
      </c>
    </row>
    <row r="17">
      <c r="A17" s="11" t="inlineStr">
        <is>
          <t>2027/2026/40</t>
        </is>
      </c>
      <c r="B17" s="11" t="inlineStr">
        <is>
          <t>الهيئة العامة للتعليم التطبيقي والتدريب</t>
        </is>
      </c>
      <c r="C17" s="11" t="inlineStr">
        <is>
          <t>Eiman Ashkanani</t>
        </is>
      </c>
      <c r="D17" s="11" t="inlineStr">
        <is>
          <t>ممارسة رقم 2027/2026/40: على الشركات والمؤسسات الراغبة في الاشتراك في هذه الممارسة مراجعة موقع الهيئة العامة للتعليم التطبيقي والتدريب الالكتروني (WWW.Paaet.edu.kw) وذلك لشراء عطاء الممارسـة المـــدرجـــة ضمن الخدمات الالكترونية (خدمات عامة) وتسليم العطاءات في مقر الهيئة الجديد الكائن في منطقة الشويخ التعليمية الدور السابع - إدارة التوريدات خــلال أسبوعـــــين مقابل رســـوم قـدرهـا (75 د.ك ) لا ترد.</t>
        </is>
      </c>
      <c r="E17" s="11" t="inlineStr">
        <is>
          <t>تنفيذ أعمال على الشركات والمؤسسات الراغبة في الاشتراك في هذه الممارسة مراجعة موقع الهيئة العامة للتعليم التطبيقي والتدريب الالكتروني (WWW.Paaet.edu.kw) وذلك لشراء عطاء الممارسـة المـــدرجـــة ضمن الخدمات الالكترونية (خدمات عامة) وتسليم العطاءات في مقر الهيئة الجديد الكائن في منطقة الشويخ التعليمية الدور السابع، وتوفير كافة الأجهزة والمعدات والأنظمة وخدمات الدعم الفني والضمان وفقاً لكراسة الشروط والمواصفات الفنية.</t>
        </is>
      </c>
      <c r="F1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7" s="24" t="inlineStr">
        <is>
          <t>عام</t>
        </is>
      </c>
      <c r="H17" s="12" t="inlineStr">
        <is>
          <t>24.0%</t>
        </is>
      </c>
      <c r="I17" s="12" t="inlineStr">
        <is>
          <t>education_and_research</t>
        </is>
      </c>
      <c r="J17" s="12" t="inlineStr">
        <is>
          <t>2026-09-27</t>
        </is>
      </c>
      <c r="K17" s="12" t="inlineStr">
        <is>
          <t>-</t>
        </is>
      </c>
      <c r="L17" s="12" t="inlineStr">
        <is>
          <t>-</t>
        </is>
      </c>
      <c r="M17" s="12" t="inlineStr">
        <is>
          <t>75.0 KWD</t>
        </is>
      </c>
      <c r="N17" s="21" t="inlineStr">
        <is>
          <t>UPDATED</t>
        </is>
      </c>
      <c r="O17" s="12" t="inlineStr">
        <is>
          <t>غير متوافقة مع اختصاصات KBM</t>
        </is>
      </c>
      <c r="P17" s="23">
        <f>HYPERLINK("https://kuwaitalyawm.media.gov.kw/Online/ViewAdsHTML?id=171683&amp;no=1", "عرض المصدر")</f>
        <v/>
      </c>
    </row>
    <row r="18">
      <c r="A18" s="13" t="inlineStr">
        <is>
          <t>2027/2026/43</t>
        </is>
      </c>
      <c r="B18" s="13" t="inlineStr">
        <is>
          <t>الهيئة العامة للتعليم التطبيقي والتدريب</t>
        </is>
      </c>
      <c r="C18" s="13" t="inlineStr">
        <is>
          <t>Eiman Ashkanani</t>
        </is>
      </c>
      <c r="D18" s="13" t="inlineStr">
        <is>
          <t>ممارسة رقم 2027/2026/43 - الهيئة العامة للتعليم التطبيقي والتدريب (العدد 1810)</t>
        </is>
      </c>
      <c r="E18" s="13" t="inlineStr">
        <is>
          <t>توريد المستلزمات والمواد والمستهلكات الطبية أو المخبرية المتخصصة لصالح المرافق الصحية.</t>
        </is>
      </c>
      <c r="F1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8" s="14" t="inlineStr">
        <is>
          <t>عام</t>
        </is>
      </c>
      <c r="H18" s="14" t="inlineStr">
        <is>
          <t>0.0%</t>
        </is>
      </c>
      <c r="I18" s="14" t="inlineStr">
        <is>
          <t>education_and_research</t>
        </is>
      </c>
      <c r="J18" s="14" t="inlineStr">
        <is>
          <t>2026-09-27</t>
        </is>
      </c>
      <c r="K18" s="14" t="inlineStr">
        <is>
          <t>-</t>
        </is>
      </c>
      <c r="L18" s="14" t="inlineStr">
        <is>
          <t>-</t>
        </is>
      </c>
      <c r="M18" s="14" t="inlineStr">
        <is>
          <t>75.0 KWD</t>
        </is>
      </c>
      <c r="N18" s="21" t="inlineStr">
        <is>
          <t>UPDATED</t>
        </is>
      </c>
      <c r="O18" s="14" t="inlineStr">
        <is>
          <t>غير متوافقة مع اختصاصات KBM</t>
        </is>
      </c>
      <c r="P18" s="22">
        <f>HYPERLINK("https://kuwaitalyawm.media.gov.kw/Online/ViewAdsHTML?id=171684&amp;no=1", "عرض المصدر")</f>
        <v/>
      </c>
    </row>
    <row r="19">
      <c r="A19" s="11" t="inlineStr">
        <is>
          <t>2027/2026/11</t>
        </is>
      </c>
      <c r="B19" s="11" t="inlineStr">
        <is>
          <t>الهيئة العامة للطيران المدني</t>
        </is>
      </c>
      <c r="C19" s="11" t="inlineStr">
        <is>
          <t>Eiman Ashkanani</t>
        </is>
      </c>
      <c r="D19" s="11" t="inlineStr">
        <is>
          <t>ممارسة رقم 2027/2026/11: الدعم الفني والصيانة الوقائية لأنظمة إنذار ومكافحة الحريق في مبنى المول التجاري ومواقف السيارات بمبنى الركاب T1 في مطار الكويت الدولي</t>
        </is>
      </c>
      <c r="E19" s="11" t="inlineStr">
        <is>
          <t>تنفيذ أعمال الدعم الفني والصيانة الوقائية لأنظمة إنذار ومكافحة الحريق في مبنى المول التجاري ومواقف السيارات بمبنى الركاب T1 في مطار الكويت الدولي، وتوفير كافة الأجهزة والمعدات والأنظمة وخدمات الدعم الفني والضمان وفقاً لكراسة الشروط والمواصفات الفنية.</t>
        </is>
      </c>
      <c r="F1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9" s="24" t="inlineStr">
        <is>
          <t>عام</t>
        </is>
      </c>
      <c r="H19" s="12" t="inlineStr">
        <is>
          <t>0.0%</t>
        </is>
      </c>
      <c r="I19" s="12" t="inlineStr">
        <is>
          <t>other</t>
        </is>
      </c>
      <c r="J19" s="12" t="inlineStr">
        <is>
          <t>2026-09-27</t>
        </is>
      </c>
      <c r="K19" s="12" t="inlineStr">
        <is>
          <t>-</t>
        </is>
      </c>
      <c r="L19" s="12" t="inlineStr">
        <is>
          <t>-</t>
        </is>
      </c>
      <c r="M19" s="12" t="inlineStr">
        <is>
          <t>-</t>
        </is>
      </c>
      <c r="N19" s="21" t="inlineStr">
        <is>
          <t>UPDATED</t>
        </is>
      </c>
      <c r="O19" s="12" t="inlineStr">
        <is>
          <t>غير متوافقة مع اختصاصات KBM</t>
        </is>
      </c>
      <c r="P19" s="23">
        <f>HYPERLINK("https://kuwaitalyawm.media.gov.kw/Online/ViewAdsHTML?id=171690&amp;no=1", "عرض المصدر")</f>
        <v/>
      </c>
    </row>
    <row r="20">
      <c r="A20" s="13" t="inlineStr">
        <is>
          <t>2027/2026/15</t>
        </is>
      </c>
      <c r="B20" s="13" t="inlineStr">
        <is>
          <t>الهيئة العامة للطيران المدني</t>
        </is>
      </c>
      <c r="C20" s="13" t="inlineStr">
        <is>
          <t>Eiman Ashkanani</t>
        </is>
      </c>
      <c r="D20" s="13" t="inlineStr">
        <is>
          <t>ممارسة رقم 2027/2026/15: ممارسة تطوير وصيانة أنظمة وأجهزة الحضور</t>
        </is>
      </c>
      <c r="E20" s="13" t="inlineStr">
        <is>
          <t>تنفيذ أعمال ممارسة تطوير وصيانة أنظمة وأجهزة الحضور، وتوفير كافة الأجهزة والمعدات والأنظمة وخدمات الدعم الفني والضمان وفقاً لكراسة الشروط والمواصفات الفنية.</t>
        </is>
      </c>
      <c r="F20" s="13" t="inlineStr">
        <is>
          <t>• علماً بأن آخر موعد لتقديم العروض هو الساعة (الواحدة ظهراً) من يوم (الأربعاء) الموافق (21/10/2026) ويرفض أي عرض بعد هذا الموعد.</t>
        </is>
      </c>
      <c r="G20" s="24" t="inlineStr">
        <is>
          <t>قطاع العمليات المدارة والدعم الفني متعدد الموردين</t>
        </is>
      </c>
      <c r="H20" s="14" t="inlineStr">
        <is>
          <t>49.0%</t>
        </is>
      </c>
      <c r="I20" s="14" t="inlineStr">
        <is>
          <t>other</t>
        </is>
      </c>
      <c r="J20" s="14" t="inlineStr">
        <is>
          <t>2026-09-27</t>
        </is>
      </c>
      <c r="K20" s="18" t="inlineStr">
        <is>
          <t>2026-10-21</t>
        </is>
      </c>
      <c r="L20" s="14" t="inlineStr">
        <is>
          <t>-</t>
        </is>
      </c>
      <c r="M20" s="14" t="inlineStr">
        <is>
          <t>75.0 KWD</t>
        </is>
      </c>
      <c r="N20" s="21" t="inlineStr">
        <is>
          <t>UPDATED</t>
        </is>
      </c>
      <c r="O20" s="14" t="inlineStr">
        <is>
          <t>فرصة تتطلب شراكة أو دراسة نطاق</t>
        </is>
      </c>
      <c r="P20" s="22">
        <f>HYPERLINK("https://kuwaitalyawm.media.gov.kw/Online/ViewAdsHTML?id=171693&amp;no=1", "عرض المصدر")</f>
        <v/>
      </c>
    </row>
    <row r="21">
      <c r="A21" s="11" t="inlineStr">
        <is>
          <t>2027/2026/9</t>
        </is>
      </c>
      <c r="B21" s="11" t="inlineStr">
        <is>
          <t>الهيئة العامة للمعلومات المدنية</t>
        </is>
      </c>
      <c r="C21" s="11" t="inlineStr">
        <is>
          <t>Raed Obeid</t>
        </is>
      </c>
      <c r="D21" s="11" t="inlineStr">
        <is>
          <t>ممارسة رقم 2027/2026/9: بشـأن صيانة المعدات الميكانيكية والكهربائية بالهيئة</t>
        </is>
      </c>
      <c r="E21" s="11" t="inlineStr">
        <is>
          <t>أعمال وتوريدات بشـأن صيانة المعدات الميكانيكية والكهربائية بالهيئة لصالح الهيئة العامة للمعلومات المدنية وفقاً للشروط والمواصفات المعتمدة في وثائق الطرح.</t>
        </is>
      </c>
      <c r="F2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1" s="12" t="inlineStr">
        <is>
          <t>عام</t>
        </is>
      </c>
      <c r="H21" s="12" t="inlineStr">
        <is>
          <t>15.0%</t>
        </is>
      </c>
      <c r="I21" s="12" t="inlineStr">
        <is>
          <t>government</t>
        </is>
      </c>
      <c r="J21" s="12" t="inlineStr">
        <is>
          <t>2026-09-27</t>
        </is>
      </c>
      <c r="K21" s="12" t="inlineStr">
        <is>
          <t>-</t>
        </is>
      </c>
      <c r="L21" s="12" t="inlineStr">
        <is>
          <t>-</t>
        </is>
      </c>
      <c r="M21" s="12" t="inlineStr">
        <is>
          <t>50.0 KWD</t>
        </is>
      </c>
      <c r="N21" s="21" t="inlineStr">
        <is>
          <t>UPDATED</t>
        </is>
      </c>
      <c r="O21" s="12" t="inlineStr">
        <is>
          <t>غير متوافقة مع اختصاصات KBM</t>
        </is>
      </c>
      <c r="P21" s="23">
        <f>HYPERLINK("https://kuwaitalyawm.media.gov.kw/Online/ViewAdsHTML?id=171695&amp;no=1", "عرض المصدر")</f>
        <v/>
      </c>
    </row>
    <row r="22">
      <c r="A22" s="13" t="inlineStr">
        <is>
          <t>2027/2026/5</t>
        </is>
      </c>
      <c r="B22" s="13" t="inlineStr">
        <is>
          <t>الإدارة المركزية للإحصاء</t>
        </is>
      </c>
      <c r="C22" s="13" t="inlineStr">
        <is>
          <t>Eiman Ashkanani</t>
        </is>
      </c>
      <c r="D22" s="13" t="inlineStr">
        <is>
          <t>ممارسة رقم 2027/2026/5 - الإدارة المركزية للاحصاء (العدد 1810)</t>
        </is>
      </c>
      <c r="E22" s="13" t="inlineStr">
        <is>
          <t>أعمال وتوريدات ممارسة رقم 2027/2026/5 - الإدارة المركزية للاحصاء لصالح الإدارة المركزية للاحصاء وفقاً للشروط والمواصفات المعتمدة في وثائق الطرح.</t>
        </is>
      </c>
      <c r="F2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2" s="14" t="inlineStr">
        <is>
          <t>عام</t>
        </is>
      </c>
      <c r="H22" s="14" t="inlineStr">
        <is>
          <t>0.0%</t>
        </is>
      </c>
      <c r="I22" s="14" t="inlineStr">
        <is>
          <t>government</t>
        </is>
      </c>
      <c r="J22" s="14" t="inlineStr">
        <is>
          <t>2026-09-27</t>
        </is>
      </c>
      <c r="K22" s="14" t="inlineStr">
        <is>
          <t>-</t>
        </is>
      </c>
      <c r="L22" s="14" t="inlineStr">
        <is>
          <t>-</t>
        </is>
      </c>
      <c r="M22" s="14" t="inlineStr">
        <is>
          <t>75.0 KWD</t>
        </is>
      </c>
      <c r="N22" s="21" t="inlineStr">
        <is>
          <t>UPDATED</t>
        </is>
      </c>
      <c r="O22" s="14" t="inlineStr">
        <is>
          <t>غير متوافقة مع اختصاصات KBM</t>
        </is>
      </c>
      <c r="P22" s="22">
        <f>HYPERLINK("https://kuwaitalyawm.media.gov.kw/Online/ViewAdsHTML?id=171697&amp;no=1", "عرض المصدر")</f>
        <v/>
      </c>
    </row>
    <row r="23">
      <c r="A23" s="11" t="inlineStr">
        <is>
          <t>2026/35</t>
        </is>
      </c>
      <c r="B23" s="11" t="inlineStr">
        <is>
          <t>الجهاز المركزي لتكنولوجيا المعلومات</t>
        </is>
      </c>
      <c r="C23" s="11" t="inlineStr">
        <is>
          <t>Eiman Ashkanani</t>
        </is>
      </c>
      <c r="D23" s="11" t="inlineStr">
        <is>
          <t>ممارسة رقم 2026/35: إعلان طرح الممارسة رقم (35-2026/2027) توفير خدمة الدعم الفني والصيانة لعدد 4 وحدات إمداد الطاقة الكهربائية اللامنقطعة UPS والبطاريات الملحقة بها للجهاز المركزي لتكنولوجيا المعلومات</t>
        </is>
      </c>
      <c r="E23" s="11" t="inlineStr">
        <is>
          <t>تنفيذ أعمال إعلان طرح الممارسة رقم (35-2026/2027) توفير خدمة الدعم الفني والصيانة لعدد 4 وحدات إمداد الطاقة الكهربائية اللامنقطعة UPS والبطاريات الملحقة بها للجهاز المركزي لتكنولوجيا المعلومات، وتوفير كافة الأجهزة والمعدات والأنظمة وخدمات الدعم الفني والضمان وفقاً لكراسة الشروط والمواصفات الفنية.</t>
        </is>
      </c>
      <c r="F2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3" s="24" t="inlineStr">
        <is>
          <t>قطاع العمليات المدارة والدعم الفني متعدد الموردين</t>
        </is>
      </c>
      <c r="H23" s="12" t="inlineStr">
        <is>
          <t>85.0%</t>
        </is>
      </c>
      <c r="I23" s="12" t="inlineStr">
        <is>
          <t>government</t>
        </is>
      </c>
      <c r="J23" s="12" t="inlineStr">
        <is>
          <t>2026-09-27</t>
        </is>
      </c>
      <c r="K23" s="18" t="inlineStr">
        <is>
          <t>2026-10-15</t>
        </is>
      </c>
      <c r="L23" s="12" t="inlineStr">
        <is>
          <t>-</t>
        </is>
      </c>
      <c r="M23" s="12" t="inlineStr">
        <is>
          <t>75.0 KWD</t>
        </is>
      </c>
      <c r="N23" s="21" t="inlineStr">
        <is>
          <t>UPDATED</t>
        </is>
      </c>
      <c r="O23" s="12" t="inlineStr">
        <is>
          <t>فرصة استراتيجية رئيسية (موصى بالتقديم)</t>
        </is>
      </c>
      <c r="P23" s="23">
        <f>HYPERLINK("https://kuwaitalyawm.media.gov.kw/Online/ViewAdsHTML?id=171699&amp;no=1", "عرض المصدر")</f>
        <v/>
      </c>
    </row>
    <row r="24">
      <c r="A24" s="13" t="inlineStr">
        <is>
          <t>72-516</t>
        </is>
      </c>
      <c r="B24" s="13" t="inlineStr">
        <is>
          <t>جامعة الكويت</t>
        </is>
      </c>
      <c r="C24" s="13" t="inlineStr">
        <is>
          <t>Eiman Ashkanani</t>
        </is>
      </c>
      <c r="D24" s="13" t="inlineStr">
        <is>
          <t>ممارسة رقم 72/2026-2027: صيانة أجهزة التعرف على الوجه والأجهزة العلمية بمراكز عمل جامعة الكويت</t>
        </is>
      </c>
      <c r="E24" s="13" t="inlineStr">
        <is>
          <t>صيانة دورية ودعم فني لأجهزة التحقق البيومتري والتعرف على الوجه (Face Recognition Systems) والأجهزة التابعة لها بجامعة الكويت.</t>
        </is>
      </c>
      <c r="F24" s="13" t="inlineStr">
        <is>
          <t>• بيع الوثائق 75 د.ك، تأمين أولي 2% من قيمة العطاء، إغلاق 20/10/2026 بمقر الجامعة بالشدادية.</t>
        </is>
      </c>
      <c r="G24" s="24" t="inlineStr">
        <is>
          <t>قطاع الأمن السيبراني والدفاع الرقمي</t>
        </is>
      </c>
      <c r="H24" s="14" t="inlineStr">
        <is>
          <t>55.0%</t>
        </is>
      </c>
      <c r="I24" s="14" t="inlineStr">
        <is>
          <t>education_and_research</t>
        </is>
      </c>
      <c r="J24" s="14" t="inlineStr">
        <is>
          <t>2026-09-27</t>
        </is>
      </c>
      <c r="K24" s="18" t="inlineStr">
        <is>
          <t>2026-10-20</t>
        </is>
      </c>
      <c r="L24" s="14" t="inlineStr">
        <is>
          <t>2000.0 KWD</t>
        </is>
      </c>
      <c r="M24" s="14" t="inlineStr">
        <is>
          <t>75.0 KWD</t>
        </is>
      </c>
      <c r="N24" s="21" t="inlineStr">
        <is>
          <t>UPDATED</t>
        </is>
      </c>
      <c r="O24" s="14" t="inlineStr">
        <is>
          <t>فرصة محتملة</t>
        </is>
      </c>
      <c r="P24" s="22">
        <f>HYPERLINK("https://kuwaitalyawm.media.gov.kw/Online/ViewAdsHTML?id=171702&amp;no=1", "عرض المصدر")</f>
        <v/>
      </c>
    </row>
    <row r="25">
      <c r="A25" s="11" t="inlineStr">
        <is>
          <t>2027/2026/536</t>
        </is>
      </c>
      <c r="B25" s="11" t="inlineStr">
        <is>
          <t>جامعة الكويت</t>
        </is>
      </c>
      <c r="C25" s="11" t="inlineStr">
        <is>
          <t>Eiman Ashkanani</t>
        </is>
      </c>
      <c r="D25" s="11" t="inlineStr">
        <is>
          <t>ممارسة رقم 2027/2026/536 - جامعة الكويت (العدد 1810)</t>
        </is>
      </c>
      <c r="E25" s="11" t="inlineStr">
        <is>
          <t>أعمال وتوريدات ممارسة رقم 2027/2026/536 لصالح جامعة الكويت وفقاً للشروط والمواصفات المعتمدة في وثائق الطرح.</t>
        </is>
      </c>
      <c r="F2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5" s="24" t="inlineStr">
        <is>
          <t>عام</t>
        </is>
      </c>
      <c r="H25" s="12" t="inlineStr">
        <is>
          <t>15.0%</t>
        </is>
      </c>
      <c r="I25" s="12" t="inlineStr">
        <is>
          <t>education_and_research</t>
        </is>
      </c>
      <c r="J25" s="12" t="inlineStr">
        <is>
          <t>2026-09-27</t>
        </is>
      </c>
      <c r="K25" s="12" t="inlineStr">
        <is>
          <t>2026-10-27</t>
        </is>
      </c>
      <c r="L25" s="12" t="inlineStr">
        <is>
          <t>2.0 KWD</t>
        </is>
      </c>
      <c r="M25" s="12" t="inlineStr">
        <is>
          <t>75.0 KWD</t>
        </is>
      </c>
      <c r="N25" s="21" t="inlineStr">
        <is>
          <t>UPDATED</t>
        </is>
      </c>
      <c r="O25" s="12" t="inlineStr">
        <is>
          <t>غير متوافقة مع اختصاصات KBM</t>
        </is>
      </c>
      <c r="P25" s="23">
        <f>HYPERLINK("https://kuwaitalyawm.media.gov.kw/Online/ViewAdsHTML?id=171703&amp;no=1", "عرض المصدر")</f>
        <v/>
      </c>
    </row>
    <row r="26">
      <c r="A26" s="13" t="inlineStr">
        <is>
          <t>2027/2026/537</t>
        </is>
      </c>
      <c r="B26" s="13" t="inlineStr">
        <is>
          <t>جامعة الكويت</t>
        </is>
      </c>
      <c r="C26" s="13" t="inlineStr">
        <is>
          <t>Eiman Ashkanani</t>
        </is>
      </c>
      <c r="D26" s="13" t="inlineStr">
        <is>
          <t>ممارسة رقم 2027/2026/537 - جامعة الكويت (العدد 1810)</t>
        </is>
      </c>
      <c r="E26" s="13" t="inlineStr">
        <is>
          <t>أعمال وتوريدات ممارسة رقم 2027/2026/537 لصالح جامعة الكويت وفقاً للشروط والمواصفات المعتمدة في وثائق الطرح.</t>
        </is>
      </c>
      <c r="F2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6" s="24" t="inlineStr">
        <is>
          <t>عام</t>
        </is>
      </c>
      <c r="H26" s="14" t="inlineStr">
        <is>
          <t>15.0%</t>
        </is>
      </c>
      <c r="I26" s="14" t="inlineStr">
        <is>
          <t>education_and_research</t>
        </is>
      </c>
      <c r="J26" s="14" t="inlineStr">
        <is>
          <t>2026-09-27</t>
        </is>
      </c>
      <c r="K26" s="14" t="inlineStr">
        <is>
          <t>2026-10-27</t>
        </is>
      </c>
      <c r="L26" s="14" t="inlineStr">
        <is>
          <t>2000.0 KWD</t>
        </is>
      </c>
      <c r="M26" s="14" t="inlineStr">
        <is>
          <t>75.0 KWD</t>
        </is>
      </c>
      <c r="N26" s="21" t="inlineStr">
        <is>
          <t>UPDATED</t>
        </is>
      </c>
      <c r="O26" s="14" t="inlineStr">
        <is>
          <t>غير متوافقة مع اختصاصات KBM</t>
        </is>
      </c>
      <c r="P26" s="22">
        <f>HYPERLINK("https://kuwaitalyawm.media.gov.kw/Online/ViewAdsHTML?id=171704&amp;no=1", "عرض المصدر")</f>
        <v/>
      </c>
    </row>
    <row r="27">
      <c r="A27" s="11" t="inlineStr">
        <is>
          <t>2027/2026/12</t>
        </is>
      </c>
      <c r="B27" s="11" t="inlineStr">
        <is>
          <t>الرئاسة العامة للحرس الوطني</t>
        </is>
      </c>
      <c r="C27" s="11" t="inlineStr">
        <is>
          <t>Eiman Ashkanani</t>
        </is>
      </c>
      <c r="D27" s="11" t="inlineStr">
        <is>
          <t>ممارسة رقم 2027/2026/12: الخاصة بصيانة أجهزة توزيع أحمال الشبكة</t>
        </is>
      </c>
      <c r="E27" s="11" t="inlineStr">
        <is>
          <t>تنفيذ أعمال الخاصة بصيانة أجهزة توزيع أحمال الشبكة، وتوفير كافة الأجهزة والمعدات والأنظمة وخدمات الدعم الفني والضمان وفقاً لكراسة الشروط والمواصفات الفنية.</t>
        </is>
      </c>
      <c r="F2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7" s="24" t="inlineStr">
        <is>
          <t>قطاع العمليات المدارة والدعم الفني متعدد الموردين</t>
        </is>
      </c>
      <c r="H27" s="12" t="inlineStr">
        <is>
          <t>64.0%</t>
        </is>
      </c>
      <c r="I27" s="12" t="inlineStr">
        <is>
          <t>defense_and_security</t>
        </is>
      </c>
      <c r="J27" s="12" t="inlineStr">
        <is>
          <t>2026-09-27</t>
        </is>
      </c>
      <c r="K27" s="12" t="inlineStr">
        <is>
          <t>-</t>
        </is>
      </c>
      <c r="L27" s="12" t="inlineStr">
        <is>
          <t>-</t>
        </is>
      </c>
      <c r="M27" s="12" t="inlineStr">
        <is>
          <t>75.0 KWD</t>
        </is>
      </c>
      <c r="N27" s="21" t="inlineStr">
        <is>
          <t>UPDATED</t>
        </is>
      </c>
      <c r="O27" s="12" t="inlineStr">
        <is>
          <t>فرصة ICT متوافقة مع قدرات KBM</t>
        </is>
      </c>
      <c r="P27" s="23">
        <f>HYPERLINK("https://kuwaitalyawm.media.gov.kw/Online/ViewAdsHTML?id=171707&amp;no=1", "عرض المصدر")</f>
        <v/>
      </c>
    </row>
    <row r="28">
      <c r="A28" s="13" t="inlineStr">
        <is>
          <t>2027/2026/4</t>
        </is>
      </c>
      <c r="B28" s="13" t="inlineStr">
        <is>
          <t>مؤسسة الموانئ الكويتية</t>
        </is>
      </c>
      <c r="C28" s="13" t="inlineStr">
        <is>
          <t>Eiman Ashkanani</t>
        </is>
      </c>
      <c r="D28" s="13" t="inlineStr">
        <is>
          <t>ممارسة رقم 2027/2026/4: تمديد موعد الاقفال الممارسة رقم م م ك (/2026/4/2027) بشأن عمل مسح بحري للأرصفة والأحواض</t>
        </is>
      </c>
      <c r="E28" s="13" t="inlineStr">
        <is>
          <t>أعمال وتوريدات تمديد موعد الاقفال الممارسة رقم م م ك (/2026/4/2027) بشأن عمل مسح بحري للأرصفة والأحواض لصالح مؤسسة الموانئ الكويتية وفقاً للشروط والمواصفات المعتمدة في وثائق الطرح.</t>
        </is>
      </c>
      <c r="F2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8" s="14" t="inlineStr">
        <is>
          <t>عام</t>
        </is>
      </c>
      <c r="H28" s="14" t="inlineStr">
        <is>
          <t>0.0%</t>
        </is>
      </c>
      <c r="I28" s="14" t="inlineStr">
        <is>
          <t>government</t>
        </is>
      </c>
      <c r="J28" s="14" t="inlineStr">
        <is>
          <t>2026-09-27</t>
        </is>
      </c>
      <c r="K28" s="14" t="inlineStr">
        <is>
          <t>-</t>
        </is>
      </c>
      <c r="L28" s="14" t="inlineStr">
        <is>
          <t>-</t>
        </is>
      </c>
      <c r="M28" s="14" t="inlineStr">
        <is>
          <t>-</t>
        </is>
      </c>
      <c r="N28" s="21" t="inlineStr">
        <is>
          <t>UPDATED</t>
        </is>
      </c>
      <c r="O28" s="14" t="inlineStr">
        <is>
          <t>غير متوافقة مع اختصاصات KBM</t>
        </is>
      </c>
      <c r="P28" s="22">
        <f>HYPERLINK("https://kuwaitalyawm.media.gov.kw/Online/ViewAdsHTML?id=171716&amp;no=1", "عرض المصدر")</f>
        <v/>
      </c>
    </row>
    <row r="29">
      <c r="A29" s="11" t="inlineStr">
        <is>
          <t>2026/16</t>
        </is>
      </c>
      <c r="B29" s="11" t="inlineStr">
        <is>
          <t>بيت الزكاة</t>
        </is>
      </c>
      <c r="C29" s="11" t="inlineStr">
        <is>
          <t>Eiman Ashkanani</t>
        </is>
      </c>
      <c r="D29" s="11" t="inlineStr">
        <is>
          <t>ممارسة رقم 2026/16: توفير خدمات إنشاء وتطوير وصيانة أنظمة أوراكل</t>
        </is>
      </c>
      <c r="E29" s="11" t="inlineStr">
        <is>
          <t>تنفيذ أعمال توفير خدمات إنشاء وتطوير وصيانة أنظمة أوراكل، وتوفير كافة الأجهزة والمعدات والأنظمة وخدمات الدعم الفني والضمان وفقاً لكراسة الشروط والمواصفات الفنية.</t>
        </is>
      </c>
      <c r="F29" s="11" t="inlineStr">
        <is>
          <t>• https://www.zakathouse.org.kw/tender.aspx</t>
        </is>
      </c>
      <c r="G29" s="24" t="inlineStr">
        <is>
          <t>قطاع العمليات المدارة والدعم الفني متعدد الموردين</t>
        </is>
      </c>
      <c r="H29" s="12" t="inlineStr">
        <is>
          <t>84.0%</t>
        </is>
      </c>
      <c r="I29" s="12" t="inlineStr">
        <is>
          <t>government</t>
        </is>
      </c>
      <c r="J29" s="12" t="inlineStr">
        <is>
          <t>2026-09-27</t>
        </is>
      </c>
      <c r="K29" s="12" t="inlineStr">
        <is>
          <t>-</t>
        </is>
      </c>
      <c r="L29" s="12" t="inlineStr">
        <is>
          <t>-</t>
        </is>
      </c>
      <c r="M29" s="12" t="inlineStr">
        <is>
          <t>75.0 KWD</t>
        </is>
      </c>
      <c r="N29" s="21" t="inlineStr">
        <is>
          <t>UPDATED</t>
        </is>
      </c>
      <c r="O29" s="12" t="inlineStr">
        <is>
          <t>فرصة استراتيجية رئيسية (موصى بالتقديم)</t>
        </is>
      </c>
      <c r="P29" s="23">
        <f>HYPERLINK("https://kuwaitalyawm.media.gov.kw/Online/ViewAdsHTML?id=171714&amp;no=1", "عرض المصدر")</f>
        <v/>
      </c>
    </row>
    <row r="30">
      <c r="A30" s="13" t="inlineStr">
        <is>
          <t>2027/2026/84</t>
        </is>
      </c>
      <c r="B30" s="13" t="inlineStr">
        <is>
          <t>معهد الكويت للأبحاث العلمية</t>
        </is>
      </c>
      <c r="C30" s="13" t="inlineStr">
        <is>
          <t>Eiman Ashkanani</t>
        </is>
      </c>
      <c r="D30" s="13" t="inlineStr">
        <is>
          <t>ممارسة رقم 2027/2026/84: يعلن معهد الكويت للأبحـاث العلمية عن طـــرح الممارسة رقم 84-M-2026/2027 توريد جهاز تحليل دم آلي بيطري 6 أجزاء لعينات الدواجن والثديات، ويمكن الحصول على وثائق الممارسة من موقع المعهد التالي:</t>
        </is>
      </c>
      <c r="E30" s="13" t="inlineStr">
        <is>
          <t>أعمال وتوريدات يعلن معهد الكويت للأبحـاث العلمية عن طـــرح الممارسة رقم 84-M-2026/2027 توريد جهاز تحليل دم آلي بيطري 6 أجزاء لعينات الدواجن والثديات، ويمكن الحصول على وثائق الممارسة من موقع المعهد التالي: لصالح معهد الكـويت للابحاث العلمية وفقاً للشروط والمواصفات المعتمدة في وثائق الطرح.</t>
        </is>
      </c>
      <c r="F3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30" s="14" t="inlineStr">
        <is>
          <t>عام</t>
        </is>
      </c>
      <c r="H30" s="14" t="inlineStr">
        <is>
          <t>0.0%</t>
        </is>
      </c>
      <c r="I30" s="14" t="inlineStr">
        <is>
          <t>education_and_research</t>
        </is>
      </c>
      <c r="J30" s="14" t="inlineStr">
        <is>
          <t>2026-09-27</t>
        </is>
      </c>
      <c r="K30" s="14" t="inlineStr">
        <is>
          <t>-</t>
        </is>
      </c>
      <c r="L30" s="14" t="inlineStr">
        <is>
          <t>-</t>
        </is>
      </c>
      <c r="M30" s="14" t="inlineStr">
        <is>
          <t>75.0 KWD</t>
        </is>
      </c>
      <c r="N30" s="21" t="inlineStr">
        <is>
          <t>UPDATED</t>
        </is>
      </c>
      <c r="O30" s="14" t="inlineStr">
        <is>
          <t>غير متوافقة مع اختصاصات KBM</t>
        </is>
      </c>
      <c r="P30" s="22">
        <f>HYPERLINK("https://kuwaitalyawm.media.gov.kw/Online/ViewAdsHTML?id=171717&amp;no=1", "عرض المصدر")</f>
        <v/>
      </c>
    </row>
    <row r="31">
      <c r="A31" s="11" t="inlineStr">
        <is>
          <t>RFQ/1063554</t>
        </is>
      </c>
      <c r="B31" s="11" t="inlineStr">
        <is>
          <t>شركة البترول الوطنية الكويتية</t>
        </is>
      </c>
      <c r="C31" s="11" t="inlineStr">
        <is>
          <t>Abrar Al-Qallaf</t>
        </is>
      </c>
      <c r="D31" s="11" t="inlineStr">
        <is>
          <t>ممارسة رقم RFQ/1063554: توريد العوامل المساعدة لوحدة نزع الكبريت (OCR Catalyst for ARDS Unit-12 Tr-2 - MAB) - شركة البترول الوطنية الكويتية</t>
        </is>
      </c>
      <c r="E31" s="11" t="inlineStr">
        <is>
          <t>توريد مواد كيميائية وعوامل مساعدة تكريرية (Catalyst) لوحدة نزع الكبريت بمصفاة ميناء الأحمدي.</t>
        </is>
      </c>
      <c r="F31" s="11" t="inlineStr">
        <is>
          <t>وفقاً لشروط وإجراءات المناقصات والتوريد لدى شركة البترول الوطنية الكويتية (KNPC) عبر منصة K-Tendering.</t>
        </is>
      </c>
      <c r="G31" s="12" t="inlineStr">
        <is>
          <t>عام</t>
        </is>
      </c>
      <c r="H31" s="12" t="inlineStr">
        <is>
          <t>15.0%</t>
        </is>
      </c>
      <c r="I31" s="12" t="inlineStr">
        <is>
          <t>oil_and_gas</t>
        </is>
      </c>
      <c r="J31" s="12" t="inlineStr">
        <is>
          <t>2026-09-27</t>
        </is>
      </c>
      <c r="K31" s="12" t="inlineStr">
        <is>
          <t>2026-10-22</t>
        </is>
      </c>
      <c r="L31" s="12" t="inlineStr">
        <is>
          <t>50000.0 KWD</t>
        </is>
      </c>
      <c r="M31" s="12" t="inlineStr">
        <is>
          <t>500.0 KWD</t>
        </is>
      </c>
      <c r="N31" s="21" t="inlineStr">
        <is>
          <t>UPDATED</t>
        </is>
      </c>
      <c r="O31" s="12" t="inlineStr">
        <is>
          <t>غير متوافقة</t>
        </is>
      </c>
      <c r="P31" s="23">
        <f>HYPERLINK("https://kuwaitalyawm.media.gov.kw/Online/ViewAdsHTML?id=171724&amp;no=1", "عرض المصدر")</f>
        <v/>
      </c>
    </row>
    <row r="32">
      <c r="A32" s="13" t="inlineStr">
        <is>
          <t>RFQ/1063825</t>
        </is>
      </c>
      <c r="B32" s="13" t="inlineStr">
        <is>
          <t>شركة البترول الوطنية الكويتية</t>
        </is>
      </c>
      <c r="C32" s="13" t="inlineStr">
        <is>
          <t>Abrar Al-Qallaf</t>
        </is>
      </c>
      <c r="D32" s="13" t="inlineStr">
        <is>
          <t>ممارسة رقم RFQ/1063825: توريد قطع غيار أنظمة الاتصالات (Spares for the Telecommunication System - LBP) - شركة البترول الوطنية الكويتية</t>
        </is>
      </c>
      <c r="E32" s="13" t="inlineStr">
        <is>
          <t>توريد قطع غيار ومعدات شبكات الاتصالات وأنظمة التراسل السلكي واللاسلكي لمصفاة ميناء عبد الله (LBP).</t>
        </is>
      </c>
      <c r="F32" s="13" t="inlineStr">
        <is>
          <t>وفقاً لشروط وإجراءات المناقصات والتوريد لدى شركة البترول الوطنية الكويتية (KNPC) عبر منصة K-Tendering.</t>
        </is>
      </c>
      <c r="G32" s="24" t="inlineStr">
        <is>
          <t>قطاع العمليات المدارة والدعم الفني متعدد الموردين</t>
        </is>
      </c>
      <c r="H32" s="14" t="inlineStr">
        <is>
          <t>75.0%</t>
        </is>
      </c>
      <c r="I32" s="14" t="inlineStr">
        <is>
          <t>oil_and_gas</t>
        </is>
      </c>
      <c r="J32" s="14" t="inlineStr">
        <is>
          <t>2026-09-27</t>
        </is>
      </c>
      <c r="K32" s="14" t="inlineStr">
        <is>
          <t>2026-10-22</t>
        </is>
      </c>
      <c r="L32" s="14" t="inlineStr">
        <is>
          <t>1000.0 KWD</t>
        </is>
      </c>
      <c r="M32" s="14" t="inlineStr">
        <is>
          <t>-</t>
        </is>
      </c>
      <c r="N32" s="21" t="inlineStr">
        <is>
          <t>UPDATED</t>
        </is>
      </c>
      <c r="O32" s="14" t="inlineStr">
        <is>
          <t>موصى بالتقديم</t>
        </is>
      </c>
      <c r="P32" s="22">
        <f>HYPERLINK("https://kuwaitalyawm.media.gov.kw/Online/ViewAdsHTML?id=171725&amp;no=1", "عرض المصدر")</f>
        <v/>
      </c>
    </row>
    <row r="33">
      <c r="A33" s="11" t="inlineStr">
        <is>
          <t>RFQ/1064135</t>
        </is>
      </c>
      <c r="B33" s="11" t="inlineStr">
        <is>
          <t>شركة البترول الوطنية الكويتية</t>
        </is>
      </c>
      <c r="C33" s="11" t="inlineStr">
        <is>
          <t>Abrar Al-Qallaf</t>
        </is>
      </c>
      <c r="D33" s="11" t="inlineStr">
        <is>
          <t>ممارسة رقم RFQ/1064135: توريد مواد ومهمات تشغيلية لزوم شركة البترول الوطنية الكويتية - شركة البترول الوطنية الكويتية</t>
        </is>
      </c>
      <c r="E33" s="11" t="inlineStr">
        <is>
          <t>أعمال وتوريدات تخصصية لزوم شركة البترول الوطنية الكويتية حسب وثائق الممارسة رقم RFQ/1064135 عبر منصة K-Tendering.</t>
        </is>
      </c>
      <c r="F33" s="11" t="inlineStr">
        <is>
          <t>وفقاً لشروط وإجراءات المناقصات والتوريد لدى شركة البترول الوطنية الكويتية (KNPC) عبر منصة K-Tendering.</t>
        </is>
      </c>
      <c r="G33" s="12" t="inlineStr">
        <is>
          <t>عام</t>
        </is>
      </c>
      <c r="H33" s="12" t="inlineStr">
        <is>
          <t>15.0%</t>
        </is>
      </c>
      <c r="I33" s="12" t="inlineStr">
        <is>
          <t>oil_and_gas</t>
        </is>
      </c>
      <c r="J33" s="12" t="inlineStr">
        <is>
          <t>2026-09-27</t>
        </is>
      </c>
      <c r="K33" s="12" t="inlineStr">
        <is>
          <t>2026-10-22</t>
        </is>
      </c>
      <c r="L33" s="12" t="inlineStr">
        <is>
          <t>1000.0 KWD</t>
        </is>
      </c>
      <c r="M33" s="12" t="inlineStr">
        <is>
          <t>-</t>
        </is>
      </c>
      <c r="N33" s="21" t="inlineStr">
        <is>
          <t>UPDATED</t>
        </is>
      </c>
      <c r="O33" s="12" t="inlineStr">
        <is>
          <t>غير متوافقة</t>
        </is>
      </c>
      <c r="P33" s="23">
        <f>HYPERLINK("https://kuwaitalyawm.media.gov.kw/Online/ViewAdsHTML?id=171726&amp;no=1", "عرض المصدر")</f>
        <v/>
      </c>
    </row>
    <row r="34">
      <c r="A34" s="13" t="inlineStr">
        <is>
          <t>RFQ/1063478</t>
        </is>
      </c>
      <c r="B34" s="13" t="inlineStr">
        <is>
          <t>شركة البترول الوطنية الكويتية</t>
        </is>
      </c>
      <c r="C34" s="13" t="inlineStr">
        <is>
          <t>Abrar Al-Qallaf</t>
        </is>
      </c>
      <c r="D34" s="13" t="inlineStr">
        <is>
          <t>ممارسة رقم RFQ/1063478: توريد مواد ومهمات تشغيلية لزوم شركة البترول الوطنية الكويتية - شركة البترول الوطنية الكويتية</t>
        </is>
      </c>
      <c r="E34" s="13" t="inlineStr">
        <is>
          <t>أعمال وتوريدات تخصصية لزوم شركة البترول الوطنية الكويتية حسب وثائق الممارسة رقم RFQ/1063478 عبر منصة K-Tendering.</t>
        </is>
      </c>
      <c r="F34" s="13" t="inlineStr">
        <is>
          <t>وفقاً لشروط وإجراءات المناقصات والتوريد لدى شركة البترول الوطنية الكويتية (KNPC) عبر منصة K-Tendering.</t>
        </is>
      </c>
      <c r="G34" s="14" t="inlineStr">
        <is>
          <t>عام</t>
        </is>
      </c>
      <c r="H34" s="14" t="inlineStr">
        <is>
          <t>15.0%</t>
        </is>
      </c>
      <c r="I34" s="14" t="inlineStr">
        <is>
          <t>oil_and_gas</t>
        </is>
      </c>
      <c r="J34" s="14" t="inlineStr">
        <is>
          <t>2026-09-27</t>
        </is>
      </c>
      <c r="K34" s="14" t="inlineStr">
        <is>
          <t>2026-10-22</t>
        </is>
      </c>
      <c r="L34" s="14" t="inlineStr">
        <is>
          <t>1000.0 KWD</t>
        </is>
      </c>
      <c r="M34" s="14" t="inlineStr">
        <is>
          <t>-</t>
        </is>
      </c>
      <c r="N34" s="21" t="inlineStr">
        <is>
          <t>UPDATED</t>
        </is>
      </c>
      <c r="O34" s="14" t="inlineStr">
        <is>
          <t>غير متوافقة</t>
        </is>
      </c>
      <c r="P34" s="22">
        <f>HYPERLINK("https://kuwaitalyawm.media.gov.kw/Online/ViewAdsHTML?id=171727&amp;no=1", "عرض المصدر")</f>
        <v/>
      </c>
    </row>
    <row r="35">
      <c r="A35" s="11" t="inlineStr">
        <is>
          <t>CB/CPC/2564/CNSL</t>
        </is>
      </c>
      <c r="B35" s="11" t="inlineStr">
        <is>
          <t>شركة البترول الوطنية الكويتية</t>
        </is>
      </c>
      <c r="C35" s="11" t="inlineStr">
        <is>
          <t>Abrar Al-Qallaf</t>
        </is>
      </c>
      <c r="D35" s="11" t="inlineStr">
        <is>
          <t>ممارسة رقم CB/CPC/2564/CNSL: توريد مواد ومهمات تشغيلية لزوم شركة البترول الوطنية الكويتية - شركة البترول الوطنية الكويتية</t>
        </is>
      </c>
      <c r="E35" s="11" t="inlineStr">
        <is>
          <t>أعمال وتوريدات تخصصية لزوم شركة البترول الوطنية الكويتية حسب وثائق الممارسة رقم CB/CPC/2564/CNSL عبر منصة K-Tendering.</t>
        </is>
      </c>
      <c r="F35" s="11" t="inlineStr">
        <is>
          <t>وفقاً لشروط وإجراءات المناقصات والتوريد لدى شركة البترول الوطنية الكويتية (KNPC) عبر منصة K-Tendering.</t>
        </is>
      </c>
      <c r="G35" s="12" t="inlineStr">
        <is>
          <t>عام</t>
        </is>
      </c>
      <c r="H35" s="12" t="inlineStr">
        <is>
          <t>15.0%</t>
        </is>
      </c>
      <c r="I35" s="12" t="inlineStr">
        <is>
          <t>oil_and_gas</t>
        </is>
      </c>
      <c r="J35" s="12" t="inlineStr">
        <is>
          <t>2026-09-27</t>
        </is>
      </c>
      <c r="K35" s="12" t="inlineStr">
        <is>
          <t>-</t>
        </is>
      </c>
      <c r="L35" s="12" t="inlineStr">
        <is>
          <t>-</t>
        </is>
      </c>
      <c r="M35" s="12" t="inlineStr">
        <is>
          <t>-</t>
        </is>
      </c>
      <c r="N35" s="21" t="inlineStr">
        <is>
          <t>UPDATED</t>
        </is>
      </c>
      <c r="O35" s="12" t="inlineStr">
        <is>
          <t>غير متوافقة</t>
        </is>
      </c>
      <c r="P35" s="23">
        <f>HYPERLINK("https://kuwaitalyawm.media.gov.kw/Online/ViewAdsHTML?id=171728&amp;no=1", "عرض المصدر")</f>
        <v/>
      </c>
    </row>
    <row r="36">
      <c r="A36" s="13" t="inlineStr">
        <is>
          <t>RFQ/1063250</t>
        </is>
      </c>
      <c r="B36" s="13" t="inlineStr">
        <is>
          <t>شركة البترول الوطنية الكويتية</t>
        </is>
      </c>
      <c r="C36" s="13" t="inlineStr">
        <is>
          <t>Abrar Al-Qallaf</t>
        </is>
      </c>
      <c r="D36" s="13" t="inlineStr">
        <is>
          <t>ممارسة رقم RFQ/1063250: توريد مواد ومهمات تشغيلية لزوم شركة البترول الوطنية الكويتية - شركة البترول الوطنية الكويتية</t>
        </is>
      </c>
      <c r="E36" s="13" t="inlineStr">
        <is>
          <t>أعمال وتوريدات تخصصية لزوم شركة البترول الوطنية الكويتية حسب وثائق الممارسة رقم RFQ/1063250 عبر منصة K-Tendering.</t>
        </is>
      </c>
      <c r="F36" s="13" t="inlineStr">
        <is>
          <t>وفقاً لشروط وإجراءات المناقصات والتوريد لدى شركة البترول الوطنية الكويتية (KNPC) عبر منصة K-Tendering.</t>
        </is>
      </c>
      <c r="G36" s="14" t="inlineStr">
        <is>
          <t>عام</t>
        </is>
      </c>
      <c r="H36" s="14" t="inlineStr">
        <is>
          <t>15.0%</t>
        </is>
      </c>
      <c r="I36" s="14" t="inlineStr">
        <is>
          <t>oil_and_gas</t>
        </is>
      </c>
      <c r="J36" s="14" t="inlineStr">
        <is>
          <t>2026-09-27</t>
        </is>
      </c>
      <c r="K36" s="18" t="inlineStr">
        <is>
          <t>2026-10-15</t>
        </is>
      </c>
      <c r="L36" s="14" t="inlineStr">
        <is>
          <t>1000.0 KWD</t>
        </is>
      </c>
      <c r="M36" s="14" t="inlineStr">
        <is>
          <t>-</t>
        </is>
      </c>
      <c r="N36" s="21" t="inlineStr">
        <is>
          <t>UPDATED</t>
        </is>
      </c>
      <c r="O36" s="14" t="inlineStr">
        <is>
          <t>غير متوافقة</t>
        </is>
      </c>
      <c r="P36" s="22">
        <f>HYPERLINK("https://kuwaitalyawm.media.gov.kw/Online/ViewAdsHTML?id=171729&amp;no=1", "عرض المصدر")</f>
        <v/>
      </c>
    </row>
    <row r="37">
      <c r="A37" s="11" t="inlineStr">
        <is>
          <t>2414/105/19973/26</t>
        </is>
      </c>
      <c r="B37" s="11" t="inlineStr">
        <is>
          <t>وزارة الدفاع</t>
        </is>
      </c>
      <c r="C37" s="11" t="inlineStr">
        <is>
          <t>Eiman Ashkanani</t>
        </is>
      </c>
      <c r="D37" s="11" t="inlineStr">
        <is>
          <t>ممارسة رقم 2414/105/19973/26: طلب شراء مفروشات لزوم / وزارة الدفاع</t>
        </is>
      </c>
      <c r="E37" s="11" t="inlineStr">
        <is>
          <t>أعمال وتوريدات طلب شراء مفروشات لزوم / وزارة الدفاع لصالح وزارة الدفاع وفقاً للشروط والمواصفات المعتمدة في وثائق الطرح.</t>
        </is>
      </c>
      <c r="F37" s="11" t="inlineStr">
        <is>
          <t>• تقديم صورة عن كرت التسجيل لدى وزارة الدفاع / ادارة المشتريات والعقود المحلية لعام 2026.
• تقديم كتاب تفويض من الشركة بشـراء الوثائق.
• ان تكون الشركة متخصصة في هذا المجال ومصنفة لدى مراقبة تصنيف الشركات بالوزارة.
• تقديم صورة عن شهادة دعم العمالة الوطنية لدى الشركات غير الحكومية (السنوية
• تقديم كتاب رسمي لأية استفسارات يكون في خلال ( أسبوع واحـد ) من تاريخ نشـر الإعلان .
• سداد الرسوم المقررة لشراء وثائق الممارسة عن طريق (K. NET).</t>
        </is>
      </c>
      <c r="G37" s="12" t="inlineStr">
        <is>
          <t>عام</t>
        </is>
      </c>
      <c r="H37" s="12" t="inlineStr">
        <is>
          <t>15.0%</t>
        </is>
      </c>
      <c r="I37" s="12" t="inlineStr">
        <is>
          <t>defense_and_security</t>
        </is>
      </c>
      <c r="J37" s="12" t="inlineStr">
        <is>
          <t>2026-09-20</t>
        </is>
      </c>
      <c r="K37" s="18" t="inlineStr">
        <is>
          <t>2026-10-15</t>
        </is>
      </c>
      <c r="L37" s="12" t="inlineStr">
        <is>
          <t>2.0 KWD</t>
        </is>
      </c>
      <c r="M37" s="12" t="inlineStr">
        <is>
          <t>-</t>
        </is>
      </c>
      <c r="N37" s="21" t="inlineStr">
        <is>
          <t>UPDATED</t>
        </is>
      </c>
      <c r="O37" s="12" t="inlineStr">
        <is>
          <t>غير متوافقة مع اختصاصات KBM</t>
        </is>
      </c>
      <c r="P37" s="23">
        <f>HYPERLINK("https://kuwaitalyawm.media.gov.kw/Online/ViewAdsHTML?id=170977&amp;no=1", "عرض المصدر")</f>
        <v/>
      </c>
    </row>
    <row r="38">
      <c r="A38" s="13" t="inlineStr">
        <is>
          <t>16-5</t>
        </is>
      </c>
      <c r="B38" s="13" t="inlineStr">
        <is>
          <t>وزارة الصحة</t>
        </is>
      </c>
      <c r="C38" s="13" t="inlineStr">
        <is>
          <t>Jana Al-Obaid</t>
        </is>
      </c>
      <c r="D38" s="13" t="inlineStr">
        <is>
          <t>ممارسة رقم 16-5 - وزارة الصحة (العدد 1809)</t>
        </is>
      </c>
      <c r="E38" s="13" t="inlineStr">
        <is>
          <t>أعمال وتوريدات ممارسة رقم 16-5 لصالح وزارة الصحة وفقاً للشروط والمواصفات المعتمدة في وثائق الطرح.</t>
        </is>
      </c>
      <c r="F38" s="13" t="inlineStr">
        <is>
          <t>• 1- أن تكون مقصورة على الشركات المسجلة لدى إدارة الهندسة الطبية.
• 2- أن تكون الشركة متخصصة في هذا المجال مع احضار ما يفيد ذلك.
• 3- سداد الرسوم المقررة لشراء وثائق الممارسة إلكترونياً.
• 4- أن تقدم الشركات المشاركة شهادة دعم العمالة الوطنية.
• 5- يمكن الحصول على وثائق الممارسات من تاريخ النشر لغاية تاريخ الاغلاق.</t>
        </is>
      </c>
      <c r="G38" s="14" t="inlineStr">
        <is>
          <t>عام</t>
        </is>
      </c>
      <c r="H38" s="14" t="inlineStr">
        <is>
          <t>15.0%</t>
        </is>
      </c>
      <c r="I38" s="14" t="inlineStr">
        <is>
          <t>healthcare</t>
        </is>
      </c>
      <c r="J38" s="14" t="inlineStr">
        <is>
          <t>2026-09-20</t>
        </is>
      </c>
      <c r="K38" s="18" t="inlineStr">
        <is>
          <t>2026-10-14</t>
        </is>
      </c>
      <c r="L38" s="14" t="inlineStr">
        <is>
          <t>-</t>
        </is>
      </c>
      <c r="M38" s="14" t="inlineStr">
        <is>
          <t>300.0 KWD</t>
        </is>
      </c>
      <c r="N38" s="21" t="inlineStr">
        <is>
          <t>UPDATED</t>
        </is>
      </c>
      <c r="O38" s="14" t="inlineStr">
        <is>
          <t>غير متوافقة مع اختصاصات KBM</t>
        </is>
      </c>
      <c r="P38" s="22">
        <f>HYPERLINK("https://kuwaitalyawm.media.gov.kw/Online/ViewAdsHTML?id=170980&amp;no=1", "عرض المصدر")</f>
        <v/>
      </c>
    </row>
    <row r="39">
      <c r="A39" s="11" t="inlineStr">
        <is>
          <t>294-293</t>
        </is>
      </c>
      <c r="B39" s="11" t="inlineStr">
        <is>
          <t>وزارة الصحة</t>
        </is>
      </c>
      <c r="C39" s="11" t="inlineStr">
        <is>
          <t>Jana Al-Obaid</t>
        </is>
      </c>
      <c r="D39" s="11" t="inlineStr">
        <is>
          <t>ممارسة رقم 294-293 - وزارة الصحة (العدد 1809)</t>
        </is>
      </c>
      <c r="E39" s="11" t="inlineStr">
        <is>
          <t>أعمال وتوريدات ممارسة رقم 294-293 لصالح وزارة الصحة وفقاً للشروط والمواصفات المعتمدة في وثائق الطرح.</t>
        </is>
      </c>
      <c r="F39" s="11" t="inlineStr">
        <is>
          <t>• 1- أن تكون مقصورة على الشركات المسجلة لدى إدارة الهندسة الطبية.
• 2- أن تكون الشركة متخصصة في هذا المجال مع احضار ما يفيد ذلك.
• 3- سداد الرسوم المقررة لشراء وثائق الممارسة إلكترونياً.
• 4- أن تقدم الشركات المشاركة شهادة دعم العمالة الوطنية.
• 5- يمكن الحصول على وثائق الممارسات من تاريخ النشر لغاية تاريخ الاغلاق.</t>
        </is>
      </c>
      <c r="G39" s="12" t="inlineStr">
        <is>
          <t>عام</t>
        </is>
      </c>
      <c r="H39" s="12" t="inlineStr">
        <is>
          <t>15.0%</t>
        </is>
      </c>
      <c r="I39" s="12" t="inlineStr">
        <is>
          <t>healthcare</t>
        </is>
      </c>
      <c r="J39" s="12" t="inlineStr">
        <is>
          <t>2026-09-20</t>
        </is>
      </c>
      <c r="K39" s="18" t="inlineStr">
        <is>
          <t>2026-10-21</t>
        </is>
      </c>
      <c r="L39" s="12" t="inlineStr">
        <is>
          <t>-</t>
        </is>
      </c>
      <c r="M39" s="12" t="inlineStr">
        <is>
          <t>75.0 KWD</t>
        </is>
      </c>
      <c r="N39" s="21" t="inlineStr">
        <is>
          <t>UPDATED</t>
        </is>
      </c>
      <c r="O39" s="12" t="inlineStr">
        <is>
          <t>غير متوافقة مع اختصاصات KBM</t>
        </is>
      </c>
      <c r="P39" s="23">
        <f>HYPERLINK("https://kuwaitalyawm.media.gov.kw/Online/ViewAdsHTML?id=170983&amp;no=1", "عرض المصدر")</f>
        <v/>
      </c>
    </row>
    <row r="40">
      <c r="A40" s="13" t="inlineStr">
        <is>
          <t>61-16</t>
        </is>
      </c>
      <c r="B40" s="13" t="inlineStr">
        <is>
          <t>وزارة الصحة</t>
        </is>
      </c>
      <c r="C40" s="13" t="inlineStr">
        <is>
          <t>Jana Al-Obaid</t>
        </is>
      </c>
      <c r="D40" s="13" t="inlineStr">
        <is>
          <t>ممارسة رقم 61-16 - وزارة الصحة (العدد 1809)</t>
        </is>
      </c>
      <c r="E40" s="13" t="inlineStr">
        <is>
          <t>أعمال وتوريدات ممارسة رقم 61-16 لصالح وزارة الصحة وفقاً للشروط والمواصفات المعتمدة في وثائق الطرح.</t>
        </is>
      </c>
      <c r="F40" s="13" t="inlineStr">
        <is>
          <t>• 1- الشركة المحلية يجب أن تكون مسجلة لدى إدارة المستودعات الطبية بسجل الموردين
• 2- الشركة المحلية يجب أن تكون متخصصة في المجال الطبي وموثق بشهادة معتمدة من غرفة التجارة والصناعة
• 3- عند تقديم عرضين يجب شراء كراستين بوصلين مختلفين
• 4- ارفاق شهادة تسجيل للمنتج سارية المفعول من إدارة التسجيل ومراقبة الأدوية الطبية والنباتية أو ما يثبت بتقديم الشهادة ونسخة من تسجيل الشركة المصنعة والمادة في سجل الموردين بإدارة المستودعات الطبية ضمن محتويات العطاء المقدم فيه (خاص بمراقبة الأدوية)
• 5- تقديم عينات للمواد الجديدة سواءً كان منتج جديد يطلب لأول مرة أو من شركة مصنعة جديدة للمراقبة المختصة ( الأدوية – اللوازم الطبية)
• 6- ارفاق شهادة نسبة دعم العمالة الوطنية
• 7- يمكن الحصول على وثائق الممارسات في الموقع الإلكتروني الخاص بوزارة الصحة
• 8- يمكن دفع رسوم شراء الكراسة من الموقع الإلكتروني لإرفاقه مع وثائق الممارسة
• 9- تقديم عروض الأسعار بظرف مقفل شامل مع وثائق الممارسة حسب تاريخ الإقفال المحدد في الموقع الإلكتروني الخاص بوزارة الصحة</t>
        </is>
      </c>
      <c r="G40" s="14" t="inlineStr">
        <is>
          <t>عام</t>
        </is>
      </c>
      <c r="H40" s="14" t="inlineStr">
        <is>
          <t>0.0%</t>
        </is>
      </c>
      <c r="I40" s="14" t="inlineStr">
        <is>
          <t>healthcare</t>
        </is>
      </c>
      <c r="J40" s="14" t="inlineStr">
        <is>
          <t>2026-09-20</t>
        </is>
      </c>
      <c r="K40" s="18" t="inlineStr">
        <is>
          <t>2026-10-21</t>
        </is>
      </c>
      <c r="L40" s="14" t="inlineStr">
        <is>
          <t>-</t>
        </is>
      </c>
      <c r="M40" s="14" t="inlineStr">
        <is>
          <t>75.0 KWD</t>
        </is>
      </c>
      <c r="N40" s="21" t="inlineStr">
        <is>
          <t>UPDATED</t>
        </is>
      </c>
      <c r="O40" s="14" t="inlineStr">
        <is>
          <t>غير متوافقة مع اختصاصات KBM</t>
        </is>
      </c>
      <c r="P40" s="22">
        <f>HYPERLINK("https://kuwaitalyawm.media.gov.kw/Online/ViewAdsHTML?id=170988&amp;no=1", "عرض المصدر")</f>
        <v/>
      </c>
    </row>
    <row r="41">
      <c r="A41" s="11" t="inlineStr">
        <is>
          <t>4-6</t>
        </is>
      </c>
      <c r="B41" s="11" t="inlineStr">
        <is>
          <t>وزارة الصحة</t>
        </is>
      </c>
      <c r="C41" s="11" t="inlineStr">
        <is>
          <t>Jana Al-Obaid</t>
        </is>
      </c>
      <c r="D41" s="11" t="inlineStr">
        <is>
          <t>ممارسة رقم 4-6 - وزارة الصحة (العدد 1809)</t>
        </is>
      </c>
      <c r="E41" s="11" t="inlineStr">
        <is>
          <t>أعمال وتوريدات ممارسة رقم 4-6 لصالح وزارة الصحة وفقاً للشروط والمواصفات المعتمدة في وثائق الطرح.</t>
        </is>
      </c>
      <c r="F41" s="11" t="inlineStr">
        <is>
          <t>• 1- الشركة المحلية يجب أن تكون مسجلة لدى إدارة المستودعات الطبية بسجل الموردين
• 2- الشركة المحلية يجب أن تكون متخصصة في المجال الطبي وموثق بشهادة معتمدة من غرفة التجارة والصناعة
• 3- عند تقديم عرضين يجب شراء كراستين بوصلين مختلفين
• 4- ارفاق شهادة تسجيل للمنتج سارية المفعول من إدارة التسجيل ومراقبة الأدوية الطبية والنباتية أو ما يثبت بتقديم الشهادة ونسخة من تسجيل الشركة المصنعة والمادة في سجل الموردين بإدارة المستودعات الطبية ضمن محتويات العطاء المقدم فيه (خاص بمراقبة الأدوية)
• 5- تقديم عينات للمواد الجديدة سواءً كان منتج جديد يطلب لأول مرة أو من شركة مصنعة جديدة للمراقبة المختصة ( الأدوية – اللوازم الطبية)
• 6- ارفاق شهادة نسبة دعم العمالة الوطنية
• 7- يمكن الحصول على وثائق الممارسات في الموقع الإلكتروني الخاص بوزارة الصحة
• 8- يمكن دفع رسوم شراء الكراسة من الموقع الإلكتروني لإرفاقه مع وثائق الممارسة
• 9- تقديم عروض الأسعار بظرف مقفل شامل مع وثائق الممارسة حسب تاريخ الإقفال المحدد في الموقع الإلكتروني الخاص بوزارة ا لصحة</t>
        </is>
      </c>
      <c r="G41" s="12" t="inlineStr">
        <is>
          <t>عام</t>
        </is>
      </c>
      <c r="H41" s="12" t="inlineStr">
        <is>
          <t>0.0%</t>
        </is>
      </c>
      <c r="I41" s="12" t="inlineStr">
        <is>
          <t>healthcare</t>
        </is>
      </c>
      <c r="J41" s="12" t="inlineStr">
        <is>
          <t>2026-09-20</t>
        </is>
      </c>
      <c r="K41" s="18" t="inlineStr">
        <is>
          <t>2026-10-14</t>
        </is>
      </c>
      <c r="L41" s="12" t="inlineStr">
        <is>
          <t>-</t>
        </is>
      </c>
      <c r="M41" s="12" t="inlineStr">
        <is>
          <t>75.0 KWD</t>
        </is>
      </c>
      <c r="N41" s="21" t="inlineStr">
        <is>
          <t>UPDATED</t>
        </is>
      </c>
      <c r="O41" s="12" t="inlineStr">
        <is>
          <t>غير متوافقة مع اختصاصات KBM</t>
        </is>
      </c>
      <c r="P41" s="23">
        <f>HYPERLINK("https://kuwaitalyawm.media.gov.kw/Online/ViewAdsHTML?id=170990&amp;no=1", "عرض المصدر")</f>
        <v/>
      </c>
    </row>
    <row r="42">
      <c r="A42" s="13" t="inlineStr">
        <is>
          <t>2027/2026/72</t>
        </is>
      </c>
      <c r="B42" s="13" t="inlineStr">
        <is>
          <t>وزارة الصحة</t>
        </is>
      </c>
      <c r="C42" s="13" t="inlineStr">
        <is>
          <t>Jana Al-Obaid</t>
        </is>
      </c>
      <c r="D42" s="13" t="inlineStr">
        <is>
          <t>ممارسة رقم 2027/2026/72: تـعـلـن وزارة الصـحة عن طرح الممارسة : رقم ص / م س /72/2026/2027 توريد ثلاجات كهربائية ( احتياجات المراكز و المستشفيات ) بين الشركات المتخصصة في هذا المجال طبقا للشروط العامة والخاصة الموضحة في وثائق الممارسة التي يمكن الحصول عليها من موقع الوزارة (www.moh.gov.kw ) و ذلك مقابل دفع مبلغ ( 75 د . ك ) فقط مبلغ خمسة و سبعون دينار كويتي لا غير لا ترد .</t>
        </is>
      </c>
      <c r="E42" s="13" t="inlineStr">
        <is>
          <t>أعمال وتوريدات رقم ص / م س /72/2026/2027 توريد ثلاجات كهربائية ( احتياجات المراكز و المستشفيات ) بين الشركات المتخصصة في هذا المجال طبقا للشروط العامة والخاصة الموضحة في وثائق الممارسة التي يمكن الحصول عليها من موقع الوزارة (www.moh.gov.kw ) و ذلك مقابل دفع مبلغ ( 75 د . ك ) فقط مبلغ خمسة و سبعون دينار كويتي لا غير لا ترد . لصالح وزارة الصحة وفقاً للشروط والمواصفات المعتمدة في وثائق الطرح.</t>
        </is>
      </c>
      <c r="F4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42" s="14" t="inlineStr">
        <is>
          <t>عام</t>
        </is>
      </c>
      <c r="H42" s="14" t="inlineStr">
        <is>
          <t>15.0%</t>
        </is>
      </c>
      <c r="I42" s="14" t="inlineStr">
        <is>
          <t>healthcare</t>
        </is>
      </c>
      <c r="J42" s="14" t="inlineStr">
        <is>
          <t>2026-09-20</t>
        </is>
      </c>
      <c r="K42" s="14" t="inlineStr">
        <is>
          <t>-</t>
        </is>
      </c>
      <c r="L42" s="14" t="inlineStr">
        <is>
          <t>-</t>
        </is>
      </c>
      <c r="M42" s="14" t="inlineStr">
        <is>
          <t>-</t>
        </is>
      </c>
      <c r="N42" s="21" t="inlineStr">
        <is>
          <t>UPDATED</t>
        </is>
      </c>
      <c r="O42" s="14" t="inlineStr">
        <is>
          <t>غير متوافقة مع اختصاصات KBM</t>
        </is>
      </c>
      <c r="P42" s="22">
        <f>HYPERLINK("https://kuwaitalyawm.media.gov.kw/Online/ViewAdsHTML?id=170991&amp;no=1", "عرض المصدر")</f>
        <v/>
      </c>
    </row>
    <row r="43">
      <c r="A43" s="11" t="inlineStr">
        <is>
          <t>126-320</t>
        </is>
      </c>
      <c r="B43" s="11" t="inlineStr">
        <is>
          <t>وزارة الصحة</t>
        </is>
      </c>
      <c r="C43" s="11" t="inlineStr">
        <is>
          <t>Jana Al-Obaid</t>
        </is>
      </c>
      <c r="D43" s="11" t="inlineStr">
        <is>
          <t>ممارسة رقم 126-320 - وزارة الصحة (العدد 1808)</t>
        </is>
      </c>
      <c r="E43" s="11" t="inlineStr">
        <is>
          <t>أعمال وتوريدات ممارسة رقم 126-320 لصالح وزارة الصحة وفقاً للشروط والمواصفات المعتمدة في وثائق الطرح.</t>
        </is>
      </c>
      <c r="F43" s="11" t="inlineStr">
        <is>
          <t>• 1- أن تكون مقصورة على الشركات المسجلة لدى إدارة الهندسة الطبية.
• 2- أن تكون الشركة متخصصة في هذا المجال مع احضار ما يفيد ذلك.
• 3- سداد الرسوم المقررة لشراء وثائق الممارسة إلكترونياً.
• 4- أن تقدم الشركات المشاركة شهادة دعم العمالة الوطنية.
• 5- يمكن الحصول على وثائق الممارسات من تاريخ النشر لغاية تاريخ الاغلاق.</t>
        </is>
      </c>
      <c r="G43" s="12" t="inlineStr">
        <is>
          <t>عام</t>
        </is>
      </c>
      <c r="H43" s="12" t="inlineStr">
        <is>
          <t>15.0%</t>
        </is>
      </c>
      <c r="I43" s="12" t="inlineStr">
        <is>
          <t>healthcare</t>
        </is>
      </c>
      <c r="J43" s="12" t="inlineStr">
        <is>
          <t>2026-09-13</t>
        </is>
      </c>
      <c r="K43" s="18" t="inlineStr">
        <is>
          <t>2026-10-14</t>
        </is>
      </c>
      <c r="L43" s="12" t="inlineStr">
        <is>
          <t>-</t>
        </is>
      </c>
      <c r="M43" s="12" t="inlineStr">
        <is>
          <t>75.0 KWD</t>
        </is>
      </c>
      <c r="N43" s="21" t="inlineStr">
        <is>
          <t>UPDATED</t>
        </is>
      </c>
      <c r="O43" s="12" t="inlineStr">
        <is>
          <t>غير متوافقة مع اختصاصات KBM</t>
        </is>
      </c>
      <c r="P43" s="23">
        <f>HYPERLINK("https://kuwaitalyawm.media.gov.kw/Online/ViewAdsHTML?id=169860&amp;no=1", "عرض المصدر")</f>
        <v/>
      </c>
    </row>
    <row r="44">
      <c r="A44" s="13" t="inlineStr">
        <is>
          <t>703-280</t>
        </is>
      </c>
      <c r="B44" s="13" t="inlineStr">
        <is>
          <t>وزارة الصحة</t>
        </is>
      </c>
      <c r="C44" s="13" t="inlineStr">
        <is>
          <t>Jana Al-Obaid</t>
        </is>
      </c>
      <c r="D44" s="13" t="inlineStr">
        <is>
          <t>ممارسة رقم 703-280 - وزارة الصحة (العدد 1808)</t>
        </is>
      </c>
      <c r="E44" s="13" t="inlineStr">
        <is>
          <t>أعمال وتوريدات ممارسة رقم 703-280 لصالح وزارة الصحة وفقاً للشروط والمواصفات المعتمدة في وثائق الطرح.</t>
        </is>
      </c>
      <c r="F44" s="13" t="inlineStr">
        <is>
          <t>• 1- أن تكون مقصورة على الشركات المسجلة لدى إدارة الهندسة الطبية.
• 2- أن تكون الشركة متخصصة في هذا المجال مع احضار ما يفيد ذلك.
• 3- سداد الرسوم المقررة لشراء وثائق الممارسة إلكترونياً.
• 4- أن تقدم الشركات المشاركة شهادة دعم العمالة الوطنية.
• 5- يمكن الحصول على وثائق الممارسات من تاريخ النشر لغاية تاريخ الاغلاق.</t>
        </is>
      </c>
      <c r="G44" s="14" t="inlineStr">
        <is>
          <t>عام</t>
        </is>
      </c>
      <c r="H44" s="14" t="inlineStr">
        <is>
          <t>15.0%</t>
        </is>
      </c>
      <c r="I44" s="14" t="inlineStr">
        <is>
          <t>healthcare</t>
        </is>
      </c>
      <c r="J44" s="14" t="inlineStr">
        <is>
          <t>2026-09-13</t>
        </is>
      </c>
      <c r="K44" s="18" t="inlineStr">
        <is>
          <t>2026-10-14</t>
        </is>
      </c>
      <c r="L44" s="14" t="inlineStr">
        <is>
          <t>-</t>
        </is>
      </c>
      <c r="M44" s="14" t="inlineStr">
        <is>
          <t>75.0 KWD</t>
        </is>
      </c>
      <c r="N44" s="21" t="inlineStr">
        <is>
          <t>UPDATED</t>
        </is>
      </c>
      <c r="O44" s="14" t="inlineStr">
        <is>
          <t>غير متوافقة مع اختصاصات KBM</t>
        </is>
      </c>
      <c r="P44" s="22">
        <f>HYPERLINK("https://kuwaitalyawm.media.gov.kw/Online/ViewAdsHTML?id=169861&amp;no=1", "عرض المصدر")</f>
        <v/>
      </c>
    </row>
    <row r="45">
      <c r="A45" s="11" t="inlineStr">
        <is>
          <t>334-331</t>
        </is>
      </c>
      <c r="B45" s="11" t="inlineStr">
        <is>
          <t>وزارة الصحة</t>
        </is>
      </c>
      <c r="C45" s="11" t="inlineStr">
        <is>
          <t>Jana Al-Obaid</t>
        </is>
      </c>
      <c r="D45" s="11" t="inlineStr">
        <is>
          <t>ممارسة رقم 334-331 - وزارة الصحة (العدد 1808)</t>
        </is>
      </c>
      <c r="E45" s="11" t="inlineStr">
        <is>
          <t>أعمال وتوريدات ممارسة رقم 334-331 لصالح وزارة الصحة وفقاً للشروط والمواصفات المعتمدة في وثائق الطرح.</t>
        </is>
      </c>
      <c r="F45" s="11" t="inlineStr">
        <is>
          <t>• 1- الشركة المحلية يجب أن تكون مسجلة لدى إدارة المستودعات الطبية بسجل الموردين
• 2- الشركة المحلية يجب أن تكون متخصصة في المجال الطبي وموثق بشهادة معتمدة من غرفة التجارة والصناعة
• 3- عند تقديم عرضين يجب شراء كراستين بوصلين مختلفين
• 4- ارفاق شهادة تسجيل للمنتج سارية المفعول من إدارة التسجيل ومراقبة الأدوية الطبية والنباتية أو ما يثبت بتقديم الشهادة ونسخة من تسجيل الشركة المصنعة والمادة في سجل الموردين بإدارة المستودعات الطبية ضمن محتويات العطاء المقدم فيه (خاص بمراقبة الأدوية)
• 5- تقديم عينات للمواد الجديدة سواءً كان منتج جديد يطلب لأول مرة أو من شركة مصنعة جديدة للمراقبة المختصة ( الأدوية – اللوازم الطبية)
• 6- ارفاق شهادة نسبة دعم العمالة الوطنية
• 7- يمكن الحصول على وثائق الممارسات في الموقع الإلكتروني الخاص بوزارة الصحة
• 8- يمكن دفع رسوم شراء الكراسة من الموقع الإلكتروني لإرفاقه مع وثائق الممارسة
• 9- تقديم عروض الأسعار بظرف مقفل شامل مع وثائق الممارسة حسب تاريخ الإقفال المحدد في الموقع الإلكتروني الخاص بوزارة ا لصحة</t>
        </is>
      </c>
      <c r="G45" s="12" t="inlineStr">
        <is>
          <t>عام</t>
        </is>
      </c>
      <c r="H45" s="12" t="inlineStr">
        <is>
          <t>0.0%</t>
        </is>
      </c>
      <c r="I45" s="12" t="inlineStr">
        <is>
          <t>healthcare</t>
        </is>
      </c>
      <c r="J45" s="12" t="inlineStr">
        <is>
          <t>2026-09-13</t>
        </is>
      </c>
      <c r="K45" s="18" t="inlineStr">
        <is>
          <t>2026-10-14</t>
        </is>
      </c>
      <c r="L45" s="12" t="inlineStr">
        <is>
          <t>-</t>
        </is>
      </c>
      <c r="M45" s="12" t="inlineStr">
        <is>
          <t>75.0 KWD</t>
        </is>
      </c>
      <c r="N45" s="21" t="inlineStr">
        <is>
          <t>UPDATED</t>
        </is>
      </c>
      <c r="O45" s="12" t="inlineStr">
        <is>
          <t>غير متوافقة مع اختصاصات KBM</t>
        </is>
      </c>
      <c r="P45" s="23">
        <f>HYPERLINK("https://kuwaitalyawm.media.gov.kw/Online/ViewAdsHTML?id=169867&amp;no=1", "عرض المصدر")</f>
        <v/>
      </c>
    </row>
    <row r="46">
      <c r="A46" s="13" t="inlineStr">
        <is>
          <t>2026/2</t>
        </is>
      </c>
      <c r="B46" s="13" t="inlineStr">
        <is>
          <t>وزارة الأوقاف والشئون الإسلامية</t>
        </is>
      </c>
      <c r="C46" s="13" t="inlineStr">
        <is>
          <t>Eiman Ashkanani</t>
        </is>
      </c>
      <c r="D46" s="13" t="inlineStr">
        <is>
          <t>مناقصة رقم 2026/2: الخاصة بأعمال توريد وتركيب سجاد ولباد للمساجد التابعة</t>
        </is>
      </c>
      <c r="E46" s="13" t="inlineStr">
        <is>
          <t>أعمال وتوريدات الخاصة بأعمال توريد وتركيب سجاد ولباد للمساجد التابعة لصالح وزارة الأوقاف والشئون الإسلامية وفقاً للشروط والمواصفات المعتمدة في وثائق الطرح.</t>
        </is>
      </c>
      <c r="F4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46" s="14" t="inlineStr">
        <is>
          <t>عام</t>
        </is>
      </c>
      <c r="H46" s="14" t="inlineStr">
        <is>
          <t>15.0%</t>
        </is>
      </c>
      <c r="I46" s="14" t="inlineStr">
        <is>
          <t>government</t>
        </is>
      </c>
      <c r="J46" s="14" t="inlineStr">
        <is>
          <t>2026-09-27</t>
        </is>
      </c>
      <c r="K46" s="18" t="inlineStr">
        <is>
          <t>2026-10-15</t>
        </is>
      </c>
      <c r="L46" s="14" t="inlineStr">
        <is>
          <t>500.0</t>
        </is>
      </c>
      <c r="M46" s="14" t="inlineStr">
        <is>
          <t>500.0</t>
        </is>
      </c>
      <c r="N46" s="25" t="inlineStr">
        <is>
          <t>NEW</t>
        </is>
      </c>
      <c r="O46" s="14" t="inlineStr">
        <is>
          <t>غير متوافقة مع اختصاصات KBM</t>
        </is>
      </c>
      <c r="P46" s="22">
        <f>HYPERLINK("https://kuwaitalyawm.media.gov.kw/Online/ViewAdsHTML?id=171071&amp;no=1", "عرض المصدر")</f>
        <v/>
      </c>
    </row>
    <row r="47">
      <c r="A47" s="11" t="inlineStr">
        <is>
          <t>2027/2026/1443</t>
        </is>
      </c>
      <c r="B47" s="11" t="inlineStr">
        <is>
          <t>المؤسسة العامة للرعاية السكنية</t>
        </is>
      </c>
      <c r="C47" s="11" t="inlineStr">
        <is>
          <t>Eiman Ashkanani</t>
        </is>
      </c>
      <c r="D47" s="11" t="inlineStr">
        <is>
          <t>مناقصة رقم 2027/2026/1443 - المؤسسة العامة للرعاية السكنية</t>
        </is>
      </c>
      <c r="E47" s="11" t="inlineStr">
        <is>
          <t>أعمال وتوريدات مناقصة رقم 2027/2026/1443 لصالح المؤسسة العامة للرعاية السكنية وفقاً للشروط والمواصفات المعتمدة في وثائق الطرح.</t>
        </is>
      </c>
      <c r="F47" s="11" t="inlineStr">
        <is>
          <t>• 1. يجب أن يكون قد مضى على تأسيس الشركة أو ممارسة النشاط بالنسبة للأفراد أكثر من عشر سنوات.
• 2. يجب ألا تقل قيمة رأس المال للشركة أو الأصول المملوكة للفرد عن (5,000,000 د.ك) خمسة ملايين دينار كويتي. (أو ما يعادلها).
• - ورقتا صيغة العطاء وإجمالي قيمة العطاء (نسخاً أصلية) مستكملة البيانات ومختومة وموقعة.</t>
        </is>
      </c>
      <c r="G47" s="12" t="inlineStr">
        <is>
          <t>عام</t>
        </is>
      </c>
      <c r="H47" s="12" t="inlineStr">
        <is>
          <t>28.0%</t>
        </is>
      </c>
      <c r="I47" s="12" t="inlineStr">
        <is>
          <t>government</t>
        </is>
      </c>
      <c r="J47" s="12" t="inlineStr">
        <is>
          <t>2026-08-30</t>
        </is>
      </c>
      <c r="K47" s="12" t="inlineStr">
        <is>
          <t>2026-09-30</t>
        </is>
      </c>
      <c r="L47" s="12" t="inlineStr">
        <is>
          <t>500000.0</t>
        </is>
      </c>
      <c r="M47" s="12" t="inlineStr">
        <is>
          <t>3500.0</t>
        </is>
      </c>
      <c r="N47" s="25" t="inlineStr">
        <is>
          <t>NEW</t>
        </is>
      </c>
      <c r="O47" s="12" t="inlineStr">
        <is>
          <t>غير متوافقة مع اختصاصات KBM</t>
        </is>
      </c>
      <c r="P47" s="23">
        <f>HYPERLINK("https://kuwaitalyawm.media.gov.kw/Online/ViewAdsHTML?id=171709&amp;no=1", "عرض المصدر")</f>
        <v/>
      </c>
    </row>
    <row r="48">
      <c r="A48" s="13" t="inlineStr">
        <is>
          <t>2027/2026/1444</t>
        </is>
      </c>
      <c r="B48" s="13" t="inlineStr">
        <is>
          <t>المؤسسة العامة للرعاية السكنية</t>
        </is>
      </c>
      <c r="C48" s="13" t="inlineStr">
        <is>
          <t>Eiman Ashkanani</t>
        </is>
      </c>
      <c r="D48" s="13" t="inlineStr">
        <is>
          <t>مناقصة رقم 2027/2026/1444 - المؤسسة العامة للرعاية السكنية</t>
        </is>
      </c>
      <c r="E48" s="13" t="inlineStr">
        <is>
          <t>أعمال وتوريدات مناقصة رقم 2027/2026/1444 لصالح المؤسسة العامة للرعاية السكنية وفقاً للشروط والمواصفات المعتمدة في وثائق الطرح.</t>
        </is>
      </c>
      <c r="F48" s="13" t="inlineStr">
        <is>
          <t>• 1. يجب أن يكون قد مضى على تأسيس الشركة أو ممارسة النشاط بالنسبة للأفراد أكثر من عشر سنوات.
• 2. يجب ألا تقل قيمة رأس المال للشركة أو الأصول المملوكة للفرد عن (5,000,000 د.ك) خمسة ملايين دينار كويتي. (أو ما يعادلها).
• - ورقتا صيغة العطاء وإجمالي قيمة العطاء (نسخاً أصلية) مستكملة البيانات ومختومة وموقعة.</t>
        </is>
      </c>
      <c r="G48" s="14" t="inlineStr">
        <is>
          <t>عام</t>
        </is>
      </c>
      <c r="H48" s="14" t="inlineStr">
        <is>
          <t>28.0%</t>
        </is>
      </c>
      <c r="I48" s="14" t="inlineStr">
        <is>
          <t>government</t>
        </is>
      </c>
      <c r="J48" s="14" t="inlineStr">
        <is>
          <t>2026-08-30</t>
        </is>
      </c>
      <c r="K48" s="14" t="inlineStr">
        <is>
          <t>2026-09-30</t>
        </is>
      </c>
      <c r="L48" s="14" t="inlineStr">
        <is>
          <t>500000.0</t>
        </is>
      </c>
      <c r="M48" s="14" t="inlineStr">
        <is>
          <t>3500.0</t>
        </is>
      </c>
      <c r="N48" s="25" t="inlineStr">
        <is>
          <t>NEW</t>
        </is>
      </c>
      <c r="O48" s="14" t="inlineStr">
        <is>
          <t>غير متوافقة مع اختصاصات KBM</t>
        </is>
      </c>
      <c r="P48" s="22">
        <f>HYPERLINK("https://kuwaitalyawm.media.gov.kw/Online/ViewAdsHTML?id=171710&amp;no=1", "عرض المصدر")</f>
        <v/>
      </c>
    </row>
    <row r="49">
      <c r="A49" s="11" t="inlineStr">
        <is>
          <t>26/27-11</t>
        </is>
      </c>
      <c r="B49" s="11" t="inlineStr">
        <is>
          <t>الشركة الكويتية لتزويد الطائرات بالوقود</t>
        </is>
      </c>
      <c r="C49" s="11" t="inlineStr">
        <is>
          <t>Eiman Ashkanani</t>
        </is>
      </c>
      <c r="D49" s="11" t="inlineStr">
        <is>
          <t>مناقصة رقم 26/27-11 - الشركة الكويتية لتزويد الطائرات بالوقود</t>
        </is>
      </c>
      <c r="E49" s="11" t="inlineStr">
        <is>
          <t>أعمال وتوريدات مناقصة رقم 26/27-11 - الشركة الكويتية لتزويد الطائرات بالوقود لصالح الشركة الكويتية لتزويد الطائرات بالوقود وفقاً للشروط والمواصفات المعتمدة في وثائق الطرح.</t>
        </is>
      </c>
      <c r="F4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49" s="12" t="inlineStr">
        <is>
          <t>عام</t>
        </is>
      </c>
      <c r="H49" s="12" t="inlineStr">
        <is>
          <t>0.0%</t>
        </is>
      </c>
      <c r="I49" s="12" t="inlineStr">
        <is>
          <t>government</t>
        </is>
      </c>
      <c r="J49" s="12" t="inlineStr">
        <is>
          <t>2026-09-27</t>
        </is>
      </c>
      <c r="K49" s="12" t="inlineStr">
        <is>
          <t>-</t>
        </is>
      </c>
      <c r="L49" s="12" t="inlineStr">
        <is>
          <t>37400.0</t>
        </is>
      </c>
      <c r="M49" s="12" t="inlineStr">
        <is>
          <t>-</t>
        </is>
      </c>
      <c r="N49" s="25" t="inlineStr">
        <is>
          <t>NEW</t>
        </is>
      </c>
      <c r="O49" s="12" t="inlineStr">
        <is>
          <t>غير متوافقة مع اختصاصات KBM</t>
        </is>
      </c>
      <c r="P49" s="23">
        <f>HYPERLINK("https://kuwaitalyawm.media.gov.kw/Online/ViewAdsHTML?id=171719&amp;no=1", "عرض المصدر")</f>
        <v/>
      </c>
    </row>
    <row r="50">
      <c r="A50" s="13" t="inlineStr">
        <is>
          <t>25/26-38</t>
        </is>
      </c>
      <c r="B50" s="13" t="inlineStr">
        <is>
          <t>الشركة الكويتية لتزويد الطائرات بالوقود</t>
        </is>
      </c>
      <c r="C50" s="13" t="inlineStr">
        <is>
          <t>Eiman Ashkanani</t>
        </is>
      </c>
      <c r="D50" s="13" t="inlineStr">
        <is>
          <t>مناقصة رقم 25/26/38: تاريخ الاجتماع التمهيدي واخر موعد لشراء وثائق المناقصة</t>
        </is>
      </c>
      <c r="E50" s="13" t="inlineStr">
        <is>
          <t>أعمال وتوريدات تاريخ الاجتماع التمهيدي واخر موعد لشراء وثائق المناقصة لصالح الشركة الكويتية لتزويد الطائرات بالوقود وفقاً للشروط والمواصفات المعتمدة في وثائق الطرح.</t>
        </is>
      </c>
      <c r="F5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50" s="14" t="inlineStr">
        <is>
          <t>عام</t>
        </is>
      </c>
      <c r="H50" s="14" t="inlineStr">
        <is>
          <t>0.0%</t>
        </is>
      </c>
      <c r="I50" s="14" t="inlineStr">
        <is>
          <t>government</t>
        </is>
      </c>
      <c r="J50" s="14" t="inlineStr">
        <is>
          <t>2026-08-30</t>
        </is>
      </c>
      <c r="K50" s="14" t="inlineStr">
        <is>
          <t>2026-08-30</t>
        </is>
      </c>
      <c r="L50" s="14" t="inlineStr">
        <is>
          <t>1000.0</t>
        </is>
      </c>
      <c r="M50" s="14" t="inlineStr">
        <is>
          <t>100.0</t>
        </is>
      </c>
      <c r="N50" s="25" t="inlineStr">
        <is>
          <t>NEW</t>
        </is>
      </c>
      <c r="O50" s="14" t="inlineStr">
        <is>
          <t>غير متوافقة مع اختصاصات KBM</t>
        </is>
      </c>
      <c r="P50" s="22">
        <f>HYPERLINK("https://kuwaitalyawm.media.gov.kw/Online/ViewAdsHTML?id=171720&amp;no=1", "عرض المصدر")</f>
        <v/>
      </c>
    </row>
    <row r="51">
      <c r="A51" s="11" t="inlineStr">
        <is>
          <t>23/24-30</t>
        </is>
      </c>
      <c r="B51" s="11" t="inlineStr">
        <is>
          <t>الشركة الكويتية لتزويد الطائرات بالوقود</t>
        </is>
      </c>
      <c r="C51" s="11" t="inlineStr">
        <is>
          <t>Eiman Ashkanani</t>
        </is>
      </c>
      <c r="D51" s="11" t="inlineStr">
        <is>
          <t>مناقصة رقم 23/24/30: الحاقا الى الإعلان الصادر في الجريدة الرسمية (الكويت اليوم) العدد رقم (1804) الصفحة رقم (247 &amp; 248) بتاريخ 16/8/2026 بخصوص الموضوع اعلاه، تود لجنة الشراء العليا لمناقصات الشركة الكويتية لتزويد الطائرات بناء على طلب من الشركة الكويتية لتزويد الطائرات بالوقود، ان تسترعي انتباه السادة المناقصين / الشركات الى انه تم تمديد موعد الاغلاق للمناقصة الى يوم الثلاثاء الموافق 29/9/2026 بدلا من يوم الثلاثاء الموافق 15/9/2026</t>
        </is>
      </c>
      <c r="E51" s="11" t="inlineStr">
        <is>
          <t>أعمال وتوريدات الحاقا الى الإعلان الصادر في الجريدة الرسمية (الكويت اليوم) العدد رقم (1804) الصفحة رقم (247 &amp; 248) بتاريخ 16/8/2026 بخصوص الموضوع اعلاه، تود لجنة الشراء العليا لمناقصات الشركة الكويتية لتزويد الطائرات بناء على طلب من الشركة الكويتية لتزويد الطائرات بالوقود، ان تسترعي انتباه السادة المناقصين / الشركات الى انه تم تمديد موعد الاغلاق للمناقصة الى يوم الثلاثاء الموافق 29/9/2026 بدلا من يوم الثلاثاء الموافق 15/9/2026 لصالح الشركة الكويتية لتزويد الطائرات بالوقود وفقاً للشروط والمواصفات المعتمدة في وثائق الطرح.</t>
        </is>
      </c>
      <c r="F5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51" s="12" t="inlineStr">
        <is>
          <t>عام</t>
        </is>
      </c>
      <c r="H51" s="12" t="inlineStr">
        <is>
          <t>0.0%</t>
        </is>
      </c>
      <c r="I51" s="12" t="inlineStr">
        <is>
          <t>government</t>
        </is>
      </c>
      <c r="J51" s="12" t="inlineStr">
        <is>
          <t>2026-09-13</t>
        </is>
      </c>
      <c r="K51" s="12" t="inlineStr">
        <is>
          <t>2026-10-13</t>
        </is>
      </c>
      <c r="L51" s="12" t="inlineStr">
        <is>
          <t>-</t>
        </is>
      </c>
      <c r="M51" s="12" t="inlineStr">
        <is>
          <t>-</t>
        </is>
      </c>
      <c r="N51" s="25" t="inlineStr">
        <is>
          <t>NEW</t>
        </is>
      </c>
      <c r="O51" s="12" t="inlineStr">
        <is>
          <t>غير متوافقة مع اختصاصات KBM</t>
        </is>
      </c>
      <c r="P51" s="23">
        <f>HYPERLINK("https://kuwaitalyawm.media.gov.kw/Online/ViewAdsHTML?id=171721&amp;no=1", "عرض المصدر")</f>
        <v/>
      </c>
    </row>
    <row r="52">
      <c r="A52" s="13" t="inlineStr">
        <is>
          <t>26/25/33</t>
        </is>
      </c>
      <c r="B52" s="13" t="inlineStr">
        <is>
          <t>الشركة الكويتية لتزويد الطائرات بالوقود</t>
        </is>
      </c>
      <c r="C52" s="13" t="inlineStr">
        <is>
          <t>Eiman Ashkanani</t>
        </is>
      </c>
      <c r="D52" s="13" t="inlineStr">
        <is>
          <t>مناقصة رقم 26/25/33: الحاقا إلى الإعلان الصادر في الجريدة الرسمية ( الكويت اليوم ) العدد رقم (1806) الصفحة رقم (282 &amp; 283) بتاريخ 30/08/2026 بخصوص الموضوع اعلاه، تود لجنة الشراء العليا لمناقصات الشركة الكويتية لتزويد الطائرات بناء على طلب من الشركة الكويتية لتزويد الطائرات بالوقود شركة تابعة لشركة البترول الوطنية ، أن تسترعي انتباه السادة المناقصين / الشركات إلى أنه تم تمديد موعد الإغلاق للمناقصة إلى يوم الثلاثاء الموافق 22/9/2026 بدلا من يوم الثلاثاء الموافق 15/09/2026</t>
        </is>
      </c>
      <c r="E52" s="13" t="inlineStr">
        <is>
          <t>أعمال وتوريدات الحاقا إلى الإعلان الصادر في الجريدة الرسمية ( الكويت اليوم ) العدد رقم (1806) الصفحة رقم (282 &amp; 283) بتاريخ 30/08/2026 بخصوص الموضوع اعلاه، تود لجنة الشراء العليا لمناقصات الشركة الكويتية لتزويد الطائرات بناء على طلب من الشركة الكويتية لتزويد الطائرات بالوقود شركة تابعة لشركة البترول الوطنية ، أن تسترعي انتباه السادة المناقصين / الشركات إلى أنه تم تمديد موعد الإغلاق للمناقصة إلى يوم الثلاثاء الموافق 22/9/2026 بدلا من يوم الثلاثاء الموافق 15/09/2026 لصالح الشركة الكويتية لتزويد الطائرات بالوقود وفقاً للشروط والمواصفات المعتمدة في وثائق الطرح.</t>
        </is>
      </c>
      <c r="F5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52" s="14" t="inlineStr">
        <is>
          <t>عام</t>
        </is>
      </c>
      <c r="H52" s="14" t="inlineStr">
        <is>
          <t>0.0%</t>
        </is>
      </c>
      <c r="I52" s="14" t="inlineStr">
        <is>
          <t>government</t>
        </is>
      </c>
      <c r="J52" s="14" t="inlineStr">
        <is>
          <t>2026-09-27</t>
        </is>
      </c>
      <c r="K52" s="14" t="inlineStr">
        <is>
          <t>2026-09-22</t>
        </is>
      </c>
      <c r="L52" s="14" t="inlineStr">
        <is>
          <t>-</t>
        </is>
      </c>
      <c r="M52" s="14" t="inlineStr">
        <is>
          <t>-</t>
        </is>
      </c>
      <c r="N52" s="25" t="inlineStr">
        <is>
          <t>NEW</t>
        </is>
      </c>
      <c r="O52" s="14" t="inlineStr">
        <is>
          <t>غير متوافقة مع اختصاصات KBM</t>
        </is>
      </c>
      <c r="P52" s="22">
        <f>HYPERLINK("https://kuwaitalyawm.media.gov.kw/Online/ViewAdsHTML?id=171722&amp;no=1", "عرض المصدر")</f>
        <v/>
      </c>
    </row>
    <row r="53">
      <c r="A53" s="11" t="inlineStr">
        <is>
          <t>PR 901782</t>
        </is>
      </c>
      <c r="B53" s="11" t="inlineStr">
        <is>
          <t>شركة البترول الكويتية العالمية</t>
        </is>
      </c>
      <c r="C53" s="11" t="inlineStr">
        <is>
          <t>Eiman Ashkanani</t>
        </is>
      </c>
      <c r="D53" s="11" t="inlineStr">
        <is>
          <t>مناقصة رقم PR 901782 - شركة البترول الكويتية العالمية</t>
        </is>
      </c>
      <c r="E53" s="11" t="inlineStr">
        <is>
          <t>أعمال وتوريدات مناقصة رقم PR 901782 لصالح شركة البترول الكويتية العالمية وفقاً للشروط والمواصفات المعتمدة في وثائق الطرح.</t>
        </is>
      </c>
      <c r="F5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53" s="12" t="inlineStr">
        <is>
          <t>عام</t>
        </is>
      </c>
      <c r="H53" s="12" t="inlineStr">
        <is>
          <t>28.0%</t>
        </is>
      </c>
      <c r="I53" s="12" t="inlineStr">
        <is>
          <t>government</t>
        </is>
      </c>
      <c r="J53" s="12" t="inlineStr">
        <is>
          <t>2026-09-27</t>
        </is>
      </c>
      <c r="K53" s="12" t="inlineStr">
        <is>
          <t>2026-10-27</t>
        </is>
      </c>
      <c r="L53" s="12" t="inlineStr">
        <is>
          <t>15000.0</t>
        </is>
      </c>
      <c r="M53" s="12" t="inlineStr">
        <is>
          <t>-</t>
        </is>
      </c>
      <c r="N53" s="25" t="inlineStr">
        <is>
          <t>NEW</t>
        </is>
      </c>
      <c r="O53" s="12" t="inlineStr">
        <is>
          <t>غير متوافقة مع اختصاصات KBM</t>
        </is>
      </c>
      <c r="P53" s="23">
        <f>HYPERLINK("https://kuwaitalyawm.media.gov.kw/Online/ViewAdsHTML?id=171723&amp;no=1", "عرض المصدر")</f>
        <v/>
      </c>
    </row>
    <row r="54">
      <c r="A54" s="13" t="inlineStr">
        <is>
          <t>CA/CPC/0964</t>
        </is>
      </c>
      <c r="B54" s="13" t="inlineStr">
        <is>
          <t>شركة البترول الوطنية الكويتية</t>
        </is>
      </c>
      <c r="C54" s="13" t="inlineStr">
        <is>
          <t>Abrar Al-Qallaf</t>
        </is>
      </c>
      <c r="D54" s="13" t="inlineStr">
        <is>
          <t>ممارسة رقم CA/CPC/0964: توريد مواد ومهمات تشغيلية لزوم شركة البترول الوطنية الكويتية - شركة البترول الوطنية الكويتية</t>
        </is>
      </c>
      <c r="E54" s="13" t="inlineStr">
        <is>
          <t>أعمال وتوريدات تخصصية لزوم شركة البترول الوطنية الكويتية حسب وثائق الممارسة رقم CA/CPC/0964 عبر منصة K-Tendering.</t>
        </is>
      </c>
      <c r="F54" s="13" t="inlineStr">
        <is>
          <t>وفقاً لشروط وإجراءات المناقصات والتوريد لدى شركة البترول الوطنية الكويتية (KNPC) عبر منصة K-Tendering.</t>
        </is>
      </c>
      <c r="G54" s="14" t="inlineStr">
        <is>
          <t>عام</t>
        </is>
      </c>
      <c r="H54" s="14" t="inlineStr">
        <is>
          <t>15.0%</t>
        </is>
      </c>
      <c r="I54" s="14" t="inlineStr">
        <is>
          <t>oil_and_gas</t>
        </is>
      </c>
      <c r="J54" s="14" t="inlineStr">
        <is>
          <t>2026-09-06</t>
        </is>
      </c>
      <c r="K54" s="14" t="inlineStr">
        <is>
          <t>-</t>
        </is>
      </c>
      <c r="L54" s="14" t="inlineStr">
        <is>
          <t>-</t>
        </is>
      </c>
      <c r="M54" s="14" t="inlineStr">
        <is>
          <t>-</t>
        </is>
      </c>
      <c r="N54" s="25" t="inlineStr">
        <is>
          <t>NEW</t>
        </is>
      </c>
      <c r="O54" s="14" t="inlineStr">
        <is>
          <t>غير متوافقة</t>
        </is>
      </c>
      <c r="P54" s="22">
        <f>HYPERLINK("https://kuwaitalyawm.media.gov.kw/Online/ViewAdsHTML?id=171736&amp;no=1", "عرض المصدر")</f>
        <v/>
      </c>
    </row>
    <row r="55">
      <c r="A55" s="11" t="inlineStr">
        <is>
          <t>RFQ/2167273</t>
        </is>
      </c>
      <c r="B55" s="11" t="inlineStr">
        <is>
          <t>شركة البترول الوطنية الكويتية</t>
        </is>
      </c>
      <c r="C55" s="11" t="inlineStr">
        <is>
          <t>Abrar Al-Qallaf</t>
        </is>
      </c>
      <c r="D55" s="11" t="inlineStr">
        <is>
          <t>ممارسة رقم RFQ/2167273: توريد مواد ومهمات تشغيلية لزوم شركة البترول الوطنية الكويتية - شركة البترول الوطنية الكويتية</t>
        </is>
      </c>
      <c r="E55" s="11" t="inlineStr">
        <is>
          <t>أعمال وتوريدات تخصصية لزوم شركة البترول الوطنية الكويتية حسب وثائق الممارسة رقم RFQ/2167273 عبر منصة K-Tendering.</t>
        </is>
      </c>
      <c r="F55" s="11" t="inlineStr">
        <is>
          <t>وفقاً لشروط وإجراءات المناقصات والتوريد لدى شركة البترول الوطنية الكويتية (KNPC) عبر منصة K-Tendering.</t>
        </is>
      </c>
      <c r="G55" s="12" t="inlineStr">
        <is>
          <t>عام</t>
        </is>
      </c>
      <c r="H55" s="12" t="inlineStr">
        <is>
          <t>15.0%</t>
        </is>
      </c>
      <c r="I55" s="12" t="inlineStr">
        <is>
          <t>oil_and_gas</t>
        </is>
      </c>
      <c r="J55" s="12" t="inlineStr">
        <is>
          <t>2026-09-27</t>
        </is>
      </c>
      <c r="K55" s="12" t="inlineStr">
        <is>
          <t>2026-09-27</t>
        </is>
      </c>
      <c r="L55" s="12" t="inlineStr">
        <is>
          <t>5000.0</t>
        </is>
      </c>
      <c r="M55" s="12" t="inlineStr">
        <is>
          <t>-</t>
        </is>
      </c>
      <c r="N55" s="25" t="inlineStr">
        <is>
          <t>NEW</t>
        </is>
      </c>
      <c r="O55" s="12" t="inlineStr">
        <is>
          <t>غير متوافقة</t>
        </is>
      </c>
      <c r="P55" s="23">
        <f>HYPERLINK("https://kuwaitalyawm.media.gov.kw/Online/ViewAdsHTML?id=171743&amp;no=1", "عرض المصدر")</f>
        <v/>
      </c>
    </row>
    <row r="56">
      <c r="A56" s="13" t="inlineStr">
        <is>
          <t>RFQ/2167277</t>
        </is>
      </c>
      <c r="B56" s="13" t="inlineStr">
        <is>
          <t>شركة البترول الوطنية الكويتية</t>
        </is>
      </c>
      <c r="C56" s="13" t="inlineStr">
        <is>
          <t>Abrar Al-Qallaf</t>
        </is>
      </c>
      <c r="D56" s="13" t="inlineStr">
        <is>
          <t>ممارسة رقم RFQ/2167277: توريد مواد ومهمات تشغيلية لزوم شركة البترول الوطنية الكويتية - شركة البترول الوطنية الكويتية</t>
        </is>
      </c>
      <c r="E56" s="13" t="inlineStr">
        <is>
          <t>أعمال وتوريدات تخصصية لزوم شركة البترول الوطنية الكويتية حسب وثائق الممارسة رقم RFQ/2167277 عبر منصة K-Tendering.</t>
        </is>
      </c>
      <c r="F56" s="13" t="inlineStr">
        <is>
          <t>وفقاً لشروط وإجراءات المناقصات والتوريد لدى شركة البترول الوطنية الكويتية (KNPC) عبر منصة K-Tendering.</t>
        </is>
      </c>
      <c r="G56" s="14" t="inlineStr">
        <is>
          <t>عام</t>
        </is>
      </c>
      <c r="H56" s="14" t="inlineStr">
        <is>
          <t>15.0%</t>
        </is>
      </c>
      <c r="I56" s="14" t="inlineStr">
        <is>
          <t>oil_and_gas</t>
        </is>
      </c>
      <c r="J56" s="14" t="inlineStr">
        <is>
          <t>2026-09-27</t>
        </is>
      </c>
      <c r="K56" s="14" t="inlineStr">
        <is>
          <t>2026-12-28</t>
        </is>
      </c>
      <c r="L56" s="14" t="inlineStr">
        <is>
          <t>1000.0</t>
        </is>
      </c>
      <c r="M56" s="14" t="inlineStr">
        <is>
          <t>100.0</t>
        </is>
      </c>
      <c r="N56" s="25" t="inlineStr">
        <is>
          <t>NEW</t>
        </is>
      </c>
      <c r="O56" s="14" t="inlineStr">
        <is>
          <t>غير متوافقة</t>
        </is>
      </c>
      <c r="P56" s="22">
        <f>HYPERLINK("https://kuwaitalyawm.media.gov.kw/Online/ViewAdsHTML?id=171744&amp;no=1", "عرض المصدر")</f>
        <v/>
      </c>
    </row>
    <row r="57">
      <c r="A57" s="11" t="inlineStr">
        <is>
          <t>RFQ/2163705</t>
        </is>
      </c>
      <c r="B57" s="11" t="inlineStr">
        <is>
          <t>شركة البترول الوطنية الكويتية</t>
        </is>
      </c>
      <c r="C57" s="11" t="inlineStr">
        <is>
          <t>Abrar Al-Qallaf</t>
        </is>
      </c>
      <c r="D57" s="11" t="inlineStr">
        <is>
          <t>ممارسة رقم RFQ/2163705: توريد مواد ومهمات تشغيلية لزوم شركة البترول الوطنية الكويتية - شركة البترول الوطنية الكويتية</t>
        </is>
      </c>
      <c r="E57" s="11" t="inlineStr">
        <is>
          <t>أعمال وتوريدات تخصصية لزوم شركة البترول الوطنية الكويتية حسب وثائق الممارسة رقم RFQ/2163705 عبر منصة K-Tendering.</t>
        </is>
      </c>
      <c r="F57" s="11" t="inlineStr">
        <is>
          <t>وفقاً لشروط وإجراءات المناقصات والتوريد لدى شركة البترول الوطنية الكويتية (KNPC) عبر منصة K-Tendering.</t>
        </is>
      </c>
      <c r="G57" s="12" t="inlineStr">
        <is>
          <t>عام</t>
        </is>
      </c>
      <c r="H57" s="12" t="inlineStr">
        <is>
          <t>15.0%</t>
        </is>
      </c>
      <c r="I57" s="12" t="inlineStr">
        <is>
          <t>oil_and_gas</t>
        </is>
      </c>
      <c r="J57" s="12" t="inlineStr">
        <is>
          <t>2026-08-30</t>
        </is>
      </c>
      <c r="K57" s="12" t="inlineStr">
        <is>
          <t>2026-10-05</t>
        </is>
      </c>
      <c r="L57" s="12" t="inlineStr">
        <is>
          <t>-</t>
        </is>
      </c>
      <c r="M57" s="12" t="inlineStr">
        <is>
          <t>-</t>
        </is>
      </c>
      <c r="N57" s="25" t="inlineStr">
        <is>
          <t>NEW</t>
        </is>
      </c>
      <c r="O57" s="12" t="inlineStr">
        <is>
          <t>غير متوافقة</t>
        </is>
      </c>
      <c r="P57" s="23">
        <f>HYPERLINK("https://kuwaitalyawm.media.gov.kw/Online/ViewAdsHTML?id=171745&amp;no=1", "عرض المصدر")</f>
        <v/>
      </c>
    </row>
    <row r="58">
      <c r="A58" s="13" t="inlineStr">
        <is>
          <t>2027/2026/24</t>
        </is>
      </c>
      <c r="B58" s="13" t="inlineStr">
        <is>
          <t>وزارة الداخلية</t>
        </is>
      </c>
      <c r="C58" s="13" t="inlineStr">
        <is>
          <t>Khaled Alabdallah</t>
        </is>
      </c>
      <c r="D58" s="13" t="inlineStr">
        <is>
          <t>مناقصة رقم 2027/2026/24: توريد وتركيب وتشغيل وصيانة وضمان مع تنفيذ مشروع منظومة مركز اتصال العمليات (112) للإدارة العامة لهندسة الاتصالات.</t>
        </is>
      </c>
      <c r="E58" s="13" t="inlineStr">
        <is>
          <t>تنفيذ أعمال توريد وتركيب وتشغيل وصيانة وضمان مع تنفيذ مشروع منظومة مركز اتصال العمليات (112) للإدارة العامة لهندسة الاتصالات.، وتوفير كافة الأجهزة والمعدات والأنظمة وخدمات الدعم الفني والضمان وفقاً لكراسة الشروط والمواصفات الفنية.</t>
        </is>
      </c>
      <c r="F5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58" s="24" t="inlineStr">
        <is>
          <t>قطاع العمليات المدارة والدعم الفني متعدد الموردين</t>
        </is>
      </c>
      <c r="H58" s="14" t="inlineStr">
        <is>
          <t>85.0%</t>
        </is>
      </c>
      <c r="I58" s="14" t="inlineStr">
        <is>
          <t>government</t>
        </is>
      </c>
      <c r="J58" s="14" t="inlineStr">
        <is>
          <t>2026-09-20</t>
        </is>
      </c>
      <c r="K58" s="14" t="inlineStr">
        <is>
          <t>2026-11-11</t>
        </is>
      </c>
      <c r="L58" s="14" t="inlineStr">
        <is>
          <t>1000.0</t>
        </is>
      </c>
      <c r="M58" s="14" t="inlineStr">
        <is>
          <t>-</t>
        </is>
      </c>
      <c r="N58" s="25" t="inlineStr">
        <is>
          <t>NEW</t>
        </is>
      </c>
      <c r="O58" s="14" t="inlineStr">
        <is>
          <t>فرصة استراتيجية رئيسية (موصى بالتقديم)</t>
        </is>
      </c>
      <c r="P58" s="22">
        <f>HYPERLINK("https://kuwaitalyawm.media.gov.kw/Online/ViewAdsHTML?id=170975&amp;no=1", "عرض المصدر")</f>
        <v/>
      </c>
    </row>
    <row r="59">
      <c r="A59" s="11" t="inlineStr">
        <is>
          <t>241121234261</t>
        </is>
      </c>
      <c r="B59" s="11" t="inlineStr">
        <is>
          <t>وزارة الدفاع</t>
        </is>
      </c>
      <c r="C59" s="11" t="inlineStr">
        <is>
          <t>Eiman Ashkanani</t>
        </is>
      </c>
      <c r="D59" s="11" t="inlineStr">
        <is>
          <t>مناقصة رقم 241121234261: لتوريد إطارات للآليات العسكرية الثقيلة والخفيفة لمدة سنة</t>
        </is>
      </c>
      <c r="E59" s="11" t="inlineStr">
        <is>
          <t>أعمال وتوريدات لتوريد إطارات للآليات العسكرية الثقيلة والخفيفة لمدة سنة لصالح وزارة الدفاع وفقاً للشروط والمواصفات المعتمدة في وثائق الطرح.</t>
        </is>
      </c>
      <c r="F59" s="11" t="inlineStr">
        <is>
          <t>• 1/ تقديم كتاب تفويض من الشركة بشراء وثائق المناقصة.
• 2/ تقديم صورة عن شهادة دعم العمالة الوطنية لدى الشركات غير الحكومية ( السنوية).</t>
        </is>
      </c>
      <c r="G59" s="12" t="inlineStr">
        <is>
          <t>عام</t>
        </is>
      </c>
      <c r="H59" s="12" t="inlineStr">
        <is>
          <t>15.0%</t>
        </is>
      </c>
      <c r="I59" s="12" t="inlineStr">
        <is>
          <t>government</t>
        </is>
      </c>
      <c r="J59" s="12" t="inlineStr">
        <is>
          <t>2026-09-20</t>
        </is>
      </c>
      <c r="K59" s="12" t="inlineStr">
        <is>
          <t>-</t>
        </is>
      </c>
      <c r="L59" s="12" t="inlineStr">
        <is>
          <t>14000.0</t>
        </is>
      </c>
      <c r="M59" s="12" t="inlineStr">
        <is>
          <t>1000.0</t>
        </is>
      </c>
      <c r="N59" s="25" t="inlineStr">
        <is>
          <t>NEW</t>
        </is>
      </c>
      <c r="O59" s="12" t="inlineStr">
        <is>
          <t>غير متوافقة مع اختصاصات KBM</t>
        </is>
      </c>
      <c r="P59" s="23">
        <f>HYPERLINK("https://kuwaitalyawm.media.gov.kw/Online/ViewAdsHTML?id=170978&amp;no=1", "عرض المصدر")</f>
        <v/>
      </c>
    </row>
    <row r="60">
      <c r="A60" s="13" t="inlineStr">
        <is>
          <t>241113235253</t>
        </is>
      </c>
      <c r="B60" s="13" t="inlineStr">
        <is>
          <t>وزارة الدفاع</t>
        </is>
      </c>
      <c r="C60" s="13" t="inlineStr">
        <is>
          <t>Eiman Ashkanani</t>
        </is>
      </c>
      <c r="D60" s="13" t="inlineStr">
        <is>
          <t>مناقصة رقم 241113235253: لإصلاح وصيانة القاطرات والمقطورات</t>
        </is>
      </c>
      <c r="E60" s="13" t="inlineStr">
        <is>
          <t>أعمال وتوريدات لإصلاح وصيانة القاطرات والمقطورات لصالح وزارة الدفاع وفقاً للشروط والمواصفات المعتمدة في وثائق الطرح.</t>
        </is>
      </c>
      <c r="F60" s="13" t="inlineStr">
        <is>
          <t>• كتاب تفويض من الشركة / المؤسسة بشراء الوثائق .
• أن تكون الشركة / المؤسسة متخصصة فى هذا المجال مع تقديم الأوراق الدالة على نشاطه .
• تقديم صورة عن شهادة دعم العمالة الوطنية السنوية لدى الشركات غير الحكومية شريطة أن تكون سارية .
• سداد الرسوم المقررة لشراء وثائق المناقصة عن طريق (K-NET ) .</t>
        </is>
      </c>
      <c r="G60" s="14" t="inlineStr">
        <is>
          <t>عام</t>
        </is>
      </c>
      <c r="H60" s="14" t="inlineStr">
        <is>
          <t>15.0%</t>
        </is>
      </c>
      <c r="I60" s="14" t="inlineStr">
        <is>
          <t>government</t>
        </is>
      </c>
      <c r="J60" s="14" t="inlineStr">
        <is>
          <t>2026-09-20</t>
        </is>
      </c>
      <c r="K60" s="14" t="inlineStr">
        <is>
          <t>2026-10-04</t>
        </is>
      </c>
      <c r="L60" s="14" t="inlineStr">
        <is>
          <t>2.0</t>
        </is>
      </c>
      <c r="M60" s="14" t="inlineStr">
        <is>
          <t>1000.0</t>
        </is>
      </c>
      <c r="N60" s="25" t="inlineStr">
        <is>
          <t>NEW</t>
        </is>
      </c>
      <c r="O60" s="14" t="inlineStr">
        <is>
          <t>غير متوافقة مع اختصاصات KBM</t>
        </is>
      </c>
      <c r="P60" s="22">
        <f>HYPERLINK("https://kuwaitalyawm.media.gov.kw/Online/ViewAdsHTML?id=170979&amp;no=1", "عرض المصدر")</f>
        <v/>
      </c>
    </row>
    <row r="61">
      <c r="A61" s="11" t="inlineStr">
        <is>
          <t>2027/2026/18</t>
        </is>
      </c>
      <c r="B61" s="11" t="inlineStr">
        <is>
          <t>وزارة الداخلية</t>
        </is>
      </c>
      <c r="C61" s="11" t="inlineStr">
        <is>
          <t>Khaled Alabdallah</t>
        </is>
      </c>
      <c r="D61" s="11" t="inlineStr">
        <is>
          <t>مناقصة رقم 2027/2026/18: توريد المواد الكيميائية ـ الطلبية السنوية للسنة المالية</t>
        </is>
      </c>
      <c r="E61" s="11" t="inlineStr">
        <is>
          <t>أعمال وتوريدات توريد المواد الكيميائية ـ الطلبية السنوية للسنة المالية لصالح وزارة الداخلية وفقاً للشروط والمواصفات المعتمدة في وثائق الطرح.</t>
        </is>
      </c>
      <c r="F6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61" s="12" t="inlineStr">
        <is>
          <t>عام</t>
        </is>
      </c>
      <c r="H61" s="12" t="inlineStr">
        <is>
          <t>15.0%</t>
        </is>
      </c>
      <c r="I61" s="12" t="inlineStr">
        <is>
          <t>government</t>
        </is>
      </c>
      <c r="J61" s="12" t="inlineStr">
        <is>
          <t>2026-09-06</t>
        </is>
      </c>
      <c r="K61" s="12" t="inlineStr">
        <is>
          <t>2026-10-12</t>
        </is>
      </c>
      <c r="L61" s="12" t="inlineStr">
        <is>
          <t>-</t>
        </is>
      </c>
      <c r="M61" s="12" t="inlineStr">
        <is>
          <t>-</t>
        </is>
      </c>
      <c r="N61" s="25" t="inlineStr">
        <is>
          <t>NEW</t>
        </is>
      </c>
      <c r="O61" s="12" t="inlineStr">
        <is>
          <t>غير متوافقة مع اختصاصات KBM</t>
        </is>
      </c>
      <c r="P61" s="23">
        <f>HYPERLINK("https://kuwaitalyawm.media.gov.kw/Online/ViewAdsHTML?id=169855&amp;no=1", "عرض المصدر")</f>
        <v/>
      </c>
    </row>
    <row r="62">
      <c r="A62" s="13" t="inlineStr">
        <is>
          <t>2027/2026/33</t>
        </is>
      </c>
      <c r="B62" s="13" t="inlineStr">
        <is>
          <t>وزارة الداخلية</t>
        </is>
      </c>
      <c r="C62" s="13" t="inlineStr">
        <is>
          <t>Khaled Alabdallah</t>
        </is>
      </c>
      <c r="D62" s="13" t="inlineStr">
        <is>
          <t>مناقصة رقم 2027/2026/33 - وزارة الداخلية</t>
        </is>
      </c>
      <c r="E62" s="13" t="inlineStr">
        <is>
          <t>أعمال وتوريدات مناقصة رقم 2027/2026/33 لصالح وزارة الداخلية وفقاً للشروط والمواصفات المعتمدة في وثائق الطرح.</t>
        </is>
      </c>
      <c r="F6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62" s="14" t="inlineStr">
        <is>
          <t>عام</t>
        </is>
      </c>
      <c r="H62" s="14" t="inlineStr">
        <is>
          <t>15.0%</t>
        </is>
      </c>
      <c r="I62" s="14" t="inlineStr">
        <is>
          <t>government</t>
        </is>
      </c>
      <c r="J62" s="14" t="inlineStr">
        <is>
          <t>2026-09-13</t>
        </is>
      </c>
      <c r="K62" s="14" t="inlineStr">
        <is>
          <t>2026-11-09</t>
        </is>
      </c>
      <c r="L62" s="14" t="inlineStr">
        <is>
          <t>-</t>
        </is>
      </c>
      <c r="M62" s="14" t="inlineStr">
        <is>
          <t>75.0</t>
        </is>
      </c>
      <c r="N62" s="25" t="inlineStr">
        <is>
          <t>NEW</t>
        </is>
      </c>
      <c r="O62" s="14" t="inlineStr">
        <is>
          <t>غير متوافقة مع اختصاصات KBM</t>
        </is>
      </c>
      <c r="P62" s="22">
        <f>HYPERLINK("https://kuwaitalyawm.media.gov.kw/Online/ViewAdsHTML?id=169856&amp;no=1", "عرض المصدر")</f>
        <v/>
      </c>
    </row>
    <row r="63">
      <c r="A63" s="11" t="inlineStr">
        <is>
          <t>2027/2026/1529</t>
        </is>
      </c>
      <c r="B63" s="11" t="inlineStr">
        <is>
          <t>المؤسسة العامة للرعاية السكنية</t>
        </is>
      </c>
      <c r="C63" s="11" t="inlineStr">
        <is>
          <t>Eiman Ashkanani</t>
        </is>
      </c>
      <c r="D63" s="11" t="inlineStr">
        <is>
          <t>مناقصة رقم 2027/2026/1529 - المؤسسة العامة للرعاية السكنية</t>
        </is>
      </c>
      <c r="E63" s="11" t="inlineStr">
        <is>
          <t>أعمال وتوريدات مناقصة رقم 2027/2026/1529 لصالح المؤسسة العامة للرعاية السكنية وفقاً للشروط والمواصفات المعتمدة في وثائق الطرح.</t>
        </is>
      </c>
      <c r="F63" s="11" t="inlineStr">
        <is>
          <t>• - ورقتا صيغة العطاء وإجمالي قيمة العطاء (نسخاً أصلية) مستكملة البيانات ومختومة وموقعة.</t>
        </is>
      </c>
      <c r="G63" s="12" t="inlineStr">
        <is>
          <t>عام</t>
        </is>
      </c>
      <c r="H63" s="12" t="inlineStr">
        <is>
          <t>0.0%</t>
        </is>
      </c>
      <c r="I63" s="12" t="inlineStr">
        <is>
          <t>government</t>
        </is>
      </c>
      <c r="J63" s="12" t="inlineStr">
        <is>
          <t>2026-09-13</t>
        </is>
      </c>
      <c r="K63" s="12" t="inlineStr">
        <is>
          <t>-</t>
        </is>
      </c>
      <c r="L63" s="12" t="inlineStr">
        <is>
          <t>6000.0</t>
        </is>
      </c>
      <c r="M63" s="12" t="inlineStr">
        <is>
          <t>150.0</t>
        </is>
      </c>
      <c r="N63" s="25" t="inlineStr">
        <is>
          <t>NEW</t>
        </is>
      </c>
      <c r="O63" s="12" t="inlineStr">
        <is>
          <t>غير متوافقة مع اختصاصات KBM</t>
        </is>
      </c>
      <c r="P63" s="23">
        <f>HYPERLINK("https://kuwaitalyawm.media.gov.kw/Online/ViewAdsHTML?id=170492&amp;no=1", "عرض المصدر")</f>
        <v/>
      </c>
    </row>
    <row r="64">
      <c r="A64" s="13" t="inlineStr">
        <is>
          <t>2027/2026/1526</t>
        </is>
      </c>
      <c r="B64" s="13" t="inlineStr">
        <is>
          <t>المؤسسة العامة للرعاية السكنية</t>
        </is>
      </c>
      <c r="C64" s="13" t="inlineStr">
        <is>
          <t>Eiman Ashkanani</t>
        </is>
      </c>
      <c r="D64" s="13" t="inlineStr">
        <is>
          <t>مناقصة رقم 2027/2026/1526 - المؤسسة العامة للرعاية السكنية</t>
        </is>
      </c>
      <c r="E64" s="13" t="inlineStr">
        <is>
          <t>أعمال وتوريدات مناقصة رقم 2027/2026/1526 لصالح المؤسسة العامة للرعاية السكنية وفقاً للشروط والمواصفات المعتمدة في وثائق الطرح.</t>
        </is>
      </c>
      <c r="F64" s="13" t="inlineStr">
        <is>
          <t>• - ورقتا صيغة العطاء وإجمالي قيمة العطاء (نسخاً أصلية) مستكملة البيانات ومختومة وموقعة.
• - التأمين الأولي (الكفالة الأولية)
• - شهادة استيفاء نسبة العمالة الوطنية الصادرة من قبل الهيئة العامة للقوى العاملة سارية المفعول، علما بأنه سيتم استبعاد العطاءات التي لا تتضمن تلك الشهادة.
• ثالثا: مستندات التأهيل (الأسس والمعايير):
• المستندات الفنية المطلوبة: -
• (1) أن يكون لدى المناقص خبرة سابقة مشابهة لطبيعة أعمال المناقصة المطروحة وأنه نفذ أعمال خلال العشر سنوات الأخيرة في مجال الاختصاص عن طريق الجهاز المركزي للمناقصات العامة أو الجهات الحكومية أو المؤسسات التابعة للحكومة بدولة الكويت.
• - مشروع لا تقل قيمته عن (250,000) مئتان وخمسون الفاً دينار كويتي متضمنة:
•  نسخة موثقة من وثيقة المشروع المنفذ موضحا به قيمة العقد ومدته التنفيذية، وشهادة الإنجاز صادرة من قبل الجهة التي تم التعاقد معها لتنفيذ الاعمال لنفس المشروع.
• المستندات المالية:
• - يجب ألا تقل قيمة رأس مال الشركة عن (1,000,000) دينار كويتي أو ما يعادلها بالعملات الأخرى مدعمة بمستندات ثبوتية.
• - على الشركة تقديم البيانات المالية الكاملة (قائمة الدخل الميزانية العمومية، قائمة التدفق النقدي) للشركة عن آخر (3) سنوات معتمدة من مكتب تدقيق ومصدقة من وزارة التجارة والصناعة. وسيتم التقييم المالي للشركات المتقدمة / المناقصين بناء على ما ورد في في المستند رقم (6) بالوثيقة رقم( 4-7) الشروط والمتطلبات الواجب توافرها في مقدم العطاء (الوضع المالي) .
• - على الشركة تقديم شهادات من البنوك التي يتعامل معها المناقص تبين وضعه المالي ومدى استعداد البنوك لتقديم تسهيلات له وعلى ان تكون الشهادات سارية المفعول وصادره خلال سنة طرح المناقصة.
• رابعاً: القواعد والشروط: -
• 1. يجب على المناقص تقديم عدد (1) نسخة ورقية أصلية من جداول الكميات وعدد (3) نسخ الكترونية وبحيث تكون كل نسخة كاملة على فلاش ميموري .
• 2. يجب أن تكون جميع المستندات والبيانات المقدمة من قبل الشركات والمؤسسات واضحة ومتسلسلة.
• 3. يحق للمؤسسة العامة للرعاية السكنية طلب أي نسخة أصلية للتأكد من مطابقتها لنسخ المستندات المرفقة.
• 4. يجب على المناقص تقديم إقرار وتعهد على صحة المعلومات والبيانات المقدمة مع تقديم العطاء.
• 6. ستخضع جميع المستندات المالية والقانونية للدراسة والتحليل المالي لتقييم القدرة المالية للشركة ومدى قابليتها للمشاركة بالمناقصة، وللمؤسسة العامة للرعاية السكنية الحق في رفض أي طلب إذا لم يكن مستوفي لشروط المناقصة.
• يعتبر هذا الاعلان جزء لا يتجزأ من وثائق المناقصة.
• المدير العام</t>
        </is>
      </c>
      <c r="G64" s="14" t="inlineStr">
        <is>
          <t>عام</t>
        </is>
      </c>
      <c r="H64" s="14" t="inlineStr">
        <is>
          <t>28.0%</t>
        </is>
      </c>
      <c r="I64" s="14" t="inlineStr">
        <is>
          <t>government</t>
        </is>
      </c>
      <c r="J64" s="14" t="inlineStr">
        <is>
          <t>2026-09-13</t>
        </is>
      </c>
      <c r="K64" s="14" t="inlineStr">
        <is>
          <t>2026-10-11</t>
        </is>
      </c>
      <c r="L64" s="14" t="inlineStr">
        <is>
          <t>10000.0</t>
        </is>
      </c>
      <c r="M64" s="14" t="inlineStr">
        <is>
          <t>300.0</t>
        </is>
      </c>
      <c r="N64" s="25" t="inlineStr">
        <is>
          <t>NEW</t>
        </is>
      </c>
      <c r="O64" s="14" t="inlineStr">
        <is>
          <t>غير متوافقة مع اختصاصات KBM</t>
        </is>
      </c>
      <c r="P64" s="22">
        <f>HYPERLINK("https://kuwaitalyawm.media.gov.kw/Online/ViewAdsHTML?id=170493&amp;no=1", "عرض المصدر")</f>
        <v/>
      </c>
    </row>
    <row r="65">
      <c r="A65" s="11" t="inlineStr">
        <is>
          <t>2026/09/07</t>
        </is>
      </c>
      <c r="B65" s="11" t="inlineStr">
        <is>
          <t>شركة إدارة المرافق العمومية</t>
        </is>
      </c>
      <c r="C65" s="11" t="inlineStr">
        <is>
          <t>Eiman Ashkanani</t>
        </is>
      </c>
      <c r="D65" s="11" t="inlineStr">
        <is>
          <t>مناقصة رقم 2026/09/07: بخصـوص القيام بأعمال الصيانة والإصلاح وإعادة التأهيل</t>
        </is>
      </c>
      <c r="E65" s="11" t="inlineStr">
        <is>
          <t>أعمال وتوريدات بخصـوص القيام بأعمال الصيانة والإصلاح وإعادة التأهيل لصالح شركة إدارة المرافق العمومية وفقاً للشروط والمواصفات المعتمدة في وثائق الطرح.</t>
        </is>
      </c>
      <c r="F65" s="11" t="inlineStr">
        <is>
          <t>• علماً بأنه آخر موعد لتقديم العطاءات يوم الخميس الموافـق 08/10/2026 الساعة الواحدة ظهراً  وسيتم عقد اجتماع تمهيدي يوم الأحد الموافق 27/09/2026 الساعة 10:00 صباحاً بمقر الشركة.</t>
        </is>
      </c>
      <c r="G65" s="12" t="inlineStr">
        <is>
          <t>عام</t>
        </is>
      </c>
      <c r="H65" s="12" t="inlineStr">
        <is>
          <t>0.0%</t>
        </is>
      </c>
      <c r="I65" s="12" t="inlineStr">
        <is>
          <t>government</t>
        </is>
      </c>
      <c r="J65" s="12" t="inlineStr">
        <is>
          <t>2026-09-13</t>
        </is>
      </c>
      <c r="K65" s="12" t="inlineStr">
        <is>
          <t>2026-10-08</t>
        </is>
      </c>
      <c r="L65" s="12" t="inlineStr">
        <is>
          <t>1500.0</t>
        </is>
      </c>
      <c r="M65" s="12" t="inlineStr">
        <is>
          <t>150.0</t>
        </is>
      </c>
      <c r="N65" s="25" t="inlineStr">
        <is>
          <t>NEW</t>
        </is>
      </c>
      <c r="O65" s="12" t="inlineStr">
        <is>
          <t>غير متوافقة مع اختصاصات KBM</t>
        </is>
      </c>
      <c r="P65" s="23">
        <f>HYPERLINK("https://kuwaitalyawm.media.gov.kw/Online/ViewAdsHTML?id=170505&amp;no=1", "عرض المصدر")</f>
        <v/>
      </c>
    </row>
    <row r="66">
      <c r="A66" s="13" t="inlineStr">
        <is>
          <t>CA CPC 4780</t>
        </is>
      </c>
      <c r="B66" s="13" t="inlineStr">
        <is>
          <t>شركة البترول الوطنية الكويتية</t>
        </is>
      </c>
      <c r="C66" s="13" t="inlineStr">
        <is>
          <t>Abrar Al-Qallaf</t>
        </is>
      </c>
      <c r="D66" s="13" t="inlineStr">
        <is>
          <t>ممارسة رقم CA CPC 4780: توريد مواد ومهمات تشغيلية لزوم شركة البترول الوطنية الكويتية - شركة البترول الوطنية الكويتية</t>
        </is>
      </c>
      <c r="E66" s="13" t="inlineStr">
        <is>
          <t>أعمال وتوريدات تخصصية لزوم شركة البترول الوطنية الكويتية حسب وثائق الممارسة رقم CA CPC 4780 عبر منصة K-Tendering.</t>
        </is>
      </c>
      <c r="F66" s="13" t="inlineStr">
        <is>
          <t>وفقاً لشروط وإجراءات المناقصات والتوريد لدى شركة البترول الوطنية الكويتية (KNPC) عبر منصة K-Tendering.</t>
        </is>
      </c>
      <c r="G66" s="14" t="inlineStr">
        <is>
          <t>عام</t>
        </is>
      </c>
      <c r="H66" s="14" t="inlineStr">
        <is>
          <t>15.0%</t>
        </is>
      </c>
      <c r="I66" s="14" t="inlineStr">
        <is>
          <t>oil_and_gas</t>
        </is>
      </c>
      <c r="J66" s="14" t="inlineStr">
        <is>
          <t>2026-09-13</t>
        </is>
      </c>
      <c r="K66" s="14" t="inlineStr">
        <is>
          <t>2026-12-17</t>
        </is>
      </c>
      <c r="L66" s="14" t="inlineStr">
        <is>
          <t>50000.0</t>
        </is>
      </c>
      <c r="M66" s="14" t="inlineStr">
        <is>
          <t>500.0</t>
        </is>
      </c>
      <c r="N66" s="25" t="inlineStr">
        <is>
          <t>NEW</t>
        </is>
      </c>
      <c r="O66" s="14" t="inlineStr">
        <is>
          <t>غير متوافقة</t>
        </is>
      </c>
      <c r="P66" s="22">
        <f>HYPERLINK("https://kuwaitalyawm.media.gov.kw/Online/ViewAdsHTML?id=170511&amp;no=1", "عرض المصدر")</f>
        <v/>
      </c>
    </row>
    <row r="67">
      <c r="A67" s="11" t="inlineStr">
        <is>
          <t>RFQ 1060201</t>
        </is>
      </c>
      <c r="B67" s="11" t="inlineStr">
        <is>
          <t>شركة البترول الوطنية الكويتية</t>
        </is>
      </c>
      <c r="C67" s="11" t="inlineStr">
        <is>
          <t>Abrar Al-Qallaf</t>
        </is>
      </c>
      <c r="D67" s="11" t="inlineStr">
        <is>
          <t>ممارسة رقم RFQ 1060201: توريد مواد ومهمات تشغيلية لزوم شركة البترول الوطنية الكويتية - شركة البترول الوطنية الكويتية</t>
        </is>
      </c>
      <c r="E67" s="11" t="inlineStr">
        <is>
          <t>أعمال وتوريدات تخصصية لزوم شركة البترول الوطنية الكويتية حسب وثائق الممارسة رقم RFQ 1060201 عبر منصة K-Tendering.</t>
        </is>
      </c>
      <c r="F67" s="11" t="inlineStr">
        <is>
          <t>وفقاً لشروط وإجراءات المناقصات والتوريد لدى شركة البترول الوطنية الكويتية (KNPC) عبر منصة K-Tendering.</t>
        </is>
      </c>
      <c r="G67" s="12" t="inlineStr">
        <is>
          <t>عام</t>
        </is>
      </c>
      <c r="H67" s="12" t="inlineStr">
        <is>
          <t>15.0%</t>
        </is>
      </c>
      <c r="I67" s="12" t="inlineStr">
        <is>
          <t>oil_and_gas</t>
        </is>
      </c>
      <c r="J67" s="12" t="inlineStr">
        <is>
          <t>2026-09-13</t>
        </is>
      </c>
      <c r="K67" s="12" t="inlineStr">
        <is>
          <t>2026-12-17</t>
        </is>
      </c>
      <c r="L67" s="12" t="inlineStr">
        <is>
          <t>1000.0</t>
        </is>
      </c>
      <c r="M67" s="12" t="inlineStr">
        <is>
          <t>100.0</t>
        </is>
      </c>
      <c r="N67" s="25" t="inlineStr">
        <is>
          <t>NEW</t>
        </is>
      </c>
      <c r="O67" s="12" t="inlineStr">
        <is>
          <t>غير متوافقة</t>
        </is>
      </c>
      <c r="P67" s="23">
        <f>HYPERLINK("https://kuwaitalyawm.media.gov.kw/Online/ViewAdsHTML?id=170512&amp;no=1", "عرض المصدر")</f>
        <v/>
      </c>
    </row>
    <row r="68">
      <c r="A68" s="13" t="inlineStr">
        <is>
          <t>RFQ 1063791</t>
        </is>
      </c>
      <c r="B68" s="13" t="inlineStr">
        <is>
          <t>شركة البترول الوطنية الكويتية</t>
        </is>
      </c>
      <c r="C68" s="13" t="inlineStr">
        <is>
          <t>Abrar Al-Qallaf</t>
        </is>
      </c>
      <c r="D68" s="13" t="inlineStr">
        <is>
          <t>ممارسة رقم RFQ 1063791: توريد مواد ومهمات تشغيلية لزوم شركة البترول الوطنية الكويتية - شركة البترول الوطنية الكويتية</t>
        </is>
      </c>
      <c r="E68" s="13" t="inlineStr">
        <is>
          <t>أعمال وتوريدات تخصصية لزوم شركة البترول الوطنية الكويتية حسب وثائق الممارسة رقم RFQ 1063791 عبر منصة K-Tendering.</t>
        </is>
      </c>
      <c r="F68" s="13" t="inlineStr">
        <is>
          <t>وفقاً لشروط وإجراءات المناقصات والتوريد لدى شركة البترول الوطنية الكويتية (KNPC) عبر منصة K-Tendering.</t>
        </is>
      </c>
      <c r="G68" s="14" t="inlineStr">
        <is>
          <t>عام</t>
        </is>
      </c>
      <c r="H68" s="14" t="inlineStr">
        <is>
          <t>15.0%</t>
        </is>
      </c>
      <c r="I68" s="14" t="inlineStr">
        <is>
          <t>oil_and_gas</t>
        </is>
      </c>
      <c r="J68" s="14" t="inlineStr">
        <is>
          <t>2026-09-13</t>
        </is>
      </c>
      <c r="K68" s="14" t="inlineStr">
        <is>
          <t>2026-12-17</t>
        </is>
      </c>
      <c r="L68" s="14" t="inlineStr">
        <is>
          <t>1000.0</t>
        </is>
      </c>
      <c r="M68" s="14" t="inlineStr">
        <is>
          <t>100.0</t>
        </is>
      </c>
      <c r="N68" s="25" t="inlineStr">
        <is>
          <t>NEW</t>
        </is>
      </c>
      <c r="O68" s="14" t="inlineStr">
        <is>
          <t>غير متوافقة</t>
        </is>
      </c>
      <c r="P68" s="22">
        <f>HYPERLINK("https://kuwaitalyawm.media.gov.kw/Online/ViewAdsHTML?id=170513&amp;no=1", "عرض المصدر")</f>
        <v/>
      </c>
    </row>
    <row r="69">
      <c r="A69" s="11" t="inlineStr">
        <is>
          <t>2026/1</t>
        </is>
      </c>
      <c r="B69" s="11" t="inlineStr">
        <is>
          <t>شركة ناقلات النفط الكويتية</t>
        </is>
      </c>
      <c r="C69" s="11" t="inlineStr">
        <is>
          <t>Ahmed Habib</t>
        </is>
      </c>
      <c r="D69" s="11" t="inlineStr">
        <is>
          <t>مناقصة رقم 2026/1: إعلان طرح المناقصة الخاصة بتقديم خدمات الانترنت</t>
        </is>
      </c>
      <c r="E69" s="11" t="inlineStr">
        <is>
          <t>أعمال وتوريدات إعلان طرح المناقصة الخاصة بتقديم خدمات الانترنت لصالح شركة ناقلات النفط الكويتية وفقاً للشروط والمواصفات المعتمدة في وثائق الطرح.</t>
        </is>
      </c>
      <c r="F6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69" s="12" t="inlineStr">
        <is>
          <t>عام</t>
        </is>
      </c>
      <c r="H69" s="12" t="inlineStr">
        <is>
          <t>0.0%</t>
        </is>
      </c>
      <c r="I69" s="12" t="inlineStr">
        <is>
          <t>government</t>
        </is>
      </c>
      <c r="J69" s="12" t="inlineStr">
        <is>
          <t>2026-09-13</t>
        </is>
      </c>
      <c r="K69" s="18" t="inlineStr">
        <is>
          <t>2026-10-20</t>
        </is>
      </c>
      <c r="L69" s="12" t="inlineStr">
        <is>
          <t>2500.0</t>
        </is>
      </c>
      <c r="M69" s="12" t="inlineStr">
        <is>
          <t>100.0</t>
        </is>
      </c>
      <c r="N69" s="25" t="inlineStr">
        <is>
          <t>NEW</t>
        </is>
      </c>
      <c r="O69" s="12" t="inlineStr">
        <is>
          <t>غير متوافقة مع اختصاصات KBM</t>
        </is>
      </c>
      <c r="P69" s="23">
        <f>HYPERLINK("https://kuwaitalyawm.media.gov.kw/Online/ViewAdsHTML?id=170514&amp;no=1", "عرض المصدر")</f>
        <v/>
      </c>
    </row>
    <row r="70">
      <c r="A70" s="13" t="inlineStr">
        <is>
          <t>RFQ/2163185</t>
        </is>
      </c>
      <c r="B70" s="13" t="inlineStr">
        <is>
          <t>شركة البترول الوطنية الكويتية</t>
        </is>
      </c>
      <c r="C70" s="13" t="inlineStr">
        <is>
          <t>Abrar Al-Qallaf</t>
        </is>
      </c>
      <c r="D70" s="13" t="inlineStr">
        <is>
          <t>ممارسة رقم RFQ/2163185: توريد مواد ومهمات تشغيلية لزوم شركة البترول الوطنية الكويتية - شركة البترول الوطنية الكويتية</t>
        </is>
      </c>
      <c r="E70" s="13" t="inlineStr">
        <is>
          <t>أعمال وتوريدات تخصصية لزوم شركة البترول الوطنية الكويتية حسب وثائق الممارسة رقم RFQ/2163185 عبر منصة K-Tendering.</t>
        </is>
      </c>
      <c r="F70" s="13" t="inlineStr">
        <is>
          <t>وفقاً لشروط وإجراءات المناقصات والتوريد لدى شركة البترول الوطنية الكويتية (KNPC) عبر منصة K-Tendering.</t>
        </is>
      </c>
      <c r="G70" s="14" t="inlineStr">
        <is>
          <t>عام</t>
        </is>
      </c>
      <c r="H70" s="14" t="inlineStr">
        <is>
          <t>15.0%</t>
        </is>
      </c>
      <c r="I70" s="14" t="inlineStr">
        <is>
          <t>oil_and_gas</t>
        </is>
      </c>
      <c r="J70" s="14" t="inlineStr">
        <is>
          <t>2026-09-13</t>
        </is>
      </c>
      <c r="K70" s="14" t="inlineStr">
        <is>
          <t>-</t>
        </is>
      </c>
      <c r="L70" s="14" t="inlineStr">
        <is>
          <t>-</t>
        </is>
      </c>
      <c r="M70" s="14" t="inlineStr">
        <is>
          <t>-</t>
        </is>
      </c>
      <c r="N70" s="25" t="inlineStr">
        <is>
          <t>NEW</t>
        </is>
      </c>
      <c r="O70" s="14" t="inlineStr">
        <is>
          <t>غير متوافقة</t>
        </is>
      </c>
      <c r="P70" s="22">
        <f>HYPERLINK("https://kuwaitalyawm.media.gov.kw/Online/ViewAdsHTML?id=170525&amp;no=1", "عرض المصدر")</f>
        <v/>
      </c>
    </row>
    <row r="71">
      <c r="A71" s="11" t="inlineStr">
        <is>
          <t>RFQ/2163729</t>
        </is>
      </c>
      <c r="B71" s="11" t="inlineStr">
        <is>
          <t>شركة البترول الوطنية الكويتية</t>
        </is>
      </c>
      <c r="C71" s="11" t="inlineStr">
        <is>
          <t>Abrar Al-Qallaf</t>
        </is>
      </c>
      <c r="D71" s="11" t="inlineStr">
        <is>
          <t>ممارسة رقم RFQ/2163729: توريد مواد ومهمات تشغيلية لزوم شركة البترول الوطنية الكويتية - شركة البترول الوطنية الكويتية</t>
        </is>
      </c>
      <c r="E71" s="11" t="inlineStr">
        <is>
          <t>أعمال وتوريدات تخصصية لزوم شركة البترول الوطنية الكويتية حسب وثائق الممارسة رقم RFQ/2163729 عبر منصة K-Tendering.</t>
        </is>
      </c>
      <c r="F71" s="11" t="inlineStr">
        <is>
          <t>وفقاً لشروط وإجراءات المناقصات والتوريد لدى شركة البترول الوطنية الكويتية (KNPC) عبر منصة K-Tendering.</t>
        </is>
      </c>
      <c r="G71" s="12" t="inlineStr">
        <is>
          <t>عام</t>
        </is>
      </c>
      <c r="H71" s="12" t="inlineStr">
        <is>
          <t>15.0%</t>
        </is>
      </c>
      <c r="I71" s="12" t="inlineStr">
        <is>
          <t>oil_and_gas</t>
        </is>
      </c>
      <c r="J71" s="12" t="inlineStr">
        <is>
          <t>2026-09-13</t>
        </is>
      </c>
      <c r="K71" s="12" t="inlineStr">
        <is>
          <t>-</t>
        </is>
      </c>
      <c r="L71" s="12" t="inlineStr">
        <is>
          <t>-</t>
        </is>
      </c>
      <c r="M71" s="12" t="inlineStr">
        <is>
          <t>-</t>
        </is>
      </c>
      <c r="N71" s="25" t="inlineStr">
        <is>
          <t>NEW</t>
        </is>
      </c>
      <c r="O71" s="12" t="inlineStr">
        <is>
          <t>غير متوافقة</t>
        </is>
      </c>
      <c r="P71" s="23">
        <f>HYPERLINK("https://kuwaitalyawm.media.gov.kw/Online/ViewAdsHTML?id=170526&amp;no=1", "عرض المصدر")</f>
        <v/>
      </c>
    </row>
    <row r="72">
      <c r="A72" s="13" t="inlineStr">
        <is>
          <t>RFQ/2160171</t>
        </is>
      </c>
      <c r="B72" s="13" t="inlineStr">
        <is>
          <t>شركة البترول الوطنية الكويتية</t>
        </is>
      </c>
      <c r="C72" s="13" t="inlineStr">
        <is>
          <t>Abrar Al-Qallaf</t>
        </is>
      </c>
      <c r="D72" s="13" t="inlineStr">
        <is>
          <t>ممارسة رقم RFQ/2160171: توريد مواد ومهمات تشغيلية لزوم شركة البترول الوطنية الكويتية - شركة البترول الوطنية الكويتية</t>
        </is>
      </c>
      <c r="E72" s="13" t="inlineStr">
        <is>
          <t>أعمال وتوريدات تخصصية لزوم شركة البترول الوطنية الكويتية حسب وثائق الممارسة رقم RFQ/2160171 عبر منصة K-Tendering.</t>
        </is>
      </c>
      <c r="F72" s="13" t="inlineStr">
        <is>
          <t>وفقاً لشروط وإجراءات المناقصات والتوريد لدى شركة البترول الوطنية الكويتية (KNPC) عبر منصة K-Tendering.</t>
        </is>
      </c>
      <c r="G72" s="14" t="inlineStr">
        <is>
          <t>عام</t>
        </is>
      </c>
      <c r="H72" s="14" t="inlineStr">
        <is>
          <t>15.0%</t>
        </is>
      </c>
      <c r="I72" s="14" t="inlineStr">
        <is>
          <t>oil_and_gas</t>
        </is>
      </c>
      <c r="J72" s="14" t="inlineStr">
        <is>
          <t>2026-08-30</t>
        </is>
      </c>
      <c r="K72" s="14" t="inlineStr">
        <is>
          <t>2026-10-05</t>
        </is>
      </c>
      <c r="L72" s="14" t="inlineStr">
        <is>
          <t>-</t>
        </is>
      </c>
      <c r="M72" s="14" t="inlineStr">
        <is>
          <t>-</t>
        </is>
      </c>
      <c r="N72" s="25" t="inlineStr">
        <is>
          <t>NEW</t>
        </is>
      </c>
      <c r="O72" s="14" t="inlineStr">
        <is>
          <t>غير متوافقة</t>
        </is>
      </c>
      <c r="P72" s="22">
        <f>HYPERLINK("https://kuwaitalyawm.media.gov.kw/Online/ViewAdsHTML?id=170527&amp;no=1", "عرض المصدر")</f>
        <v/>
      </c>
    </row>
    <row r="73">
      <c r="A73" s="11" t="inlineStr">
        <is>
          <t>RFQ/2162788</t>
        </is>
      </c>
      <c r="B73" s="11" t="inlineStr">
        <is>
          <t>شركة البترول الوطنية الكويتية</t>
        </is>
      </c>
      <c r="C73" s="11" t="inlineStr">
        <is>
          <t>Abrar Al-Qallaf</t>
        </is>
      </c>
      <c r="D73" s="11" t="inlineStr">
        <is>
          <t>ممارسة رقم RFQ/2162788: توريد مواد ومهمات تشغيلية لزوم شركة البترول الوطنية الكويتية - شركة البترول الوطنية الكويتية</t>
        </is>
      </c>
      <c r="E73" s="11" t="inlineStr">
        <is>
          <t>أعمال وتوريدات تخصصية لزوم شركة البترول الوطنية الكويتية حسب وثائق الممارسة رقم RFQ/2162788 عبر منصة K-Tendering.</t>
        </is>
      </c>
      <c r="F73" s="11" t="inlineStr">
        <is>
          <t>وفقاً لشروط وإجراءات المناقصات والتوريد لدى شركة البترول الوطنية الكويتية (KNPC) عبر منصة K-Tendering.</t>
        </is>
      </c>
      <c r="G73" s="12" t="inlineStr">
        <is>
          <t>عام</t>
        </is>
      </c>
      <c r="H73" s="12" t="inlineStr">
        <is>
          <t>15.0%</t>
        </is>
      </c>
      <c r="I73" s="12" t="inlineStr">
        <is>
          <t>oil_and_gas</t>
        </is>
      </c>
      <c r="J73" s="12" t="inlineStr">
        <is>
          <t>2026-08-30</t>
        </is>
      </c>
      <c r="K73" s="12" t="inlineStr">
        <is>
          <t>-</t>
        </is>
      </c>
      <c r="L73" s="12" t="inlineStr">
        <is>
          <t>-</t>
        </is>
      </c>
      <c r="M73" s="12" t="inlineStr">
        <is>
          <t>-</t>
        </is>
      </c>
      <c r="N73" s="25" t="inlineStr">
        <is>
          <t>NEW</t>
        </is>
      </c>
      <c r="O73" s="12" t="inlineStr">
        <is>
          <t>غير متوافقة</t>
        </is>
      </c>
      <c r="P73" s="23">
        <f>HYPERLINK("https://kuwaitalyawm.media.gov.kw/Online/ViewAdsHTML?id=170528&amp;no=1", "عرض المصدر")</f>
        <v/>
      </c>
    </row>
    <row r="74">
      <c r="A74" s="13" t="inlineStr">
        <is>
          <t>RFQ/2161574</t>
        </is>
      </c>
      <c r="B74" s="13" t="inlineStr">
        <is>
          <t>شركة البترول الوطنية الكويتية</t>
        </is>
      </c>
      <c r="C74" s="13" t="inlineStr">
        <is>
          <t>Abrar Al-Qallaf</t>
        </is>
      </c>
      <c r="D74" s="13" t="inlineStr">
        <is>
          <t>ممارسة رقم RFQ/2161574: توريد مواد ومهمات تشغيلية لزوم شركة البترول الوطنية الكويتية - شركة البترول الوطنية الكويتية</t>
        </is>
      </c>
      <c r="E74" s="13" t="inlineStr">
        <is>
          <t>أعمال وتوريدات تخصصية لزوم شركة البترول الوطنية الكويتية حسب وثائق الممارسة رقم RFQ/2161574 عبر منصة K-Tendering.</t>
        </is>
      </c>
      <c r="F74" s="13" t="inlineStr">
        <is>
          <t>وفقاً لشروط وإجراءات المناقصات والتوريد لدى شركة البترول الوطنية الكويتية (KNPC) عبر منصة K-Tendering.</t>
        </is>
      </c>
      <c r="G74" s="14" t="inlineStr">
        <is>
          <t>عام</t>
        </is>
      </c>
      <c r="H74" s="14" t="inlineStr">
        <is>
          <t>15.0%</t>
        </is>
      </c>
      <c r="I74" s="14" t="inlineStr">
        <is>
          <t>oil_and_gas</t>
        </is>
      </c>
      <c r="J74" s="14" t="inlineStr">
        <is>
          <t>2026-09-13</t>
        </is>
      </c>
      <c r="K74" s="14" t="inlineStr">
        <is>
          <t>2026-09-14</t>
        </is>
      </c>
      <c r="L74" s="14" t="inlineStr">
        <is>
          <t>-</t>
        </is>
      </c>
      <c r="M74" s="14" t="inlineStr">
        <is>
          <t>-</t>
        </is>
      </c>
      <c r="N74" s="25" t="inlineStr">
        <is>
          <t>NEW</t>
        </is>
      </c>
      <c r="O74" s="14" t="inlineStr">
        <is>
          <t>غير متوافقة</t>
        </is>
      </c>
      <c r="P74" s="22">
        <f>HYPERLINK("https://kuwaitalyawm.media.gov.kw/Online/ViewAdsHTML?id=170529&amp;no=1", "عرض المصدر")</f>
        <v/>
      </c>
    </row>
    <row r="75">
      <c r="A75" s="11" t="inlineStr">
        <is>
          <t>RFQ/2163773</t>
        </is>
      </c>
      <c r="B75" s="11" t="inlineStr">
        <is>
          <t>شركة البترول الوطنية الكويتية</t>
        </is>
      </c>
      <c r="C75" s="11" t="inlineStr">
        <is>
          <t>Abrar Al-Qallaf</t>
        </is>
      </c>
      <c r="D75" s="11" t="inlineStr">
        <is>
          <t>ممارسة رقم RFQ/2163773: توريد مواد ومهمات تشغيلية لزوم شركة البترول الوطنية الكويتية - شركة البترول الوطنية الكويتية</t>
        </is>
      </c>
      <c r="E75" s="11" t="inlineStr">
        <is>
          <t>أعمال وتوريدات تخصصية لزوم شركة البترول الوطنية الكويتية حسب وثائق الممارسة رقم RFQ/2163773 عبر منصة K-Tendering.</t>
        </is>
      </c>
      <c r="F75" s="11" t="inlineStr">
        <is>
          <t>وفقاً لشروط وإجراءات المناقصات والتوريد لدى شركة البترول الوطنية الكويتية (KNPC) عبر منصة K-Tendering.</t>
        </is>
      </c>
      <c r="G75" s="12" t="inlineStr">
        <is>
          <t>عام</t>
        </is>
      </c>
      <c r="H75" s="12" t="inlineStr">
        <is>
          <t>15.0%</t>
        </is>
      </c>
      <c r="I75" s="12" t="inlineStr">
        <is>
          <t>oil_and_gas</t>
        </is>
      </c>
      <c r="J75" s="12" t="inlineStr">
        <is>
          <t>2026-09-13</t>
        </is>
      </c>
      <c r="K75" s="12" t="inlineStr">
        <is>
          <t>-</t>
        </is>
      </c>
      <c r="L75" s="12" t="inlineStr">
        <is>
          <t>-</t>
        </is>
      </c>
      <c r="M75" s="12" t="inlineStr">
        <is>
          <t>-</t>
        </is>
      </c>
      <c r="N75" s="25" t="inlineStr">
        <is>
          <t>NEW</t>
        </is>
      </c>
      <c r="O75" s="12" t="inlineStr">
        <is>
          <t>غير متوافقة</t>
        </is>
      </c>
      <c r="P75" s="23">
        <f>HYPERLINK("https://kuwaitalyawm.media.gov.kw/Online/ViewAdsHTML?id=170530&amp;no=1", "عرض المصدر")</f>
        <v/>
      </c>
    </row>
    <row r="76">
      <c r="A76" s="13" t="inlineStr">
        <is>
          <t>RFQ/2166412</t>
        </is>
      </c>
      <c r="B76" s="13" t="inlineStr">
        <is>
          <t>شركة البترول الوطنية الكويتية</t>
        </is>
      </c>
      <c r="C76" s="13" t="inlineStr">
        <is>
          <t>Abrar Al-Qallaf</t>
        </is>
      </c>
      <c r="D76" s="13" t="inlineStr">
        <is>
          <t>ممارسة رقم RFQ/2166412: توريد مواد ومهمات تشغيلية لزوم شركة البترول الوطنية الكويتية - شركة البترول الوطنية الكويتية</t>
        </is>
      </c>
      <c r="E76" s="13" t="inlineStr">
        <is>
          <t>أعمال وتوريدات تخصصية لزوم شركة البترول الوطنية الكويتية حسب وثائق الممارسة رقم RFQ/2166412 عبر منصة K-Tendering.</t>
        </is>
      </c>
      <c r="F76" s="13" t="inlineStr">
        <is>
          <t>وفقاً لشروط وإجراءات المناقصات والتوريد لدى شركة البترول الوطنية الكويتية (KNPC) عبر منصة K-Tendering.</t>
        </is>
      </c>
      <c r="G76" s="14" t="inlineStr">
        <is>
          <t>عام</t>
        </is>
      </c>
      <c r="H76" s="14" t="inlineStr">
        <is>
          <t>15.0%</t>
        </is>
      </c>
      <c r="I76" s="14" t="inlineStr">
        <is>
          <t>oil_and_gas</t>
        </is>
      </c>
      <c r="J76" s="14" t="inlineStr">
        <is>
          <t>2026-09-13</t>
        </is>
      </c>
      <c r="K76" s="14" t="inlineStr">
        <is>
          <t>2026-12-14</t>
        </is>
      </c>
      <c r="L76" s="14" t="inlineStr">
        <is>
          <t>15000.0</t>
        </is>
      </c>
      <c r="M76" s="14" t="inlineStr">
        <is>
          <t>-</t>
        </is>
      </c>
      <c r="N76" s="25" t="inlineStr">
        <is>
          <t>NEW</t>
        </is>
      </c>
      <c r="O76" s="14" t="inlineStr">
        <is>
          <t>غير متوافقة</t>
        </is>
      </c>
      <c r="P76" s="22">
        <f>HYPERLINK("https://kuwaitalyawm.media.gov.kw/Online/ViewAdsHTML?id=170531&amp;no=1", "عرض المصدر")</f>
        <v/>
      </c>
    </row>
    <row r="77">
      <c r="A77" s="11" t="inlineStr">
        <is>
          <t>RFQ/2167182</t>
        </is>
      </c>
      <c r="B77" s="11" t="inlineStr">
        <is>
          <t>شركة البترول الوطنية الكويتية</t>
        </is>
      </c>
      <c r="C77" s="11" t="inlineStr">
        <is>
          <t>Abrar Al-Qallaf</t>
        </is>
      </c>
      <c r="D77" s="11" t="inlineStr">
        <is>
          <t>ممارسة رقم RFQ/2167182: توريد مواد ومهمات تشغيلية لزوم شركة البترول الوطنية الكويتية - شركة البترول الوطنية الكويتية</t>
        </is>
      </c>
      <c r="E77" s="11" t="inlineStr">
        <is>
          <t>أعمال وتوريدات تخصصية لزوم شركة البترول الوطنية الكويتية حسب وثائق الممارسة رقم RFQ/2167182 عبر منصة K-Tendering.</t>
        </is>
      </c>
      <c r="F77" s="11" t="inlineStr">
        <is>
          <t>وفقاً لشروط وإجراءات المناقصات والتوريد لدى شركة البترول الوطنية الكويتية (KNPC) عبر منصة K-Tendering.</t>
        </is>
      </c>
      <c r="G77" s="12" t="inlineStr">
        <is>
          <t>عام</t>
        </is>
      </c>
      <c r="H77" s="12" t="inlineStr">
        <is>
          <t>15.0%</t>
        </is>
      </c>
      <c r="I77" s="12" t="inlineStr">
        <is>
          <t>oil_and_gas</t>
        </is>
      </c>
      <c r="J77" s="12" t="inlineStr">
        <is>
          <t>2026-09-13</t>
        </is>
      </c>
      <c r="K77" s="12" t="inlineStr">
        <is>
          <t>2026-12-21</t>
        </is>
      </c>
      <c r="L77" s="12" t="inlineStr">
        <is>
          <t>2500.0</t>
        </is>
      </c>
      <c r="M77" s="12" t="inlineStr">
        <is>
          <t>-</t>
        </is>
      </c>
      <c r="N77" s="25" t="inlineStr">
        <is>
          <t>NEW</t>
        </is>
      </c>
      <c r="O77" s="12" t="inlineStr">
        <is>
          <t>غير متوافقة</t>
        </is>
      </c>
      <c r="P77" s="23">
        <f>HYPERLINK("https://kuwaitalyawm.media.gov.kw/Online/ViewAdsHTML?id=170532&amp;no=1", "عرض المصدر")</f>
        <v/>
      </c>
    </row>
    <row r="78">
      <c r="A78" s="13" t="inlineStr">
        <is>
          <t>RFQ/2167044</t>
        </is>
      </c>
      <c r="B78" s="13" t="inlineStr">
        <is>
          <t>شركة البترول الوطنية الكويتية</t>
        </is>
      </c>
      <c r="C78" s="13" t="inlineStr">
        <is>
          <t>Abrar Al-Qallaf</t>
        </is>
      </c>
      <c r="D78" s="13" t="inlineStr">
        <is>
          <t>ممارسة رقم RFQ/2167044: توريد مواد ومهمات تشغيلية لزوم شركة البترول الوطنية الكويتية - شركة البترول الوطنية الكويتية</t>
        </is>
      </c>
      <c r="E78" s="13" t="inlineStr">
        <is>
          <t>أعمال وتوريدات تخصصية لزوم شركة البترول الوطنية الكويتية حسب وثائق الممارسة رقم RFQ/2167044 عبر منصة K-Tendering.</t>
        </is>
      </c>
      <c r="F78" s="13" t="inlineStr">
        <is>
          <t>وفقاً لشروط وإجراءات المناقصات والتوريد لدى شركة البترول الوطنية الكويتية (KNPC) عبر منصة K-Tendering.</t>
        </is>
      </c>
      <c r="G78" s="14" t="inlineStr">
        <is>
          <t>عام</t>
        </is>
      </c>
      <c r="H78" s="14" t="inlineStr">
        <is>
          <t>15.0%</t>
        </is>
      </c>
      <c r="I78" s="14" t="inlineStr">
        <is>
          <t>oil_and_gas</t>
        </is>
      </c>
      <c r="J78" s="14" t="inlineStr">
        <is>
          <t>2026-09-13</t>
        </is>
      </c>
      <c r="K78" s="14" t="inlineStr">
        <is>
          <t>2026-12-21</t>
        </is>
      </c>
      <c r="L78" s="14" t="inlineStr">
        <is>
          <t>1000.0</t>
        </is>
      </c>
      <c r="M78" s="14" t="inlineStr">
        <is>
          <t>100.0</t>
        </is>
      </c>
      <c r="N78" s="25" t="inlineStr">
        <is>
          <t>NEW</t>
        </is>
      </c>
      <c r="O78" s="14" t="inlineStr">
        <is>
          <t>غير متوافقة</t>
        </is>
      </c>
      <c r="P78" s="22">
        <f>HYPERLINK("https://kuwaitalyawm.media.gov.kw/Online/ViewAdsHTML?id=170533&amp;no=1", "عرض المصدر")</f>
        <v/>
      </c>
    </row>
    <row r="79">
      <c r="A79" s="11" t="inlineStr">
        <is>
          <t>RFQ/2163441</t>
        </is>
      </c>
      <c r="B79" s="11" t="inlineStr">
        <is>
          <t>شركة البترول الوطنية الكويتية</t>
        </is>
      </c>
      <c r="C79" s="11" t="inlineStr">
        <is>
          <t>Abrar Al-Qallaf</t>
        </is>
      </c>
      <c r="D79" s="11" t="inlineStr">
        <is>
          <t>ممارسة رقم RFQ/2163441: توريد مواد ومهمات تشغيلية لزوم شركة البترول الوطنية الكويتية - شركة البترول الوطنية الكويتية</t>
        </is>
      </c>
      <c r="E79" s="11" t="inlineStr">
        <is>
          <t>أعمال وتوريدات تخصصية لزوم شركة البترول الوطنية الكويتية حسب وثائق الممارسة رقم RFQ/2163441 عبر منصة K-Tendering.</t>
        </is>
      </c>
      <c r="F79" s="11" t="inlineStr">
        <is>
          <t>وفقاً لشروط وإجراءات المناقصات والتوريد لدى شركة البترول الوطنية الكويتية (KNPC) عبر منصة K-Tendering.</t>
        </is>
      </c>
      <c r="G79" s="12" t="inlineStr">
        <is>
          <t>عام</t>
        </is>
      </c>
      <c r="H79" s="12" t="inlineStr">
        <is>
          <t>15.0%</t>
        </is>
      </c>
      <c r="I79" s="12" t="inlineStr">
        <is>
          <t>oil_and_gas</t>
        </is>
      </c>
      <c r="J79" s="12" t="inlineStr">
        <is>
          <t>2026-09-13</t>
        </is>
      </c>
      <c r="K79" s="12" t="inlineStr">
        <is>
          <t>2026-12-14</t>
        </is>
      </c>
      <c r="L79" s="12" t="inlineStr">
        <is>
          <t>1000.0</t>
        </is>
      </c>
      <c r="M79" s="12" t="inlineStr">
        <is>
          <t>100.0</t>
        </is>
      </c>
      <c r="N79" s="25" t="inlineStr">
        <is>
          <t>NEW</t>
        </is>
      </c>
      <c r="O79" s="12" t="inlineStr">
        <is>
          <t>غير متوافقة</t>
        </is>
      </c>
      <c r="P79" s="23">
        <f>HYPERLINK("https://kuwaitalyawm.media.gov.kw/Online/ViewAdsHTML?id=170534&amp;no=1", "عرض المصدر")</f>
        <v/>
      </c>
    </row>
    <row r="80">
      <c r="A80" s="13" t="inlineStr">
        <is>
          <t>RFP/2161845</t>
        </is>
      </c>
      <c r="B80" s="13" t="inlineStr">
        <is>
          <t>شركة البترول الوطنية الكويتية</t>
        </is>
      </c>
      <c r="C80" s="13" t="inlineStr">
        <is>
          <t>Abrar Al-Qallaf</t>
        </is>
      </c>
      <c r="D80" s="13" t="inlineStr">
        <is>
          <t>ممارسة رقم RFP/2161845: توريد مواد ومهمات تشغيلية لزوم شركة البترول الوطنية الكويتية - شركة البترول الوطنية الكويتية</t>
        </is>
      </c>
      <c r="E80" s="13" t="inlineStr">
        <is>
          <t>أعمال وتوريدات تخصصية لزوم شركة البترول الوطنية الكويتية حسب وثائق الممارسة رقم RFP/2161845 عبر منصة K-Tendering.</t>
        </is>
      </c>
      <c r="F80" s="13" t="inlineStr">
        <is>
          <t>وفقاً لشروط وإجراءات المناقصات والتوريد لدى شركة البترول الوطنية الكويتية (KNPC) عبر منصة K-Tendering.</t>
        </is>
      </c>
      <c r="G80" s="14" t="inlineStr">
        <is>
          <t>عام</t>
        </is>
      </c>
      <c r="H80" s="14" t="inlineStr">
        <is>
          <t>15.0%</t>
        </is>
      </c>
      <c r="I80" s="14" t="inlineStr">
        <is>
          <t>oil_and_gas</t>
        </is>
      </c>
      <c r="J80" s="14" t="inlineStr">
        <is>
          <t>2026-09-13</t>
        </is>
      </c>
      <c r="K80" s="14" t="inlineStr">
        <is>
          <t>2026-10-12</t>
        </is>
      </c>
      <c r="L80" s="14" t="inlineStr">
        <is>
          <t>30000.0</t>
        </is>
      </c>
      <c r="M80" s="14" t="inlineStr">
        <is>
          <t>-</t>
        </is>
      </c>
      <c r="N80" s="25" t="inlineStr">
        <is>
          <t>NEW</t>
        </is>
      </c>
      <c r="O80" s="14" t="inlineStr">
        <is>
          <t>غير متوافقة</t>
        </is>
      </c>
      <c r="P80" s="22">
        <f>HYPERLINK("https://kuwaitalyawm.media.gov.kw/Online/ViewAdsHTML?id=170535&amp;no=1", "عرض المصدر")</f>
        <v/>
      </c>
    </row>
    <row r="81">
      <c r="A81" s="11" t="inlineStr">
        <is>
          <t>RFP/2161888</t>
        </is>
      </c>
      <c r="B81" s="11" t="inlineStr">
        <is>
          <t>شركة البترول الوطنية الكويتية</t>
        </is>
      </c>
      <c r="C81" s="11" t="inlineStr">
        <is>
          <t>Abrar Al-Qallaf</t>
        </is>
      </c>
      <c r="D81" s="11" t="inlineStr">
        <is>
          <t>ممارسة رقم RFP/2161888: توريد مواد ومهمات تشغيلية لزوم شركة البترول الوطنية الكويتية - شركة البترول الوطنية الكويتية</t>
        </is>
      </c>
      <c r="E81" s="11" t="inlineStr">
        <is>
          <t>أعمال وتوريدات تخصصية لزوم شركة البترول الوطنية الكويتية حسب وثائق الممارسة رقم RFP/2161888 عبر منصة K-Tendering.</t>
        </is>
      </c>
      <c r="F81" s="11" t="inlineStr">
        <is>
          <t>وفقاً لشروط وإجراءات المناقصات والتوريد لدى شركة البترول الوطنية الكويتية (KNPC) عبر منصة K-Tendering.</t>
        </is>
      </c>
      <c r="G81" s="12" t="inlineStr">
        <is>
          <t>عام</t>
        </is>
      </c>
      <c r="H81" s="12" t="inlineStr">
        <is>
          <t>15.0%</t>
        </is>
      </c>
      <c r="I81" s="12" t="inlineStr">
        <is>
          <t>oil_and_gas</t>
        </is>
      </c>
      <c r="J81" s="12" t="inlineStr">
        <is>
          <t>2026-09-13</t>
        </is>
      </c>
      <c r="K81" s="12" t="inlineStr">
        <is>
          <t>-</t>
        </is>
      </c>
      <c r="L81" s="12" t="inlineStr">
        <is>
          <t>-</t>
        </is>
      </c>
      <c r="M81" s="12" t="inlineStr">
        <is>
          <t>250.0</t>
        </is>
      </c>
      <c r="N81" s="25" t="inlineStr">
        <is>
          <t>NEW</t>
        </is>
      </c>
      <c r="O81" s="12" t="inlineStr">
        <is>
          <t>غير متوافقة</t>
        </is>
      </c>
      <c r="P81" s="23">
        <f>HYPERLINK("https://kuwaitalyawm.media.gov.kw/Online/ViewAdsHTML?id=170536&amp;no=1", "عرض المصدر")</f>
        <v/>
      </c>
    </row>
    <row r="82">
      <c r="A82" s="13" t="inlineStr">
        <is>
          <t>CATEGORY KS 01.21</t>
        </is>
      </c>
      <c r="B82" s="13" t="inlineStr">
        <is>
          <t>شركة نفط الكويت</t>
        </is>
      </c>
      <c r="C82" s="13" t="inlineStr">
        <is>
          <t>Ahmed Habib</t>
        </is>
      </c>
      <c r="D82" s="13" t="inlineStr">
        <is>
          <t>مناقصة رقم CATEGORY KS 01.21 - شركة نفط الكويت</t>
        </is>
      </c>
      <c r="E82" s="13" t="inlineStr">
        <is>
          <t>أعمال وتوريدات مناقصة رقم CATEGORY KS 01.21 لصالح شركة نفط الكويت وفقاً للشروط والمواصفات المعتمدة في وثائق الطرح.</t>
        </is>
      </c>
      <c r="F8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82" s="14" t="inlineStr">
        <is>
          <t>عام</t>
        </is>
      </c>
      <c r="H82" s="14" t="inlineStr">
        <is>
          <t>15.0%</t>
        </is>
      </c>
      <c r="I82" s="14" t="inlineStr">
        <is>
          <t>government</t>
        </is>
      </c>
      <c r="J82" s="14" t="inlineStr">
        <is>
          <t>2026-09-13</t>
        </is>
      </c>
      <c r="K82" s="14" t="inlineStr">
        <is>
          <t>-</t>
        </is>
      </c>
      <c r="L82" s="14" t="inlineStr">
        <is>
          <t>-</t>
        </is>
      </c>
      <c r="M82" s="14" t="inlineStr">
        <is>
          <t>-</t>
        </is>
      </c>
      <c r="N82" s="25" t="inlineStr">
        <is>
          <t>NEW</t>
        </is>
      </c>
      <c r="O82" s="14" t="inlineStr">
        <is>
          <t>غير متوافقة مع اختصاصات KBM</t>
        </is>
      </c>
      <c r="P82" s="22">
        <f>HYPERLINK("https://kuwaitalyawm.media.gov.kw/Online/ViewAdsHTML?id=170537&amp;no=1", "عرض المصدر")</f>
        <v/>
      </c>
    </row>
    <row r="83">
      <c r="A83" s="11" t="inlineStr">
        <is>
          <t>24114235253</t>
        </is>
      </c>
      <c r="B83" s="11" t="inlineStr">
        <is>
          <t>وزارة الدفاع</t>
        </is>
      </c>
      <c r="C83" s="11" t="inlineStr">
        <is>
          <t>Eiman Ashkanani</t>
        </is>
      </c>
      <c r="D83" s="11" t="inlineStr">
        <is>
          <t>مناقصة رقم 24114235253: لإصلاح وصيانة القاطرات والمقطورات والآليات المتوسطة شامل</t>
        </is>
      </c>
      <c r="E83" s="11" t="inlineStr">
        <is>
          <t>أعمال وتوريدات لإصلاح وصيانة القاطرات والمقطورات والآليات المتوسطة شامل لصالح وزارة الدفاع وفقاً للشروط والمواصفات المعتمدة في وثائق الطرح.</t>
        </is>
      </c>
      <c r="F83" s="11" t="inlineStr">
        <is>
          <t>• 1- كتاب تفويض من الشركة / المؤسسة بشراء الوثائق .
• 2- أن تكون الشركة / المؤسسة متخصصة فى هذا المجال مع تقديم الأوراق الدالة على نشاطه .
• 3- تقديم صورة عن شهادة دعم العمالة الوطنية السنوية لدى الشركات غير الحكومية شريطة أن تكون سارية .
• 4- سداد الرسوم المقررة لشراء وثائق المناقصة عن طريق (K-NET ) .</t>
        </is>
      </c>
      <c r="G83" s="12" t="inlineStr">
        <is>
          <t>عام</t>
        </is>
      </c>
      <c r="H83" s="12" t="inlineStr">
        <is>
          <t>15.0%</t>
        </is>
      </c>
      <c r="I83" s="12" t="inlineStr">
        <is>
          <t>government</t>
        </is>
      </c>
      <c r="J83" s="12" t="inlineStr">
        <is>
          <t>2026-09-06</t>
        </is>
      </c>
      <c r="K83" s="12" t="inlineStr">
        <is>
          <t>2026-10-04</t>
        </is>
      </c>
      <c r="L83" s="12" t="inlineStr">
        <is>
          <t>2.0</t>
        </is>
      </c>
      <c r="M83" s="12" t="inlineStr">
        <is>
          <t>1000.0</t>
        </is>
      </c>
      <c r="N83" s="25" t="inlineStr">
        <is>
          <t>NEW</t>
        </is>
      </c>
      <c r="O83" s="12" t="inlineStr">
        <is>
          <t>غير متوافقة مع اختصاصات KBM</t>
        </is>
      </c>
      <c r="P83" s="23">
        <f>HYPERLINK("https://kuwaitalyawm.media.gov.kw/Online/ViewAdsHTML?id=169152&amp;no=1", "عرض المصدر")</f>
        <v/>
      </c>
    </row>
    <row r="84">
      <c r="A84" s="13" t="inlineStr">
        <is>
          <t>2027/2026/1532</t>
        </is>
      </c>
      <c r="B84" s="13" t="inlineStr">
        <is>
          <t>المؤسسة العامة للرعاية السكنية</t>
        </is>
      </c>
      <c r="C84" s="13" t="inlineStr">
        <is>
          <t>Eiman Ashkanani</t>
        </is>
      </c>
      <c r="D84" s="13" t="inlineStr">
        <is>
          <t>مناقصة رقم 2027/2026/1532: تاريخ الإقفال وتقديم العطاءات: 24/9/2026 بدلا من 6/9/2026م.</t>
        </is>
      </c>
      <c r="E84" s="13" t="inlineStr">
        <is>
          <t>أعمال وتوريدات 24/9/2026 بدلا من 6/9/2026م. لصالح المؤسسة العامة للرعاية السكنية وفقاً للشروط والمواصفات المعتمدة في وثائق الطرح.</t>
        </is>
      </c>
      <c r="F8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84" s="14" t="inlineStr">
        <is>
          <t>عام</t>
        </is>
      </c>
      <c r="H84" s="14" t="inlineStr">
        <is>
          <t>28.0%</t>
        </is>
      </c>
      <c r="I84" s="14" t="inlineStr">
        <is>
          <t>government</t>
        </is>
      </c>
      <c r="J84" s="14" t="inlineStr">
        <is>
          <t>2026-09-06</t>
        </is>
      </c>
      <c r="K84" s="14" t="inlineStr">
        <is>
          <t>2026-09-24</t>
        </is>
      </c>
      <c r="L84" s="14" t="inlineStr">
        <is>
          <t>-</t>
        </is>
      </c>
      <c r="M84" s="14" t="inlineStr">
        <is>
          <t>-</t>
        </is>
      </c>
      <c r="N84" s="25" t="inlineStr">
        <is>
          <t>NEW</t>
        </is>
      </c>
      <c r="O84" s="14" t="inlineStr">
        <is>
          <t>غير متوافقة مع اختصاصات KBM</t>
        </is>
      </c>
      <c r="P84" s="22">
        <f>HYPERLINK("https://kuwaitalyawm.media.gov.kw/Online/ViewAdsHTML?id=169402&amp;no=1", "عرض المصدر")</f>
        <v/>
      </c>
    </row>
    <row r="85">
      <c r="A85" s="11" t="inlineStr">
        <is>
          <t>507</t>
        </is>
      </c>
      <c r="B85" s="11" t="inlineStr">
        <is>
          <t>مؤسسة البترول الكويتية</t>
        </is>
      </c>
      <c r="C85" s="11" t="inlineStr">
        <is>
          <t>Eiman Ashkanani</t>
        </is>
      </c>
      <c r="D85" s="11" t="inlineStr">
        <is>
          <t>مناقصة رقم 507: استئجار آلات تصوير مستندات</t>
        </is>
      </c>
      <c r="E85" s="11" t="inlineStr">
        <is>
          <t>أعمال وتوريدات استئجار آلات تصوير مستندات لصالح مؤسسة البترول الكويتية وفقاً للشروط والمواصفات المعتمدة في وثائق الطرح.</t>
        </is>
      </c>
      <c r="F8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85" s="12" t="inlineStr">
        <is>
          <t>عام</t>
        </is>
      </c>
      <c r="H85" s="12" t="inlineStr">
        <is>
          <t>0.0%</t>
        </is>
      </c>
      <c r="I85" s="12" t="inlineStr">
        <is>
          <t>government</t>
        </is>
      </c>
      <c r="J85" s="12" t="inlineStr">
        <is>
          <t>2026-09-06</t>
        </is>
      </c>
      <c r="K85" s="12" t="inlineStr">
        <is>
          <t>2026-10-13</t>
        </is>
      </c>
      <c r="L85" s="12" t="inlineStr">
        <is>
          <t>2500.0</t>
        </is>
      </c>
      <c r="M85" s="12" t="inlineStr">
        <is>
          <t>100.0</t>
        </is>
      </c>
      <c r="N85" s="25" t="inlineStr">
        <is>
          <t>NEW</t>
        </is>
      </c>
      <c r="O85" s="12" t="inlineStr">
        <is>
          <t>غير متوافقة مع اختصاصات KBM</t>
        </is>
      </c>
      <c r="P85" s="23">
        <f>HYPERLINK("https://kuwaitalyawm.media.gov.kw/Online/ViewAdsHTML?id=169407&amp;no=1", "عرض المصدر")</f>
        <v/>
      </c>
    </row>
    <row r="86">
      <c r="A86" s="13" t="inlineStr">
        <is>
          <t>CB CPC 2551</t>
        </is>
      </c>
      <c r="B86" s="13" t="inlineStr">
        <is>
          <t>شركة البترول الوطنية الكويتية</t>
        </is>
      </c>
      <c r="C86" s="13" t="inlineStr">
        <is>
          <t>Abrar Al-Qallaf</t>
        </is>
      </c>
      <c r="D86" s="13" t="inlineStr">
        <is>
          <t>ممارسة رقم CB CPC 2551: توريد مواد ومهمات تشغيلية لزوم شركة البترول الوطنية الكويتية - شركة البترول الوطنية الكويتية</t>
        </is>
      </c>
      <c r="E86" s="13" t="inlineStr">
        <is>
          <t>أعمال وتوريدات تخصصية لزوم شركة البترول الوطنية الكويتية حسب وثائق الممارسة رقم CB CPC 2551 عبر منصة K-Tendering.</t>
        </is>
      </c>
      <c r="F86" s="13" t="inlineStr">
        <is>
          <t>وفقاً لشروط وإجراءات المناقصات والتوريد لدى شركة البترول الوطنية الكويتية (KNPC) عبر منصة K-Tendering.</t>
        </is>
      </c>
      <c r="G86" s="14" t="inlineStr">
        <is>
          <t>عام</t>
        </is>
      </c>
      <c r="H86" s="14" t="inlineStr">
        <is>
          <t>15.0%</t>
        </is>
      </c>
      <c r="I86" s="14" t="inlineStr">
        <is>
          <t>oil_and_gas</t>
        </is>
      </c>
      <c r="J86" s="14" t="inlineStr">
        <is>
          <t>2026-09-06</t>
        </is>
      </c>
      <c r="K86" s="14" t="inlineStr">
        <is>
          <t>-</t>
        </is>
      </c>
      <c r="L86" s="14" t="inlineStr">
        <is>
          <t>-</t>
        </is>
      </c>
      <c r="M86" s="14" t="inlineStr">
        <is>
          <t>-</t>
        </is>
      </c>
      <c r="N86" s="25" t="inlineStr">
        <is>
          <t>NEW</t>
        </is>
      </c>
      <c r="O86" s="14" t="inlineStr">
        <is>
          <t>غير متوافقة</t>
        </is>
      </c>
      <c r="P86" s="22">
        <f>HYPERLINK("https://kuwaitalyawm.media.gov.kw/Online/ViewAdsHTML?id=169420&amp;no=1", "عرض المصدر")</f>
        <v/>
      </c>
    </row>
    <row r="87">
      <c r="A87" s="11" t="inlineStr">
        <is>
          <t>RFQ 1061885</t>
        </is>
      </c>
      <c r="B87" s="11" t="inlineStr">
        <is>
          <t>شركة البترول الوطنية الكويتية</t>
        </is>
      </c>
      <c r="C87" s="11" t="inlineStr">
        <is>
          <t>Abrar Al-Qallaf</t>
        </is>
      </c>
      <c r="D87" s="11" t="inlineStr">
        <is>
          <t>ممارسة رقم RFQ 1061885: توريد مواد ومهمات تشغيلية لزوم شركة البترول الوطنية الكويتية - شركة البترول الوطنية الكويتية</t>
        </is>
      </c>
      <c r="E87" s="11" t="inlineStr">
        <is>
          <t>أعمال وتوريدات تخصصية لزوم شركة البترول الوطنية الكويتية حسب وثائق الممارسة رقم RFQ 1061885 عبر منصة K-Tendering.</t>
        </is>
      </c>
      <c r="F87" s="11" t="inlineStr">
        <is>
          <t>وفقاً لشروط وإجراءات المناقصات والتوريد لدى شركة البترول الوطنية الكويتية (KNPC) عبر منصة K-Tendering.</t>
        </is>
      </c>
      <c r="G87" s="12" t="inlineStr">
        <is>
          <t>عام</t>
        </is>
      </c>
      <c r="H87" s="12" t="inlineStr">
        <is>
          <t>15.0%</t>
        </is>
      </c>
      <c r="I87" s="12" t="inlineStr">
        <is>
          <t>oil_and_gas</t>
        </is>
      </c>
      <c r="J87" s="12" t="inlineStr">
        <is>
          <t>2026-09-06</t>
        </is>
      </c>
      <c r="K87" s="12" t="inlineStr">
        <is>
          <t>-</t>
        </is>
      </c>
      <c r="L87" s="12" t="inlineStr">
        <is>
          <t>-</t>
        </is>
      </c>
      <c r="M87" s="12" t="inlineStr">
        <is>
          <t>-</t>
        </is>
      </c>
      <c r="N87" s="25" t="inlineStr">
        <is>
          <t>NEW</t>
        </is>
      </c>
      <c r="O87" s="12" t="inlineStr">
        <is>
          <t>غير متوافقة</t>
        </is>
      </c>
      <c r="P87" s="23">
        <f>HYPERLINK("https://kuwaitalyawm.media.gov.kw/Online/ViewAdsHTML?id=169422&amp;no=1", "عرض المصدر")</f>
        <v/>
      </c>
    </row>
    <row r="88">
      <c r="A88" s="13" t="inlineStr">
        <is>
          <t>MNA-14-2026</t>
        </is>
      </c>
      <c r="B88" s="13" t="inlineStr">
        <is>
          <t>شركة صناعة الكيماويات البترولية</t>
        </is>
      </c>
      <c r="C88" s="13" t="inlineStr">
        <is>
          <t>Abrar Al-Qallaf</t>
        </is>
      </c>
      <c r="D88" s="13" t="inlineStr">
        <is>
          <t>مناقصة رقم MNA-14-2026 - شركة صناعة الكيماويات البترولية</t>
        </is>
      </c>
      <c r="E88" s="13" t="inlineStr">
        <is>
          <t>أعمال وتوريدات مناقصة رقم MNA-14-2026 لصالح شركة صناعة الكيماويات البترولية وفقاً للشروط والمواصفات المعتمدة في وثائق الطرح.</t>
        </is>
      </c>
      <c r="F8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88" s="14" t="inlineStr">
        <is>
          <t>عام</t>
        </is>
      </c>
      <c r="H88" s="14" t="inlineStr">
        <is>
          <t>15.0%</t>
        </is>
      </c>
      <c r="I88" s="14" t="inlineStr">
        <is>
          <t>government</t>
        </is>
      </c>
      <c r="J88" s="14" t="inlineStr">
        <is>
          <t>2026-09-06</t>
        </is>
      </c>
      <c r="K88" s="14" t="inlineStr">
        <is>
          <t>2026-10-11</t>
        </is>
      </c>
      <c r="L88" s="14" t="inlineStr">
        <is>
          <t>750.0</t>
        </is>
      </c>
      <c r="M88" s="14" t="inlineStr">
        <is>
          <t>-</t>
        </is>
      </c>
      <c r="N88" s="25" t="inlineStr">
        <is>
          <t>NEW</t>
        </is>
      </c>
      <c r="O88" s="14" t="inlineStr">
        <is>
          <t>غير متوافقة مع اختصاصات KBM</t>
        </is>
      </c>
      <c r="P88" s="22">
        <f>HYPERLINK("https://kuwaitalyawm.media.gov.kw/Online/ViewAdsHTML?id=169423&amp;no=1", "عرض المصدر")</f>
        <v/>
      </c>
    </row>
    <row r="89">
      <c r="A89" s="11" t="inlineStr">
        <is>
          <t>MNA-19-2026</t>
        </is>
      </c>
      <c r="B89" s="11" t="inlineStr">
        <is>
          <t>شركة صناعة الكيماويات البترولية</t>
        </is>
      </c>
      <c r="C89" s="11" t="inlineStr">
        <is>
          <t>Abrar Al-Qallaf</t>
        </is>
      </c>
      <c r="D89" s="11" t="inlineStr">
        <is>
          <t>مناقصة رقم MNA-19-2026: Network Maintenance and Managed Network Support Services (صيانة الشبكات والدعم المدار) - شركة صناعة الكيماويات البترولية</t>
        </is>
      </c>
      <c r="E89" s="11" t="inlineStr">
        <is>
          <t>تقديم خدمات صيانة الشبكات والدعم الفني المدار (Managed Network Support Services)، دعم وإدارة أجهزة وسويتشات سيسكو (Cisco Switches &amp; Routers)، أجهزة أمن وحماية الشبكات، ودعم فني مدار على مدار الساعة 24x7 لشركة PIC.</t>
        </is>
      </c>
      <c r="F89" s="11" t="inlineStr">
        <is>
          <t>• The Bidder MUST hold valid certifications covering:
  - Cisco Managed Services Providers Certificate
  - Cisco Preferred Networking Partner Certificate
  - Cisco Preferred Security Partner Certificate
  - Cisco Collaboration Partner Certificate
• Must be an established Kuwaiti Company with local offices and local staff.
• Must have at least five (5) years of experience in providing Managed Services.
• Must be Certified ISO 20000 IT Service Management (ITSM).
• The Managed Services Centers must be ISO 27001 and ISO 27017 certified.
• Must be ISO 22301 (Business Continuity Management) certified.
• Must have at least 2 similar Managed Services projects in Kuwait (min KWD 100,000 each past 10 years).
• All submitted Cisco certificates must have minimum validity of 6 months.
• موعد إقفال المناقصة: 06/10/2026 الساعة 01:00 ظهراً عبر منصة K-Tendering.
• تأمين أولي: 15,000 د.ك صالح لمدة 90 يوماً | رسوم الوثيقة: 500 د.ك.</t>
        </is>
      </c>
      <c r="G89" s="24" t="inlineStr">
        <is>
          <t>قطاع العمليات المدارة والدعم الفني متعدد الموردين</t>
        </is>
      </c>
      <c r="H89" s="12" t="inlineStr">
        <is>
          <t>95.0%</t>
        </is>
      </c>
      <c r="I89" s="12" t="inlineStr">
        <is>
          <t>oil_and_gas</t>
        </is>
      </c>
      <c r="J89" s="12" t="inlineStr">
        <is>
          <t>2026-09-06</t>
        </is>
      </c>
      <c r="K89" s="12" t="inlineStr">
        <is>
          <t>2026-10-06</t>
        </is>
      </c>
      <c r="L89" s="12" t="inlineStr">
        <is>
          <t>15000.0</t>
        </is>
      </c>
      <c r="M89" s="12" t="inlineStr">
        <is>
          <t>-</t>
        </is>
      </c>
      <c r="N89" s="25" t="inlineStr">
        <is>
          <t>NEW</t>
        </is>
      </c>
      <c r="O89" s="12" t="inlineStr">
        <is>
          <t>موصى بالتقديم</t>
        </is>
      </c>
      <c r="P89" s="23">
        <f>HYPERLINK("https://kuwaitalyawm.media.gov.kw/Online/ViewAdsHTML?id=169424&amp;no=1", "عرض المصدر")</f>
        <v/>
      </c>
    </row>
    <row r="90">
      <c r="A90" s="13" t="inlineStr">
        <is>
          <t>MNA-24-2026</t>
        </is>
      </c>
      <c r="B90" s="13" t="inlineStr">
        <is>
          <t>شركة صناعة الكيماويات البترولية</t>
        </is>
      </c>
      <c r="C90" s="13" t="inlineStr">
        <is>
          <t>Abrar Al-Qallaf</t>
        </is>
      </c>
      <c r="D90" s="13" t="inlineStr">
        <is>
          <t>مناقصة رقم MNA-24-2026: IBM Maximo Application Suite (MAS) MAS-IT (ICD) License Renewal and Support Services - شركة صناعة الكيماويات البترولية</t>
        </is>
      </c>
      <c r="E90" s="13" t="inlineStr">
        <is>
          <t>تجديد تراخيص ودعم برمجيات IBM Maximo Application Suite (MAS) و MAS-IT (نظام إدارة خدمات تكنولوجيا المعلومات سابقاً ICD) لشركة PIC لضمان استمرارية الأعمال ودعم مبادرات التحول الرقمي والذكاء الاصطناعي وتحديث العمليات.</t>
        </is>
      </c>
      <c r="F90" s="13" t="inlineStr">
        <is>
          <t>• The bidder must be an authorized IBM partner/reseller in Kuwait as per IBM online partner directory under VAR/Reseller/Solution Provider category.
• Official partnership letter should be provided (failing to meet these qualifications will lead to disqualification).
• موعد إقفال المناقصة: 06/10/2026 الساعة 01:00 ظهراً عبر منصة K-Tendering.
• تأمين أولي: 15,000 د.ك صالح لمدة 90 يوماً | رسوم الوثيقة: 500 د.ك.
• موعد الاجتماع التمهيدي الافتراضي: 14/09/2026 الساعة 10:00 صباحاً.</t>
        </is>
      </c>
      <c r="G90" s="24" t="inlineStr">
        <is>
          <t>قطاع برمجيات IBM وحلول الذكاء الاصطناعي وRed Hat</t>
        </is>
      </c>
      <c r="H90" s="14" t="inlineStr">
        <is>
          <t>95.0%</t>
        </is>
      </c>
      <c r="I90" s="14" t="inlineStr">
        <is>
          <t>oil_and_gas</t>
        </is>
      </c>
      <c r="J90" s="14" t="inlineStr">
        <is>
          <t>2026-09-06</t>
        </is>
      </c>
      <c r="K90" s="14" t="inlineStr">
        <is>
          <t>2026-10-06</t>
        </is>
      </c>
      <c r="L90" s="14" t="inlineStr">
        <is>
          <t>15000.0</t>
        </is>
      </c>
      <c r="M90" s="14" t="inlineStr">
        <is>
          <t>-</t>
        </is>
      </c>
      <c r="N90" s="25" t="inlineStr">
        <is>
          <t>NEW</t>
        </is>
      </c>
      <c r="O90" s="14" t="inlineStr">
        <is>
          <t>موصى بالتقديم</t>
        </is>
      </c>
      <c r="P90" s="22">
        <f>HYPERLINK("https://kuwaitalyawm.media.gov.kw/Online/ViewAdsHTML?id=169425&amp;no=1", "عرض المصدر")</f>
        <v/>
      </c>
    </row>
    <row r="91">
      <c r="A91" s="11" t="inlineStr">
        <is>
          <t>RFP 2165609</t>
        </is>
      </c>
      <c r="B91" s="11" t="inlineStr">
        <is>
          <t>شركة البترول الوطنية الكويتية</t>
        </is>
      </c>
      <c r="C91" s="11" t="inlineStr">
        <is>
          <t>Abrar Al-Qallaf</t>
        </is>
      </c>
      <c r="D91" s="11" t="inlineStr">
        <is>
          <t>ممارسة رقم RFP 2165609: توريد مواد ومهمات تشغيلية لزوم شركة البترول الوطنية الكويتية - شركة البترول الوطنية الكويتية</t>
        </is>
      </c>
      <c r="E91" s="11" t="inlineStr">
        <is>
          <t>أعمال وتوريدات تخصصية لزوم شركة البترول الوطنية الكويتية حسب وثائق الممارسة رقم RFP 2165609 عبر منصة K-Tendering.</t>
        </is>
      </c>
      <c r="F91" s="11" t="inlineStr">
        <is>
          <t>وفقاً لشروط وإجراءات المناقصات والتوريد لدى شركة البترول الوطنية الكويتية (KNPC) عبر منصة K-Tendering.</t>
        </is>
      </c>
      <c r="G91" s="12" t="inlineStr">
        <is>
          <t>عام</t>
        </is>
      </c>
      <c r="H91" s="12" t="inlineStr">
        <is>
          <t>15.0%</t>
        </is>
      </c>
      <c r="I91" s="12" t="inlineStr">
        <is>
          <t>oil_and_gas</t>
        </is>
      </c>
      <c r="J91" s="12" t="inlineStr">
        <is>
          <t>2026-09-06</t>
        </is>
      </c>
      <c r="K91" s="12" t="inlineStr">
        <is>
          <t>2026-12-07</t>
        </is>
      </c>
      <c r="L91" s="12" t="inlineStr">
        <is>
          <t>2500.0</t>
        </is>
      </c>
      <c r="M91" s="12" t="inlineStr">
        <is>
          <t>-</t>
        </is>
      </c>
      <c r="N91" s="25" t="inlineStr">
        <is>
          <t>NEW</t>
        </is>
      </c>
      <c r="O91" s="12" t="inlineStr">
        <is>
          <t>غير متوافقة</t>
        </is>
      </c>
      <c r="P91" s="23">
        <f>HYPERLINK("https://kuwaitalyawm.media.gov.kw/Online/ViewAdsHTML?id=169428&amp;no=1", "عرض المصدر")</f>
        <v/>
      </c>
    </row>
    <row r="92">
      <c r="A92" s="13" t="inlineStr">
        <is>
          <t>RFP 2156844</t>
        </is>
      </c>
      <c r="B92" s="13" t="inlineStr">
        <is>
          <t>شركة البترول الوطنية الكويتية</t>
        </is>
      </c>
      <c r="C92" s="13" t="inlineStr">
        <is>
          <t>Abrar Al-Qallaf</t>
        </is>
      </c>
      <c r="D92" s="13" t="inlineStr">
        <is>
          <t>ممارسة رقم RFP 2156844: توريد مواد ومهمات تشغيلية لزوم شركة البترول الوطنية الكويتية - شركة البترول الوطنية الكويتية</t>
        </is>
      </c>
      <c r="E92" s="13" t="inlineStr">
        <is>
          <t>أعمال وتوريدات تخصصية لزوم شركة البترول الوطنية الكويتية حسب وثائق الممارسة رقم RFP 2156844 عبر منصة K-Tendering.</t>
        </is>
      </c>
      <c r="F92" s="13" t="inlineStr">
        <is>
          <t>وفقاً لشروط وإجراءات المناقصات والتوريد لدى شركة البترول الوطنية الكويتية (KNPC) عبر منصة K-Tendering.</t>
        </is>
      </c>
      <c r="G92" s="14" t="inlineStr">
        <is>
          <t>عام</t>
        </is>
      </c>
      <c r="H92" s="14" t="inlineStr">
        <is>
          <t>15.0%</t>
        </is>
      </c>
      <c r="I92" s="14" t="inlineStr">
        <is>
          <t>oil_and_gas</t>
        </is>
      </c>
      <c r="J92" s="14" t="inlineStr">
        <is>
          <t>2026-09-06</t>
        </is>
      </c>
      <c r="K92" s="14" t="inlineStr">
        <is>
          <t>2026-10-12</t>
        </is>
      </c>
      <c r="L92" s="14" t="inlineStr">
        <is>
          <t>30000.0</t>
        </is>
      </c>
      <c r="M92" s="14" t="inlineStr">
        <is>
          <t>-</t>
        </is>
      </c>
      <c r="N92" s="25" t="inlineStr">
        <is>
          <t>NEW</t>
        </is>
      </c>
      <c r="O92" s="14" t="inlineStr">
        <is>
          <t>غير متوافقة</t>
        </is>
      </c>
      <c r="P92" s="22">
        <f>HYPERLINK("https://kuwaitalyawm.media.gov.kw/Online/ViewAdsHTML?id=169429&amp;no=1", "عرض المصدر")</f>
        <v/>
      </c>
    </row>
    <row r="93">
      <c r="A93" s="11" t="inlineStr">
        <is>
          <t>2026/2025/37</t>
        </is>
      </c>
      <c r="B93" s="11" t="inlineStr">
        <is>
          <t>وزارة الداخلية</t>
        </is>
      </c>
      <c r="C93" s="11" t="inlineStr">
        <is>
          <t>Khaled Alabdallah</t>
        </is>
      </c>
      <c r="D93" s="11" t="inlineStr">
        <is>
          <t>مناقصة رقم 2026/2025/37: تطوير أنظمة الإدارة والمراقبة وتوفير خدمات تشغيلية لمراكز البيانات</t>
        </is>
      </c>
      <c r="E93" s="11" t="inlineStr">
        <is>
          <t>تنفيذ أعمال تطوير أنظمة الإدارة والمراقبة وتوفير خدمات تشغيلية لمراكز البيانات، وتوفير كافة الأجهزة والمعدات والأنظمة وخدمات الدعم الفني والضمان وفقاً لكراسة الشروط والمواصفات الفنية.</t>
        </is>
      </c>
      <c r="F9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93" s="12" t="inlineStr">
        <is>
          <t>عام</t>
        </is>
      </c>
      <c r="H93" s="12" t="inlineStr">
        <is>
          <t>15.0%</t>
        </is>
      </c>
      <c r="I93" s="12" t="inlineStr">
        <is>
          <t>government</t>
        </is>
      </c>
      <c r="J93" s="12" t="inlineStr">
        <is>
          <t>2026-08-30</t>
        </is>
      </c>
      <c r="K93" s="12" t="inlineStr">
        <is>
          <t>2026-09-23</t>
        </is>
      </c>
      <c r="L93" s="12" t="inlineStr">
        <is>
          <t>-</t>
        </is>
      </c>
      <c r="M93" s="12" t="inlineStr">
        <is>
          <t>-</t>
        </is>
      </c>
      <c r="N93" s="25" t="inlineStr">
        <is>
          <t>NEW</t>
        </is>
      </c>
      <c r="O93" s="12" t="inlineStr">
        <is>
          <t>غير متوافقة مع اختصاصات KBM</t>
        </is>
      </c>
      <c r="P93" s="23">
        <f>HYPERLINK("https://kuwaitalyawm.media.gov.kw/Online/ViewAdsHTML?id=168277&amp;no=1", "عرض المصدر")</f>
        <v/>
      </c>
    </row>
    <row r="94">
      <c r="A94" s="13" t="inlineStr">
        <is>
          <t>1092925</t>
        </is>
      </c>
      <c r="B94" s="13" t="inlineStr">
        <is>
          <t>وزارة الدفاع</t>
        </is>
      </c>
      <c r="C94" s="13" t="inlineStr">
        <is>
          <t>Eiman Ashkanani</t>
        </is>
      </c>
      <c r="D94" s="13" t="inlineStr">
        <is>
          <t>مناقصة رقم 1092925: أعمال صيانة شاملة للمعسكرات التابعة لمراقبة لواء مبارك 15</t>
        </is>
      </c>
      <c r="E94" s="13" t="inlineStr">
        <is>
          <t>أعمال وتوريدات أعمال صيانة شاملة للمعسكرات التابعة لمراقبة لواء مبارك 15 لصالح وزارة الدفاع وفقاً للشروط والمواصفات المعتمدة في وثائق الطرح.</t>
        </is>
      </c>
      <c r="F9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94" s="14" t="inlineStr">
        <is>
          <t>عام</t>
        </is>
      </c>
      <c r="H94" s="14" t="inlineStr">
        <is>
          <t>15.0%</t>
        </is>
      </c>
      <c r="I94" s="14" t="inlineStr">
        <is>
          <t>government</t>
        </is>
      </c>
      <c r="J94" s="14" t="inlineStr">
        <is>
          <t>2026-08-30</t>
        </is>
      </c>
      <c r="K94" s="14" t="inlineStr">
        <is>
          <t>-</t>
        </is>
      </c>
      <c r="L94" s="14" t="inlineStr">
        <is>
          <t>23000.0</t>
        </is>
      </c>
      <c r="M94" s="14" t="inlineStr">
        <is>
          <t>1000.0</t>
        </is>
      </c>
      <c r="N94" s="25" t="inlineStr">
        <is>
          <t>NEW</t>
        </is>
      </c>
      <c r="O94" s="14" t="inlineStr">
        <is>
          <t>غير متوافقة مع اختصاصات KBM</t>
        </is>
      </c>
      <c r="P94" s="22">
        <f>HYPERLINK("https://kuwaitalyawm.media.gov.kw/Online/ViewAdsHTML?id=168278&amp;no=1", "عرض المصدر")</f>
        <v/>
      </c>
    </row>
    <row r="95">
      <c r="A95" s="11" t="inlineStr">
        <is>
          <t>1042826</t>
        </is>
      </c>
      <c r="B95" s="11" t="inlineStr">
        <is>
          <t>وزارة الدفاع</t>
        </is>
      </c>
      <c r="C95" s="11" t="inlineStr">
        <is>
          <t>Eiman Ashkanani</t>
        </is>
      </c>
      <c r="D95" s="11" t="inlineStr">
        <is>
          <t>مناقصة رقم 1042826: تشغيل وصيانة وإصلاح لمحطات الوقود بمعسكرات</t>
        </is>
      </c>
      <c r="E95" s="11" t="inlineStr">
        <is>
          <t>أعمال وتوريدات تشغيل وصيانة وإصلاح لمحطات الوقود بمعسكرات لصالح وزارة الدفاع وفقاً للشروط والمواصفات المعتمدة في وثائق الطرح.</t>
        </is>
      </c>
      <c r="F9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95" s="24" t="inlineStr">
        <is>
          <t>قطاع العمليات المدارة والدعم الفني متعدد الموردين</t>
        </is>
      </c>
      <c r="H95" s="12" t="inlineStr">
        <is>
          <t>64.0%</t>
        </is>
      </c>
      <c r="I95" s="12" t="inlineStr">
        <is>
          <t>government</t>
        </is>
      </c>
      <c r="J95" s="12" t="inlineStr">
        <is>
          <t>2026-08-30</t>
        </is>
      </c>
      <c r="K95" s="12" t="inlineStr">
        <is>
          <t>2026-10-27</t>
        </is>
      </c>
      <c r="L95" s="12" t="inlineStr">
        <is>
          <t>15000.0</t>
        </is>
      </c>
      <c r="M95" s="12" t="inlineStr">
        <is>
          <t>1000.0</t>
        </is>
      </c>
      <c r="N95" s="25" t="inlineStr">
        <is>
          <t>NEW</t>
        </is>
      </c>
      <c r="O95" s="12" t="inlineStr">
        <is>
          <t>فرصة ICT متوافقة مع قدرات KBM</t>
        </is>
      </c>
      <c r="P95" s="23">
        <f>HYPERLINK("https://kuwaitalyawm.media.gov.kw/Online/ViewAdsHTML?id=168279&amp;no=1", "عرض المصدر")</f>
        <v/>
      </c>
    </row>
    <row r="96">
      <c r="A96" s="13" t="inlineStr">
        <is>
          <t>2026/504</t>
        </is>
      </c>
      <c r="B96" s="13" t="inlineStr">
        <is>
          <t>مؤسسة البترول الكويتية</t>
        </is>
      </c>
      <c r="C96" s="13" t="inlineStr">
        <is>
          <t>Eiman Ashkanani</t>
        </is>
      </c>
      <c r="D96" s="13" t="inlineStr">
        <is>
          <t>مناقصة رقم 2026/504: توريد مواد تموينية غذائية</t>
        </is>
      </c>
      <c r="E96" s="13" t="inlineStr">
        <is>
          <t>أعمال وتوريدات توريد مواد تموينية غذائية لصالح مؤسسة البترول الكويتية وفقاً للشروط والمواصفات المعتمدة في وثائق الطرح.</t>
        </is>
      </c>
      <c r="F9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96" s="14" t="inlineStr">
        <is>
          <t>عام</t>
        </is>
      </c>
      <c r="H96" s="14" t="inlineStr">
        <is>
          <t>0.0%</t>
        </is>
      </c>
      <c r="I96" s="14" t="inlineStr">
        <is>
          <t>government</t>
        </is>
      </c>
      <c r="J96" s="14" t="inlineStr">
        <is>
          <t>2026-08-30</t>
        </is>
      </c>
      <c r="K96" s="14" t="inlineStr">
        <is>
          <t>-</t>
        </is>
      </c>
      <c r="L96" s="14" t="inlineStr">
        <is>
          <t>-</t>
        </is>
      </c>
      <c r="M96" s="14" t="inlineStr">
        <is>
          <t>-</t>
        </is>
      </c>
      <c r="N96" s="25" t="inlineStr">
        <is>
          <t>NEW</t>
        </is>
      </c>
      <c r="O96" s="14" t="inlineStr">
        <is>
          <t>غير متوافقة مع اختصاصات KBM</t>
        </is>
      </c>
      <c r="P96" s="22">
        <f>HYPERLINK("https://kuwaitalyawm.media.gov.kw/Online/ViewAdsHTML?id=168747&amp;no=1", "عرض المصدر")</f>
        <v/>
      </c>
    </row>
    <row r="97">
      <c r="A97" s="11" t="inlineStr">
        <is>
          <t>2026/2025/33</t>
        </is>
      </c>
      <c r="B97" s="11" t="inlineStr">
        <is>
          <t>الشركة الكويتية لتزويد الطائرات بالوقود</t>
        </is>
      </c>
      <c r="C97" s="11" t="inlineStr">
        <is>
          <t>Eiman Ashkanani</t>
        </is>
      </c>
      <c r="D97" s="11" t="inlineStr">
        <is>
          <t>مناقصة رقم 2026/2025/33: الحاقا إلى الإعلان الصادر في الجريدة الرسمية ( الكويت اليوم ) العدد رقم (1802) الصفحة رقم (258, 259 &amp; 260) بتاريخ 02/08/2026 بخصوص الموضوع اعلاه ، تود لجنة الشراء العليا لمناقصات الشركة الكويتية لتزويد الطائرات بناء على طلب من الشركة الكويتية لتزويد الطائرات بالوقود شركة تابعة لشركة البترول الوطنية ، أن تسترعي انتباه السادة المناقصين / الشركات إلى أنه تم تمديد موعد الإغلاق للمناقصة إلى يوم الثلاثاء الموافق 15/09/2026 بدلا من يوم الثلاثاء الموافق 01/09/2026</t>
        </is>
      </c>
      <c r="E97" s="11" t="inlineStr">
        <is>
          <t>أعمال وتوريدات الحاقا إلى الإعلان الصادر في الجريدة الرسمية ( الكويت اليوم ) العدد رقم (1802) الصفحة رقم (258, 259 &amp; 260) بتاريخ 02/08/2026 بخصوص الموضوع اعلاه ، تود لجنة الشراء العليا لمناقصات الشركة الكويتية لتزويد الطائرات بناء على طلب من الشركة الكويتية لتزويد الطائرات بالوقود شركة تابعة لشركة البترول الوطنية ، أن تسترعي انتباه السادة المناقصين / الشركات إلى أنه تم تمديد موعد الإغلاق للمناقصة إلى يوم الثلاثاء الموافق 15/09/2026 بدلا من يوم الثلاثاء الموافق 01/09/2026 لصالح الشركة الكويتية لتزويد الطائرات بالوقود وفقاً للشروط والمواصفات المعتمدة في وثائق الطرح.</t>
        </is>
      </c>
      <c r="F9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97" s="12" t="inlineStr">
        <is>
          <t>عام</t>
        </is>
      </c>
      <c r="H97" s="12" t="inlineStr">
        <is>
          <t>0.0%</t>
        </is>
      </c>
      <c r="I97" s="12" t="inlineStr">
        <is>
          <t>government</t>
        </is>
      </c>
      <c r="J97" s="12" t="inlineStr">
        <is>
          <t>2026-08-30</t>
        </is>
      </c>
      <c r="K97" s="12" t="inlineStr">
        <is>
          <t>2026-09-15</t>
        </is>
      </c>
      <c r="L97" s="12" t="inlineStr">
        <is>
          <t>-</t>
        </is>
      </c>
      <c r="M97" s="12" t="inlineStr">
        <is>
          <t>-</t>
        </is>
      </c>
      <c r="N97" s="25" t="inlineStr">
        <is>
          <t>NEW</t>
        </is>
      </c>
      <c r="O97" s="12" t="inlineStr">
        <is>
          <t>غير متوافقة مع اختصاصات KBM</t>
        </is>
      </c>
      <c r="P97" s="23">
        <f>HYPERLINK("https://kuwaitalyawm.media.gov.kw/Online/ViewAdsHTML?id=168756&amp;no=1", "عرض المصدر")</f>
        <v/>
      </c>
    </row>
    <row r="98">
      <c r="A98" s="13" t="inlineStr">
        <is>
          <t>HO/CC066-R0/SV26</t>
        </is>
      </c>
      <c r="B98" s="13" t="inlineStr">
        <is>
          <t>الشركة الكويتية لنفط الخليج</t>
        </is>
      </c>
      <c r="C98" s="13" t="inlineStr">
        <is>
          <t>Eiman Ashkanani</t>
        </is>
      </c>
      <c r="D98" s="13" t="inlineStr">
        <is>
          <t>مناقصة رقم HO/CC066-R0/SV26 - الشركة الكويتية لنفط الخليج</t>
        </is>
      </c>
      <c r="E98" s="13" t="inlineStr">
        <is>
          <t>أعمال وتوريدات مناقصة رقم HO/CC066-R0/SV26 - الشركة الكويتية لنفط الخليج لصالح الشركة الكويتية لنفط الخليج وفقاً للشروط والمواصفات المعتمدة في وثائق الطرح.</t>
        </is>
      </c>
      <c r="F9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98" s="14" t="inlineStr">
        <is>
          <t>عام</t>
        </is>
      </c>
      <c r="H98" s="14" t="inlineStr">
        <is>
          <t>0.0%</t>
        </is>
      </c>
      <c r="I98" s="14" t="inlineStr">
        <is>
          <t>government</t>
        </is>
      </c>
      <c r="J98" s="14" t="inlineStr">
        <is>
          <t>2026-08-30</t>
        </is>
      </c>
      <c r="K98" s="14" t="inlineStr">
        <is>
          <t>2026-12-01</t>
        </is>
      </c>
      <c r="L98" s="14" t="inlineStr">
        <is>
          <t>50000.0</t>
        </is>
      </c>
      <c r="M98" s="14" t="inlineStr">
        <is>
          <t>-</t>
        </is>
      </c>
      <c r="N98" s="25" t="inlineStr">
        <is>
          <t>NEW</t>
        </is>
      </c>
      <c r="O98" s="14" t="inlineStr">
        <is>
          <t>غير متوافقة مع اختصاصات KBM</t>
        </is>
      </c>
      <c r="P98" s="22">
        <f>HYPERLINK("https://kuwaitalyawm.media.gov.kw/Online/ViewAdsHTML?id=168757&amp;no=1", "عرض المصدر")</f>
        <v/>
      </c>
    </row>
    <row r="99">
      <c r="A99" s="11" t="inlineStr">
        <is>
          <t>2026/8/10</t>
        </is>
      </c>
      <c r="B99" s="11" t="inlineStr">
        <is>
          <t>شركة إدارة المرافق العمومية</t>
        </is>
      </c>
      <c r="C99" s="11" t="inlineStr">
        <is>
          <t>Eiman Ashkanani</t>
        </is>
      </c>
      <c r="D99" s="11" t="inlineStr">
        <is>
          <t>مناقصة رقم 2026/8/10: بخصـوص القيام بأعمـال تعديل وصيانة وإعادة توزيع مكاتب مقر شركة إدارة المرافق العمومية - بموقف الأحمدية متعدد الأدوار</t>
        </is>
      </c>
      <c r="E99" s="11" t="inlineStr">
        <is>
          <t>أعمال وتوريدات بخصـوص القيام بأعمـال تعديل وصيانة وإعادة توزيع مكاتب مقر شركة إدارة المرافق العمومية - بموقف الأحمدية متعدد الأدوار لصالح شركة إدارة المرافق العمومية وفقاً للشروط والمواصفات المعتمدة في وثائق الطرح.</t>
        </is>
      </c>
      <c r="F99" s="11" t="inlineStr">
        <is>
          <t>• علماً بأنه آخر موعد لتقديم العطاءات يوم الخميس الموافـق 10/09/2026 الساعة 01:00 ظهراً
• وسيتم عقد اجتماع تمهيدي يوم الاثنين الموافق 31/08/2026 الساعة 10:00 صباحا بمقر الشركة.</t>
        </is>
      </c>
      <c r="G99" s="12" t="inlineStr">
        <is>
          <t>عام</t>
        </is>
      </c>
      <c r="H99" s="12" t="inlineStr">
        <is>
          <t>0.0%</t>
        </is>
      </c>
      <c r="I99" s="12" t="inlineStr">
        <is>
          <t>government</t>
        </is>
      </c>
      <c r="J99" s="12" t="inlineStr">
        <is>
          <t>2026-08-30</t>
        </is>
      </c>
      <c r="K99" s="12" t="inlineStr">
        <is>
          <t>2026-09-10</t>
        </is>
      </c>
      <c r="L99" s="12" t="inlineStr">
        <is>
          <t>2000.0</t>
        </is>
      </c>
      <c r="M99" s="12" t="inlineStr">
        <is>
          <t>150.0</t>
        </is>
      </c>
      <c r="N99" s="25" t="inlineStr">
        <is>
          <t>NEW</t>
        </is>
      </c>
      <c r="O99" s="12" t="inlineStr">
        <is>
          <t>غير متوافقة مع اختصاصات KBM</t>
        </is>
      </c>
      <c r="P99" s="23">
        <f>HYPERLINK("https://kuwaitalyawm.media.gov.kw/Online/ViewAdsHTML?id=168758&amp;no=1", "عرض المصدر")</f>
        <v/>
      </c>
    </row>
    <row r="100">
      <c r="A100" s="13" t="inlineStr">
        <is>
          <t>601750</t>
        </is>
      </c>
      <c r="B100" s="13" t="inlineStr">
        <is>
          <t>شركة البترول الكويتية العالمية</t>
        </is>
      </c>
      <c r="C100" s="13" t="inlineStr">
        <is>
          <t>Eiman Ashkanani</t>
        </is>
      </c>
      <c r="D100" s="13" t="inlineStr">
        <is>
          <t>مناقصة رقم 601750 - شركة البترول الكويتية العالمية</t>
        </is>
      </c>
      <c r="E100" s="13" t="inlineStr">
        <is>
          <t>أعمال وتوريدات مناقصة رقم 601750 لصالح شركة البترول الكويتية العالمية وفقاً للشروط والمواصفات المعتمدة في وثائق الطرح.</t>
        </is>
      </c>
      <c r="F10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00" s="14" t="inlineStr">
        <is>
          <t>عام</t>
        </is>
      </c>
      <c r="H100" s="14" t="inlineStr">
        <is>
          <t>0.0%</t>
        </is>
      </c>
      <c r="I100" s="14" t="inlineStr">
        <is>
          <t>government</t>
        </is>
      </c>
      <c r="J100" s="14" t="inlineStr">
        <is>
          <t>2026-08-30</t>
        </is>
      </c>
      <c r="K100" s="14" t="inlineStr">
        <is>
          <t>2026-09-29</t>
        </is>
      </c>
      <c r="L100" s="14" t="inlineStr">
        <is>
          <t>2500.0</t>
        </is>
      </c>
      <c r="M100" s="14" t="inlineStr">
        <is>
          <t>-</t>
        </is>
      </c>
      <c r="N100" s="25" t="inlineStr">
        <is>
          <t>NEW</t>
        </is>
      </c>
      <c r="O100" s="14" t="inlineStr">
        <is>
          <t>غير متوافقة مع اختصاصات KBM</t>
        </is>
      </c>
      <c r="P100" s="22">
        <f>HYPERLINK("https://kuwaitalyawm.media.gov.kw/Online/ViewAdsHTML?id=168759&amp;no=1", "عرض المصدر")</f>
        <v/>
      </c>
    </row>
    <row r="101">
      <c r="A101" s="11" t="inlineStr">
        <is>
          <t>CC CMS 6104</t>
        </is>
      </c>
      <c r="B101" s="11" t="inlineStr">
        <is>
          <t>شركة البترول الوطنية الكويتية</t>
        </is>
      </c>
      <c r="C101" s="11" t="inlineStr">
        <is>
          <t>Abrar Al-Qallaf</t>
        </is>
      </c>
      <c r="D101" s="11" t="inlineStr">
        <is>
          <t>ممارسة رقم CC CMS 6104: توريد مواد ومهمات تشغيلية لزوم شركة البترول الوطنية الكويتية - شركة البترول الوطنية الكويتية</t>
        </is>
      </c>
      <c r="E101" s="11" t="inlineStr">
        <is>
          <t>أعمال وتوريدات تخصصية لزوم شركة البترول الوطنية الكويتية حسب وثائق الممارسة رقم CC CMS 6104 عبر منصة K-Tendering.</t>
        </is>
      </c>
      <c r="F101" s="11" t="inlineStr">
        <is>
          <t>وفقاً لشروط وإجراءات المناقصات والتوريد لدى شركة البترول الوطنية الكويتية (KNPC) عبر منصة K-Tendering.</t>
        </is>
      </c>
      <c r="G101" s="12" t="inlineStr">
        <is>
          <t>عام</t>
        </is>
      </c>
      <c r="H101" s="12" t="inlineStr">
        <is>
          <t>15.0%</t>
        </is>
      </c>
      <c r="I101" s="12" t="inlineStr">
        <is>
          <t>oil_and_gas</t>
        </is>
      </c>
      <c r="J101" s="12" t="inlineStr">
        <is>
          <t>2026-08-30</t>
        </is>
      </c>
      <c r="K101" s="12" t="inlineStr">
        <is>
          <t>2026-10-01</t>
        </is>
      </c>
      <c r="L101" s="12" t="inlineStr">
        <is>
          <t>50000.0</t>
        </is>
      </c>
      <c r="M101" s="12" t="inlineStr">
        <is>
          <t>500.0</t>
        </is>
      </c>
      <c r="N101" s="25" t="inlineStr">
        <is>
          <t>NEW</t>
        </is>
      </c>
      <c r="O101" s="12" t="inlineStr">
        <is>
          <t>غير متوافقة</t>
        </is>
      </c>
      <c r="P101" s="23">
        <f>HYPERLINK("https://kuwaitalyawm.media.gov.kw/Online/ViewAdsHTML?id=168768&amp;no=1", "عرض المصدر")</f>
        <v/>
      </c>
    </row>
    <row r="102">
      <c r="A102" s="13" t="inlineStr">
        <is>
          <t>126</t>
        </is>
      </c>
      <c r="B102" s="13" t="inlineStr">
        <is>
          <t>شركة البترول الوطنية الكويتية</t>
        </is>
      </c>
      <c r="C102" s="13" t="inlineStr">
        <is>
          <t>Abrar Al-Qallaf</t>
        </is>
      </c>
      <c r="D102" s="13" t="inlineStr">
        <is>
          <t>ممارسة رقم 126: توريد مواد ومهمات تشغيلية لزوم شركة البترول الوطنية الكويتية - شركة البترول الوطنية الكويتية</t>
        </is>
      </c>
      <c r="E102" s="13" t="inlineStr">
        <is>
          <t>أعمال وتوريدات تخصصية لزوم شركة البترول الوطنية الكويتية حسب وثائق الممارسة رقم 126 عبر منصة K-Tendering.</t>
        </is>
      </c>
      <c r="F102" s="13" t="inlineStr">
        <is>
          <t>وفقاً لشروط وإجراءات المناقصات والتوريد لدى شركة البترول الوطنية الكويتية (KNPC) عبر منصة K-Tendering.</t>
        </is>
      </c>
      <c r="G102" s="14" t="inlineStr">
        <is>
          <t>عام</t>
        </is>
      </c>
      <c r="H102" s="14" t="inlineStr">
        <is>
          <t>15.0%</t>
        </is>
      </c>
      <c r="I102" s="14" t="inlineStr">
        <is>
          <t>oil_and_gas</t>
        </is>
      </c>
      <c r="J102" s="14" t="inlineStr">
        <is>
          <t>2026-08-30</t>
        </is>
      </c>
      <c r="K102" s="14" t="inlineStr">
        <is>
          <t>-</t>
        </is>
      </c>
      <c r="L102" s="14" t="inlineStr">
        <is>
          <t>-</t>
        </is>
      </c>
      <c r="M102" s="14" t="inlineStr">
        <is>
          <t>-</t>
        </is>
      </c>
      <c r="N102" s="25" t="inlineStr">
        <is>
          <t>NEW</t>
        </is>
      </c>
      <c r="O102" s="14" t="inlineStr">
        <is>
          <t>غير متوافقة</t>
        </is>
      </c>
      <c r="P102" s="22">
        <f>HYPERLINK("https://kuwaitalyawm.media.gov.kw/Online/ViewAdsHTML?id=168769&amp;no=1", "عرض المصدر")</f>
        <v/>
      </c>
    </row>
    <row r="103">
      <c r="A103" s="11" t="inlineStr">
        <is>
          <t>2026/4</t>
        </is>
      </c>
      <c r="B103" s="11" t="inlineStr">
        <is>
          <t>شركة ناقلات النفط الكويتية</t>
        </is>
      </c>
      <c r="C103" s="11" t="inlineStr">
        <is>
          <t>Ahmed Habib</t>
        </is>
      </c>
      <c r="D103" s="11" t="inlineStr">
        <is>
          <t>مناقصة رقم 2026/4: إعلان طرح المناقصة الخاصة بتقديم خدمات النظافة والمناولة لشركة ناقلات النفط الكويتية</t>
        </is>
      </c>
      <c r="E103" s="11" t="inlineStr">
        <is>
          <t>توفير خدمات وأعمال النظافة العامة والشاملة للمباني والمرافق وتوفير العمالة والمعدات والمستهلكات اللازمة.</t>
        </is>
      </c>
      <c r="F10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03" s="12" t="inlineStr">
        <is>
          <t>عام</t>
        </is>
      </c>
      <c r="H103" s="12" t="inlineStr">
        <is>
          <t>0.0%</t>
        </is>
      </c>
      <c r="I103" s="12" t="inlineStr">
        <is>
          <t>government</t>
        </is>
      </c>
      <c r="J103" s="12" t="inlineStr">
        <is>
          <t>2026-08-30</t>
        </is>
      </c>
      <c r="K103" s="12" t="inlineStr">
        <is>
          <t>2026-10-13</t>
        </is>
      </c>
      <c r="L103" s="12" t="inlineStr">
        <is>
          <t>15000.0</t>
        </is>
      </c>
      <c r="M103" s="12" t="inlineStr">
        <is>
          <t>-</t>
        </is>
      </c>
      <c r="N103" s="25" t="inlineStr">
        <is>
          <t>NEW</t>
        </is>
      </c>
      <c r="O103" s="12" t="inlineStr">
        <is>
          <t>غير متوافقة مع اختصاصات KBM</t>
        </is>
      </c>
      <c r="P103" s="23">
        <f>HYPERLINK("https://kuwaitalyawm.media.gov.kw/Online/ViewAdsHTML?id=168772&amp;no=1", "عرض المصدر")</f>
        <v/>
      </c>
    </row>
    <row r="104">
      <c r="A104" s="13" t="inlineStr">
        <is>
          <t>RFQ 2163800</t>
        </is>
      </c>
      <c r="B104" s="13" t="inlineStr">
        <is>
          <t>شركة البترول الوطنية الكويتية</t>
        </is>
      </c>
      <c r="C104" s="13" t="inlineStr">
        <is>
          <t>Abrar Al-Qallaf</t>
        </is>
      </c>
      <c r="D104" s="13" t="inlineStr">
        <is>
          <t>ممارسة رقم RFQ 2163800: توريد مواد ومهمات تشغيلية لزوم شركة البترول الوطنية الكويتية - شركة البترول الوطنية الكويتية</t>
        </is>
      </c>
      <c r="E104" s="13" t="inlineStr">
        <is>
          <t>أعمال وتوريدات تخصصية لزوم شركة البترول الوطنية الكويتية حسب وثائق الممارسة رقم RFQ 2163800 عبر منصة K-Tendering.</t>
        </is>
      </c>
      <c r="F104" s="13" t="inlineStr">
        <is>
          <t>وفقاً لشروط وإجراءات المناقصات والتوريد لدى شركة البترول الوطنية الكويتية (KNPC) عبر منصة K-Tendering.</t>
        </is>
      </c>
      <c r="G104" s="14" t="inlineStr">
        <is>
          <t>عام</t>
        </is>
      </c>
      <c r="H104" s="14" t="inlineStr">
        <is>
          <t>15.0%</t>
        </is>
      </c>
      <c r="I104" s="14" t="inlineStr">
        <is>
          <t>oil_and_gas</t>
        </is>
      </c>
      <c r="J104" s="14" t="inlineStr">
        <is>
          <t>2026-08-30</t>
        </is>
      </c>
      <c r="K104" s="14" t="inlineStr">
        <is>
          <t>-</t>
        </is>
      </c>
      <c r="L104" s="14" t="inlineStr">
        <is>
          <t>-</t>
        </is>
      </c>
      <c r="M104" s="14" t="inlineStr">
        <is>
          <t>-</t>
        </is>
      </c>
      <c r="N104" s="25" t="inlineStr">
        <is>
          <t>NEW</t>
        </is>
      </c>
      <c r="O104" s="14" t="inlineStr">
        <is>
          <t>غير متوافقة</t>
        </is>
      </c>
      <c r="P104" s="22">
        <f>HYPERLINK("https://kuwaitalyawm.media.gov.kw/Online/ViewAdsHTML?id=168778&amp;no=1", "عرض المصدر")</f>
        <v/>
      </c>
    </row>
    <row r="105">
      <c r="A105" s="11" t="inlineStr">
        <is>
          <t>RFQ 2161955</t>
        </is>
      </c>
      <c r="B105" s="11" t="inlineStr">
        <is>
          <t>شركة البترول الوطنية الكويتية</t>
        </is>
      </c>
      <c r="C105" s="11" t="inlineStr">
        <is>
          <t>Abrar Al-Qallaf</t>
        </is>
      </c>
      <c r="D105" s="11" t="inlineStr">
        <is>
          <t>ممارسة رقم RFQ 2161955: توريد مواد ومهمات تشغيلية لزوم شركة البترول الوطنية الكويتية - شركة البترول الوطنية الكويتية</t>
        </is>
      </c>
      <c r="E105" s="11" t="inlineStr">
        <is>
          <t>أعمال وتوريدات تخصصية لزوم شركة البترول الوطنية الكويتية حسب وثائق الممارسة رقم RFQ 2161955 عبر منصة K-Tendering.</t>
        </is>
      </c>
      <c r="F105" s="11" t="inlineStr">
        <is>
          <t>وفقاً لشروط وإجراءات المناقصات والتوريد لدى شركة البترول الوطنية الكويتية (KNPC) عبر منصة K-Tendering.</t>
        </is>
      </c>
      <c r="G105" s="12" t="inlineStr">
        <is>
          <t>عام</t>
        </is>
      </c>
      <c r="H105" s="12" t="inlineStr">
        <is>
          <t>15.0%</t>
        </is>
      </c>
      <c r="I105" s="12" t="inlineStr">
        <is>
          <t>oil_and_gas</t>
        </is>
      </c>
      <c r="J105" s="12" t="inlineStr">
        <is>
          <t>2026-08-30</t>
        </is>
      </c>
      <c r="K105" s="12" t="inlineStr">
        <is>
          <t>-</t>
        </is>
      </c>
      <c r="L105" s="12" t="inlineStr">
        <is>
          <t>-</t>
        </is>
      </c>
      <c r="M105" s="12" t="inlineStr">
        <is>
          <t>-</t>
        </is>
      </c>
      <c r="N105" s="25" t="inlineStr">
        <is>
          <t>NEW</t>
        </is>
      </c>
      <c r="O105" s="12" t="inlineStr">
        <is>
          <t>غير متوافقة</t>
        </is>
      </c>
      <c r="P105" s="23">
        <f>HYPERLINK("https://kuwaitalyawm.media.gov.kw/Online/ViewAdsHTML?id=168779&amp;no=1", "عرض المصدر")</f>
        <v/>
      </c>
    </row>
    <row r="106">
      <c r="A106" s="13" t="inlineStr">
        <is>
          <t>RFQ 2151259</t>
        </is>
      </c>
      <c r="B106" s="13" t="inlineStr">
        <is>
          <t>شركة البترول الوطنية الكويتية</t>
        </is>
      </c>
      <c r="C106" s="13" t="inlineStr">
        <is>
          <t>Abrar Al-Qallaf</t>
        </is>
      </c>
      <c r="D106" s="13" t="inlineStr">
        <is>
          <t>ممارسة رقم RFQ 2151259: توريد مواد ومهمات تشغيلية لزوم شركة البترول الوطنية الكويتية - شركة البترول الوطنية الكويتية</t>
        </is>
      </c>
      <c r="E106" s="13" t="inlineStr">
        <is>
          <t>أعمال وتوريدات تخصصية لزوم شركة البترول الوطنية الكويتية حسب وثائق الممارسة رقم RFQ 2151259 عبر منصة K-Tendering.</t>
        </is>
      </c>
      <c r="F106" s="13" t="inlineStr">
        <is>
          <t>وفقاً لشروط وإجراءات المناقصات والتوريد لدى شركة البترول الوطنية الكويتية (KNPC) عبر منصة K-Tendering.</t>
        </is>
      </c>
      <c r="G106" s="14" t="inlineStr">
        <is>
          <t>عام</t>
        </is>
      </c>
      <c r="H106" s="14" t="inlineStr">
        <is>
          <t>15.0%</t>
        </is>
      </c>
      <c r="I106" s="14" t="inlineStr">
        <is>
          <t>oil_and_gas</t>
        </is>
      </c>
      <c r="J106" s="14" t="inlineStr">
        <is>
          <t>2026-08-30</t>
        </is>
      </c>
      <c r="K106" s="14" t="inlineStr">
        <is>
          <t>-</t>
        </is>
      </c>
      <c r="L106" s="14" t="inlineStr">
        <is>
          <t>-</t>
        </is>
      </c>
      <c r="M106" s="14" t="inlineStr">
        <is>
          <t>-</t>
        </is>
      </c>
      <c r="N106" s="25" t="inlineStr">
        <is>
          <t>NEW</t>
        </is>
      </c>
      <c r="O106" s="14" t="inlineStr">
        <is>
          <t>غير متوافقة</t>
        </is>
      </c>
      <c r="P106" s="22">
        <f>HYPERLINK("https://kuwaitalyawm.media.gov.kw/Online/ViewAdsHTML?id=168780&amp;no=1", "عرض المصدر")</f>
        <v/>
      </c>
    </row>
    <row r="107">
      <c r="A107" s="11" t="inlineStr">
        <is>
          <t>RFQ 2160432</t>
        </is>
      </c>
      <c r="B107" s="11" t="inlineStr">
        <is>
          <t>شركة البترول الوطنية الكويتية</t>
        </is>
      </c>
      <c r="C107" s="11" t="inlineStr">
        <is>
          <t>Abrar Al-Qallaf</t>
        </is>
      </c>
      <c r="D107" s="11" t="inlineStr">
        <is>
          <t>ممارسة رقم RFQ 2160432: توريد مواد ومهمات تشغيلية لزوم شركة البترول الوطنية الكويتية - شركة البترول الوطنية الكويتية</t>
        </is>
      </c>
      <c r="E107" s="11" t="inlineStr">
        <is>
          <t>أعمال وتوريدات تخصصية لزوم شركة البترول الوطنية الكويتية حسب وثائق الممارسة رقم RFQ 2160432 عبر منصة K-Tendering.</t>
        </is>
      </c>
      <c r="F107" s="11" t="inlineStr">
        <is>
          <t>وفقاً لشروط وإجراءات المناقصات والتوريد لدى شركة البترول الوطنية الكويتية (KNPC) عبر منصة K-Tendering.</t>
        </is>
      </c>
      <c r="G107" s="12" t="inlineStr">
        <is>
          <t>عام</t>
        </is>
      </c>
      <c r="H107" s="12" t="inlineStr">
        <is>
          <t>15.0%</t>
        </is>
      </c>
      <c r="I107" s="12" t="inlineStr">
        <is>
          <t>oil_and_gas</t>
        </is>
      </c>
      <c r="J107" s="12" t="inlineStr">
        <is>
          <t>2026-08-30</t>
        </is>
      </c>
      <c r="K107" s="12" t="inlineStr">
        <is>
          <t>-</t>
        </is>
      </c>
      <c r="L107" s="12" t="inlineStr">
        <is>
          <t>-</t>
        </is>
      </c>
      <c r="M107" s="12" t="inlineStr">
        <is>
          <t>-</t>
        </is>
      </c>
      <c r="N107" s="25" t="inlineStr">
        <is>
          <t>NEW</t>
        </is>
      </c>
      <c r="O107" s="12" t="inlineStr">
        <is>
          <t>غير متوافقة</t>
        </is>
      </c>
      <c r="P107" s="23">
        <f>HYPERLINK("https://kuwaitalyawm.media.gov.kw/Online/ViewAdsHTML?id=168781&amp;no=1", "عرض المصدر")</f>
        <v/>
      </c>
    </row>
    <row r="108">
      <c r="A108" s="13" t="inlineStr">
        <is>
          <t>RFQ 2164511</t>
        </is>
      </c>
      <c r="B108" s="13" t="inlineStr">
        <is>
          <t>شركة البترول الوطنية الكويتية</t>
        </is>
      </c>
      <c r="C108" s="13" t="inlineStr">
        <is>
          <t>Abrar Al-Qallaf</t>
        </is>
      </c>
      <c r="D108" s="13" t="inlineStr">
        <is>
          <t>ممارسة رقم RFQ 2164511: توريد مواد ومهمات تشغيلية لزوم شركة البترول الوطنية الكويتية - شركة البترول الوطنية الكويتية</t>
        </is>
      </c>
      <c r="E108" s="13" t="inlineStr">
        <is>
          <t>أعمال وتوريدات تخصصية لزوم شركة البترول الوطنية الكويتية حسب وثائق الممارسة رقم RFQ 2164511 عبر منصة K-Tendering.</t>
        </is>
      </c>
      <c r="F108" s="13" t="inlineStr">
        <is>
          <t>وفقاً لشروط وإجراءات المناقصات والتوريد لدى شركة البترول الوطنية الكويتية (KNPC) عبر منصة K-Tendering.</t>
        </is>
      </c>
      <c r="G108" s="14" t="inlineStr">
        <is>
          <t>عام</t>
        </is>
      </c>
      <c r="H108" s="14" t="inlineStr">
        <is>
          <t>15.0%</t>
        </is>
      </c>
      <c r="I108" s="14" t="inlineStr">
        <is>
          <t>oil_and_gas</t>
        </is>
      </c>
      <c r="J108" s="14" t="inlineStr">
        <is>
          <t>2026-08-30</t>
        </is>
      </c>
      <c r="K108" s="14" t="inlineStr">
        <is>
          <t>2026-12-07</t>
        </is>
      </c>
      <c r="L108" s="14" t="inlineStr">
        <is>
          <t>5000.0</t>
        </is>
      </c>
      <c r="M108" s="14" t="inlineStr">
        <is>
          <t>-</t>
        </is>
      </c>
      <c r="N108" s="25" t="inlineStr">
        <is>
          <t>NEW</t>
        </is>
      </c>
      <c r="O108" s="14" t="inlineStr">
        <is>
          <t>غير متوافقة</t>
        </is>
      </c>
      <c r="P108" s="22">
        <f>HYPERLINK("https://kuwaitalyawm.media.gov.kw/Online/ViewAdsHTML?id=168784&amp;no=1", "عرض المصدر")</f>
        <v/>
      </c>
    </row>
    <row r="109">
      <c r="A109" s="11" t="inlineStr">
        <is>
          <t>RFQ 2166316</t>
        </is>
      </c>
      <c r="B109" s="11" t="inlineStr">
        <is>
          <t>شركة البترول الوطنية الكويتية</t>
        </is>
      </c>
      <c r="C109" s="11" t="inlineStr">
        <is>
          <t>Abrar Al-Qallaf</t>
        </is>
      </c>
      <c r="D109" s="11" t="inlineStr">
        <is>
          <t>ممارسة رقم RFQ 2166316: توريد مواد ومهمات تشغيلية لزوم شركة البترول الوطنية الكويتية - شركة البترول الوطنية الكويتية</t>
        </is>
      </c>
      <c r="E109" s="11" t="inlineStr">
        <is>
          <t>أعمال وتوريدات تخصصية لزوم شركة البترول الوطنية الكويتية حسب وثائق الممارسة رقم RFQ 2166316 عبر منصة K-Tendering.</t>
        </is>
      </c>
      <c r="F109" s="11" t="inlineStr">
        <is>
          <t>وفقاً لشروط وإجراءات المناقصات والتوريد لدى شركة البترول الوطنية الكويتية (KNPC) عبر منصة K-Tendering.</t>
        </is>
      </c>
      <c r="G109" s="12" t="inlineStr">
        <is>
          <t>عام</t>
        </is>
      </c>
      <c r="H109" s="12" t="inlineStr">
        <is>
          <t>15.0%</t>
        </is>
      </c>
      <c r="I109" s="12" t="inlineStr">
        <is>
          <t>oil_and_gas</t>
        </is>
      </c>
      <c r="J109" s="12" t="inlineStr">
        <is>
          <t>2026-08-30</t>
        </is>
      </c>
      <c r="K109" s="12" t="inlineStr">
        <is>
          <t>2026-11-30</t>
        </is>
      </c>
      <c r="L109" s="12" t="inlineStr">
        <is>
          <t>150000.0</t>
        </is>
      </c>
      <c r="M109" s="12" t="inlineStr">
        <is>
          <t>-</t>
        </is>
      </c>
      <c r="N109" s="25" t="inlineStr">
        <is>
          <t>NEW</t>
        </is>
      </c>
      <c r="O109" s="12" t="inlineStr">
        <is>
          <t>غير متوافقة</t>
        </is>
      </c>
      <c r="P109" s="23">
        <f>HYPERLINK("https://kuwaitalyawm.media.gov.kw/Online/ViewAdsHTML?id=168785&amp;no=1", "عرض المصدر")</f>
        <v/>
      </c>
    </row>
    <row r="110">
      <c r="A110" s="13" t="inlineStr">
        <is>
          <t>RFP 2162824</t>
        </is>
      </c>
      <c r="B110" s="13" t="inlineStr">
        <is>
          <t>شركة البترول الوطنية الكويتية</t>
        </is>
      </c>
      <c r="C110" s="13" t="inlineStr">
        <is>
          <t>Abrar Al-Qallaf</t>
        </is>
      </c>
      <c r="D110" s="13" t="inlineStr">
        <is>
          <t>ممارسة رقم RFP 2162824: توريد مواد ومهمات تشغيلية لزوم شركة البترول الوطنية الكويتية - شركة البترول الوطنية الكويتية</t>
        </is>
      </c>
      <c r="E110" s="13" t="inlineStr">
        <is>
          <t>أعمال وتوريدات تخصصية لزوم شركة البترول الوطنية الكويتية حسب وثائق الممارسة رقم RFP 2162824 عبر منصة K-Tendering.</t>
        </is>
      </c>
      <c r="F110" s="13" t="inlineStr">
        <is>
          <t>وفقاً لشروط وإجراءات المناقصات والتوريد لدى شركة البترول الوطنية الكويتية (KNPC) عبر منصة K-Tendering.</t>
        </is>
      </c>
      <c r="G110" s="14" t="inlineStr">
        <is>
          <t>عام</t>
        </is>
      </c>
      <c r="H110" s="14" t="inlineStr">
        <is>
          <t>15.0%</t>
        </is>
      </c>
      <c r="I110" s="14" t="inlineStr">
        <is>
          <t>oil_and_gas</t>
        </is>
      </c>
      <c r="J110" s="14" t="inlineStr">
        <is>
          <t>2026-08-30</t>
        </is>
      </c>
      <c r="K110" s="14" t="inlineStr">
        <is>
          <t>2026-11-30</t>
        </is>
      </c>
      <c r="L110" s="14" t="inlineStr">
        <is>
          <t>50000.0</t>
        </is>
      </c>
      <c r="M110" s="14" t="inlineStr">
        <is>
          <t>-</t>
        </is>
      </c>
      <c r="N110" s="25" t="inlineStr">
        <is>
          <t>NEW</t>
        </is>
      </c>
      <c r="O110" s="14" t="inlineStr">
        <is>
          <t>غير متوافقة</t>
        </is>
      </c>
      <c r="P110" s="22">
        <f>HYPERLINK("https://kuwaitalyawm.media.gov.kw/Online/ViewAdsHTML?id=168786&amp;no=1", "عرض المصدر")</f>
        <v/>
      </c>
    </row>
    <row r="111">
      <c r="A111" s="11" t="inlineStr">
        <is>
          <t>2026/2025/41</t>
        </is>
      </c>
      <c r="B111" s="11" t="inlineStr">
        <is>
          <t>وزارة الداخلية</t>
        </is>
      </c>
      <c r="C111" s="11" t="inlineStr">
        <is>
          <t>Khaled Alabdallah</t>
        </is>
      </c>
      <c r="D111" s="11" t="inlineStr">
        <is>
          <t>مناقصة رقم 2026/2025/41: يرجـى العلم بأنه تم تعديل قيمة التأمين الأولي بشأن المناقصة المذكورة أعــــــلاه ليصبح مبلغ (-/12,000 د.ك) فقط إثنى عشر ألف دينار كويتي لا غير.</t>
        </is>
      </c>
      <c r="E111" s="11" t="inlineStr">
        <is>
          <t>أعمال وتوريدات يرجـى العلم بأنه تم تعديل قيمة التأمين الأولي بشأن المناقصة المذكورة أعــــــلاه ليصبح مبلغ (-/12,000 د.ك) فقط إثنى عشر ألف دينار كويتي لا غير. لصالح وزارة الداخلية وفقاً للشروط والمواصفات المعتمدة في وثائق الطرح.</t>
        </is>
      </c>
      <c r="F11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11" s="12" t="inlineStr">
        <is>
          <t>عام</t>
        </is>
      </c>
      <c r="H111" s="12" t="inlineStr">
        <is>
          <t>0.0%</t>
        </is>
      </c>
      <c r="I111" s="12" t="inlineStr">
        <is>
          <t>government</t>
        </is>
      </c>
      <c r="J111" s="12" t="inlineStr">
        <is>
          <t>2026-08-23</t>
        </is>
      </c>
      <c r="K111" s="12" t="inlineStr">
        <is>
          <t>-</t>
        </is>
      </c>
      <c r="L111" s="12" t="inlineStr">
        <is>
          <t>12000.0</t>
        </is>
      </c>
      <c r="M111" s="12" t="inlineStr">
        <is>
          <t>-</t>
        </is>
      </c>
      <c r="N111" s="25" t="inlineStr">
        <is>
          <t>NEW</t>
        </is>
      </c>
      <c r="O111" s="12" t="inlineStr">
        <is>
          <t>غير متوافقة مع اختصاصات KBM</t>
        </is>
      </c>
      <c r="P111" s="23">
        <f>HYPERLINK("https://kuwaitalyawm.media.gov.kw/Online/ViewAdsHTML?id=167483&amp;no=1", "عرض المصدر")</f>
        <v/>
      </c>
    </row>
    <row r="112">
      <c r="A112" s="13" t="inlineStr">
        <is>
          <t>2027/2026/1302</t>
        </is>
      </c>
      <c r="B112" s="13" t="inlineStr">
        <is>
          <t>المؤسسة العامة للرعاية السكنية</t>
        </is>
      </c>
      <c r="C112" s="13" t="inlineStr">
        <is>
          <t>Eiman Ashkanani</t>
        </is>
      </c>
      <c r="D112" s="13" t="inlineStr">
        <is>
          <t>مناقصة رقم 2027/2026/1302: أعمال إنشاء وإنـجاز وصيانة طبقة الاسفلت السطحية</t>
        </is>
      </c>
      <c r="E112" s="13" t="inlineStr">
        <is>
          <t>تنفيذ الأعمال المدنية والإنشائية والترميم والصيانة العامة للمباني والمنشآت والمرافق التابعة للجهة.</t>
        </is>
      </c>
      <c r="F11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12" s="14" t="inlineStr">
        <is>
          <t>عام</t>
        </is>
      </c>
      <c r="H112" s="14" t="inlineStr">
        <is>
          <t>28.0%</t>
        </is>
      </c>
      <c r="I112" s="14" t="inlineStr">
        <is>
          <t>government</t>
        </is>
      </c>
      <c r="J112" s="14" t="inlineStr">
        <is>
          <t>2026-08-23</t>
        </is>
      </c>
      <c r="K112" s="14" t="inlineStr">
        <is>
          <t>2026-09-13</t>
        </is>
      </c>
      <c r="L112" s="14" t="inlineStr">
        <is>
          <t>-</t>
        </is>
      </c>
      <c r="M112" s="14" t="inlineStr">
        <is>
          <t>-</t>
        </is>
      </c>
      <c r="N112" s="25" t="inlineStr">
        <is>
          <t>NEW</t>
        </is>
      </c>
      <c r="O112" s="14" t="inlineStr">
        <is>
          <t>غير متوافقة مع اختصاصات KBM</t>
        </is>
      </c>
      <c r="P112" s="22">
        <f>HYPERLINK("https://kuwaitalyawm.media.gov.kw/Online/ViewAdsHTML?id=167880&amp;no=1", "عرض المصدر")</f>
        <v/>
      </c>
    </row>
    <row r="113">
      <c r="A113" s="11" t="inlineStr">
        <is>
          <t>2027/2026/1434</t>
        </is>
      </c>
      <c r="B113" s="11" t="inlineStr">
        <is>
          <t>المؤسسة العامة للرعاية السكنية</t>
        </is>
      </c>
      <c r="C113" s="11" t="inlineStr">
        <is>
          <t>Eiman Ashkanani</t>
        </is>
      </c>
      <c r="D113" s="11" t="inlineStr">
        <is>
          <t>مناقصة رقم 2027/2026/1434 - المؤسسة العامة للرعاية السكنية</t>
        </is>
      </c>
      <c r="E113" s="11" t="inlineStr">
        <is>
          <t>أعمال وتوريدات مناقصة رقم 2027/2026/1434 لصالح المؤسسة العامة للرعاية السكنية وفقاً للشروط والمواصفات المعتمدة في وثائق الطرح.</t>
        </is>
      </c>
      <c r="F11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13" s="12" t="inlineStr">
        <is>
          <t>عام</t>
        </is>
      </c>
      <c r="H113" s="12" t="inlineStr">
        <is>
          <t>0.0%</t>
        </is>
      </c>
      <c r="I113" s="12" t="inlineStr">
        <is>
          <t>government</t>
        </is>
      </c>
      <c r="J113" s="12" t="inlineStr">
        <is>
          <t>2026-08-23</t>
        </is>
      </c>
      <c r="K113" s="12" t="inlineStr">
        <is>
          <t>2026-08-26</t>
        </is>
      </c>
      <c r="L113" s="12" t="inlineStr">
        <is>
          <t>-</t>
        </is>
      </c>
      <c r="M113" s="12" t="inlineStr">
        <is>
          <t>-</t>
        </is>
      </c>
      <c r="N113" s="25" t="inlineStr">
        <is>
          <t>NEW</t>
        </is>
      </c>
      <c r="O113" s="12" t="inlineStr">
        <is>
          <t>غير متوافقة مع اختصاصات KBM</t>
        </is>
      </c>
      <c r="P113" s="23">
        <f>HYPERLINK("https://kuwaitalyawm.media.gov.kw/Online/ViewAdsHTML?id=167881&amp;no=1", "عرض المصدر")</f>
        <v/>
      </c>
    </row>
    <row r="114">
      <c r="A114" s="13" t="inlineStr">
        <is>
          <t>2027/2026/1435</t>
        </is>
      </c>
      <c r="B114" s="13" t="inlineStr">
        <is>
          <t>المؤسسة العامة للرعاية السكنية</t>
        </is>
      </c>
      <c r="C114" s="13" t="inlineStr">
        <is>
          <t>Eiman Ashkanani</t>
        </is>
      </c>
      <c r="D114" s="13" t="inlineStr">
        <is>
          <t>مناقصة رقم 2027/2026/1435 - المؤسسة العامة للرعاية السكنية</t>
        </is>
      </c>
      <c r="E114" s="13" t="inlineStr">
        <is>
          <t>أعمال وتوريدات مناقصة رقم 2027/2026/1435 لصالح المؤسسة العامة للرعاية السكنية وفقاً للشروط والمواصفات المعتمدة في وثائق الطرح.</t>
        </is>
      </c>
      <c r="F11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14" s="14" t="inlineStr">
        <is>
          <t>عام</t>
        </is>
      </c>
      <c r="H114" s="14" t="inlineStr">
        <is>
          <t>0.0%</t>
        </is>
      </c>
      <c r="I114" s="14" t="inlineStr">
        <is>
          <t>government</t>
        </is>
      </c>
      <c r="J114" s="14" t="inlineStr">
        <is>
          <t>2026-08-23</t>
        </is>
      </c>
      <c r="K114" s="14" t="inlineStr">
        <is>
          <t>2026-08-26</t>
        </is>
      </c>
      <c r="L114" s="14" t="inlineStr">
        <is>
          <t>-</t>
        </is>
      </c>
      <c r="M114" s="14" t="inlineStr">
        <is>
          <t>-</t>
        </is>
      </c>
      <c r="N114" s="25" t="inlineStr">
        <is>
          <t>NEW</t>
        </is>
      </c>
      <c r="O114" s="14" t="inlineStr">
        <is>
          <t>غير متوافقة مع اختصاصات KBM</t>
        </is>
      </c>
      <c r="P114" s="22">
        <f>HYPERLINK("https://kuwaitalyawm.media.gov.kw/Online/ViewAdsHTML?id=167882&amp;no=1", "عرض المصدر")</f>
        <v/>
      </c>
    </row>
    <row r="115">
      <c r="A115" s="11" t="inlineStr">
        <is>
          <t>2026/2025/15</t>
        </is>
      </c>
      <c r="B115" s="11" t="inlineStr">
        <is>
          <t>الشركة الكويتية لتزويد الطائرات بالوقود</t>
        </is>
      </c>
      <c r="C115" s="11" t="inlineStr">
        <is>
          <t>Eiman Ashkanani</t>
        </is>
      </c>
      <c r="D115" s="11" t="inlineStr">
        <is>
          <t>مناقصة رقم 2026/2025/15 - الشركة الكويتية لتزويد الطائرات بالوقود</t>
        </is>
      </c>
      <c r="E115" s="11" t="inlineStr">
        <is>
          <t>أعمال وتوريدات مناقصة رقم 2026/2025/15 - الشركة الكويتية لتزويد الطائرات بالوقود لصالح الشركة الكويتية لتزويد الطائرات بالوقود وفقاً للشروط والمواصفات المعتمدة في وثائق الطرح.</t>
        </is>
      </c>
      <c r="F11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15" s="12" t="inlineStr">
        <is>
          <t>عام</t>
        </is>
      </c>
      <c r="H115" s="12" t="inlineStr">
        <is>
          <t>0.0%</t>
        </is>
      </c>
      <c r="I115" s="12" t="inlineStr">
        <is>
          <t>government</t>
        </is>
      </c>
      <c r="J115" s="12" t="inlineStr">
        <is>
          <t>2026-08-23</t>
        </is>
      </c>
      <c r="K115" s="12" t="inlineStr">
        <is>
          <t>-</t>
        </is>
      </c>
      <c r="L115" s="12" t="inlineStr">
        <is>
          <t>19998.5</t>
        </is>
      </c>
      <c r="M115" s="12" t="inlineStr">
        <is>
          <t>-</t>
        </is>
      </c>
      <c r="N115" s="25" t="inlineStr">
        <is>
          <t>NEW</t>
        </is>
      </c>
      <c r="O115" s="12" t="inlineStr">
        <is>
          <t>غير متوافقة مع اختصاصات KBM</t>
        </is>
      </c>
      <c r="P115" s="23">
        <f>HYPERLINK("https://kuwaitalyawm.media.gov.kw/Online/ViewAdsHTML?id=167896&amp;no=1", "عرض المصدر")</f>
        <v/>
      </c>
    </row>
    <row r="116">
      <c r="A116" s="13" t="inlineStr">
        <is>
          <t>2024/2023/30</t>
        </is>
      </c>
      <c r="B116" s="13" t="inlineStr">
        <is>
          <t>الشركة الكويتية لتزويد الطائرات بالوقود</t>
        </is>
      </c>
      <c r="C116" s="13" t="inlineStr">
        <is>
          <t>Eiman Ashkanani</t>
        </is>
      </c>
      <c r="D116" s="13" t="inlineStr">
        <is>
          <t>مناقصة رقم 2024/2023/30: الحاقا الى الإعلان الصادر في الجريدة الرسمية (الكويت اليوم) العدد رقم (1804) الصفحة رقم (247 &amp; 248) بتاريخ 16/08/2026 بخصوص الموضوع اعلاه، تود لجنة الشراء العليا لمناقصات الشركة الكويتية لتزويد الطائرات بناء على طلب من الشركة الكويتية لتزويد الطائرات بالوقود، ان تسترعي انتباه السادة المناقصين / الشركات الى انه تم تغيير موعد تاريخ الاجتماع التمهيدي للمناقصة الى يوم الاثنين الموافق 1/9/2026 بدلا من يوم الخميس الموافق 27/8/2026</t>
        </is>
      </c>
      <c r="E116" s="13" t="inlineStr">
        <is>
          <t>أعمال وتوريدات الحاقا الى الإعلان الصادر في الجريدة الرسمية (الكويت اليوم) العدد رقم (1804) الصفحة رقم (247 &amp; 248) بتاريخ 16/08/2026 بخصوص الموضوع اعلاه، تود لجنة الشراء العليا لمناقصات الشركة الكويتية لتزويد الطائرات بناء على طلب من الشركة الكويتية لتزويد الطائرات بالوقود، ان تسترعي انتباه السادة المناقصين / الشركات الى انه تم تغيير موعد تاريخ الاجتماع التمهيدي للمناقصة الى يوم الاثنين الموافق 1/9/2026 بدلا من يوم الخميس الموافق 27/8/2026 لصالح الشركة الكويتية لتزويد الطائرات بالوقود وفقاً للشروط والمواصفات المعتمدة في وثائق الطرح.</t>
        </is>
      </c>
      <c r="F11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16" s="14" t="inlineStr">
        <is>
          <t>عام</t>
        </is>
      </c>
      <c r="H116" s="14" t="inlineStr">
        <is>
          <t>0.0%</t>
        </is>
      </c>
      <c r="I116" s="14" t="inlineStr">
        <is>
          <t>government</t>
        </is>
      </c>
      <c r="J116" s="14" t="inlineStr">
        <is>
          <t>2026-08-23</t>
        </is>
      </c>
      <c r="K116" s="14" t="inlineStr">
        <is>
          <t>-</t>
        </is>
      </c>
      <c r="L116" s="14" t="inlineStr">
        <is>
          <t>-</t>
        </is>
      </c>
      <c r="M116" s="14" t="inlineStr">
        <is>
          <t>-</t>
        </is>
      </c>
      <c r="N116" s="25" t="inlineStr">
        <is>
          <t>NEW</t>
        </is>
      </c>
      <c r="O116" s="14" t="inlineStr">
        <is>
          <t>غير متوافقة مع اختصاصات KBM</t>
        </is>
      </c>
      <c r="P116" s="22">
        <f>HYPERLINK("https://kuwaitalyawm.media.gov.kw/Online/ViewAdsHTML?id=167897&amp;no=1", "عرض المصدر")</f>
        <v/>
      </c>
    </row>
    <row r="117">
      <c r="A117" s="11" t="inlineStr">
        <is>
          <t>HO/TC146000/R0/PM&amp;E26</t>
        </is>
      </c>
      <c r="B117" s="11" t="inlineStr">
        <is>
          <t>الشركة الكويتية لنفط الخليج</t>
        </is>
      </c>
      <c r="C117" s="11" t="inlineStr">
        <is>
          <t>Eiman Ashkanani</t>
        </is>
      </c>
      <c r="D117" s="11" t="inlineStr">
        <is>
          <t>مناقصة رقم HO/TC146000/R0/PM&amp;E26 - الشركة الكويتية لنفط الخليج</t>
        </is>
      </c>
      <c r="E117" s="11" t="inlineStr">
        <is>
          <t>أعمال وتوريدات مناقصة رقم HO/TC146000/R0/PM&amp;E26 - الشركة الكويتية لنفط الخليج لصالح الشركة الكويتية لنفط الخليج وفقاً للشروط والمواصفات المعتمدة في وثائق الطرح.</t>
        </is>
      </c>
      <c r="F11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17" s="12" t="inlineStr">
        <is>
          <t>عام</t>
        </is>
      </c>
      <c r="H117" s="12" t="inlineStr">
        <is>
          <t>0.0%</t>
        </is>
      </c>
      <c r="I117" s="12" t="inlineStr">
        <is>
          <t>government</t>
        </is>
      </c>
      <c r="J117" s="12" t="inlineStr">
        <is>
          <t>2026-08-23</t>
        </is>
      </c>
      <c r="K117" s="12" t="inlineStr">
        <is>
          <t>2026-12-29</t>
        </is>
      </c>
      <c r="L117" s="12" t="inlineStr">
        <is>
          <t>10000000.0</t>
        </is>
      </c>
      <c r="M117" s="12" t="inlineStr">
        <is>
          <t>-</t>
        </is>
      </c>
      <c r="N117" s="25" t="inlineStr">
        <is>
          <t>NEW</t>
        </is>
      </c>
      <c r="O117" s="12" t="inlineStr">
        <is>
          <t>غير متوافقة مع اختصاصات KBM</t>
        </is>
      </c>
      <c r="P117" s="23">
        <f>HYPERLINK("https://kuwaitalyawm.media.gov.kw/Online/ViewAdsHTML?id=167899&amp;no=1", "عرض المصدر")</f>
        <v/>
      </c>
    </row>
    <row r="118">
      <c r="A118" s="13" t="inlineStr">
        <is>
          <t>CB CPC 2562</t>
        </is>
      </c>
      <c r="B118" s="13" t="inlineStr">
        <is>
          <t>شركة البترول الوطنية الكويتية</t>
        </is>
      </c>
      <c r="C118" s="13" t="inlineStr">
        <is>
          <t>Abrar Al-Qallaf</t>
        </is>
      </c>
      <c r="D118" s="13" t="inlineStr">
        <is>
          <t>ممارسة رقم CB CPC 2562: توريد مواد ومهمات تشغيلية لزوم شركة البترول الوطنية الكويتية - شركة البترول الوطنية الكويتية</t>
        </is>
      </c>
      <c r="E118" s="13" t="inlineStr">
        <is>
          <t>أعمال وتوريدات تخصصية لزوم شركة البترول الوطنية الكويتية حسب وثائق الممارسة رقم CB CPC 2562 عبر منصة K-Tendering.</t>
        </is>
      </c>
      <c r="F118" s="13" t="inlineStr">
        <is>
          <t>وفقاً لشروط وإجراءات المناقصات والتوريد لدى شركة البترول الوطنية الكويتية (KNPC) عبر منصة K-Tendering.</t>
        </is>
      </c>
      <c r="G118" s="14" t="inlineStr">
        <is>
          <t>عام</t>
        </is>
      </c>
      <c r="H118" s="14" t="inlineStr">
        <is>
          <t>15.0%</t>
        </is>
      </c>
      <c r="I118" s="14" t="inlineStr">
        <is>
          <t>oil_and_gas</t>
        </is>
      </c>
      <c r="J118" s="14" t="inlineStr">
        <is>
          <t>2026-08-23</t>
        </is>
      </c>
      <c r="K118" s="14" t="inlineStr">
        <is>
          <t>2026-11-26</t>
        </is>
      </c>
      <c r="L118" s="14" t="inlineStr">
        <is>
          <t>5000.0</t>
        </is>
      </c>
      <c r="M118" s="14" t="inlineStr">
        <is>
          <t>150.0</t>
        </is>
      </c>
      <c r="N118" s="25" t="inlineStr">
        <is>
          <t>NEW</t>
        </is>
      </c>
      <c r="O118" s="14" t="inlineStr">
        <is>
          <t>غير متوافقة</t>
        </is>
      </c>
      <c r="P118" s="22">
        <f>HYPERLINK("https://kuwaitalyawm.media.gov.kw/Online/ViewAdsHTML?id=167906&amp;no=1", "عرض المصدر")</f>
        <v/>
      </c>
    </row>
    <row r="119">
      <c r="A119" s="11" t="inlineStr">
        <is>
          <t>RFQ 1063574</t>
        </is>
      </c>
      <c r="B119" s="11" t="inlineStr">
        <is>
          <t>شركة البترول الوطنية الكويتية</t>
        </is>
      </c>
      <c r="C119" s="11" t="inlineStr">
        <is>
          <t>Abrar Al-Qallaf</t>
        </is>
      </c>
      <c r="D119" s="11" t="inlineStr">
        <is>
          <t>ممارسة رقم RFQ 1063574: توريد مواد ومهمات تشغيلية لزوم شركة البترول الوطنية الكويتية - شركة البترول الوطنية الكويتية</t>
        </is>
      </c>
      <c r="E119" s="11" t="inlineStr">
        <is>
          <t>أعمال وتوريدات تخصصية لزوم شركة البترول الوطنية الكويتية حسب وثائق الممارسة رقم RFQ 1063574 عبر منصة K-Tendering.</t>
        </is>
      </c>
      <c r="F119" s="11" t="inlineStr">
        <is>
          <t>وفقاً لشروط وإجراءات المناقصات والتوريد لدى شركة البترول الوطنية الكويتية (KNPC) عبر منصة K-Tendering.</t>
        </is>
      </c>
      <c r="G119" s="12" t="inlineStr">
        <is>
          <t>عام</t>
        </is>
      </c>
      <c r="H119" s="12" t="inlineStr">
        <is>
          <t>15.0%</t>
        </is>
      </c>
      <c r="I119" s="12" t="inlineStr">
        <is>
          <t>oil_and_gas</t>
        </is>
      </c>
      <c r="J119" s="12" t="inlineStr">
        <is>
          <t>2026-08-23</t>
        </is>
      </c>
      <c r="K119" s="12" t="inlineStr">
        <is>
          <t>2026-12-03</t>
        </is>
      </c>
      <c r="L119" s="12" t="inlineStr">
        <is>
          <t>1000.0</t>
        </is>
      </c>
      <c r="M119" s="12" t="inlineStr">
        <is>
          <t>-</t>
        </is>
      </c>
      <c r="N119" s="25" t="inlineStr">
        <is>
          <t>NEW</t>
        </is>
      </c>
      <c r="O119" s="12" t="inlineStr">
        <is>
          <t>غير متوافقة</t>
        </is>
      </c>
      <c r="P119" s="23">
        <f>HYPERLINK("https://kuwaitalyawm.media.gov.kw/Online/ViewAdsHTML?id=167907&amp;no=1", "عرض المصدر")</f>
        <v/>
      </c>
    </row>
    <row r="120">
      <c r="A120" s="13" t="inlineStr">
        <is>
          <t>1000</t>
        </is>
      </c>
      <c r="B120" s="13" t="inlineStr">
        <is>
          <t>شركة البترول الوطنية الكويتية</t>
        </is>
      </c>
      <c r="C120" s="13" t="inlineStr">
        <is>
          <t>Abrar Al-Qallaf</t>
        </is>
      </c>
      <c r="D120" s="13" t="inlineStr">
        <is>
          <t>ممارسة رقم 1000: توريد مواد ومهمات تشغيلية لزوم شركة البترول الوطنية الكويتية - شركة البترول الوطنية الكويتية</t>
        </is>
      </c>
      <c r="E120" s="13" t="inlineStr">
        <is>
          <t>أعمال وتوريدات تخصصية لزوم شركة البترول الوطنية الكويتية حسب وثائق الممارسة رقم 1000 عبر منصة K-Tendering.</t>
        </is>
      </c>
      <c r="F120" s="13" t="inlineStr">
        <is>
          <t>وفقاً لشروط وإجراءات المناقصات والتوريد لدى شركة البترول الوطنية الكويتية (KNPC) عبر منصة K-Tendering.</t>
        </is>
      </c>
      <c r="G120" s="14" t="inlineStr">
        <is>
          <t>عام</t>
        </is>
      </c>
      <c r="H120" s="14" t="inlineStr">
        <is>
          <t>15.0%</t>
        </is>
      </c>
      <c r="I120" s="14" t="inlineStr">
        <is>
          <t>oil_and_gas</t>
        </is>
      </c>
      <c r="J120" s="14" t="inlineStr">
        <is>
          <t>2026-08-23</t>
        </is>
      </c>
      <c r="K120" s="14" t="inlineStr">
        <is>
          <t>-</t>
        </is>
      </c>
      <c r="L120" s="14" t="inlineStr">
        <is>
          <t>-</t>
        </is>
      </c>
      <c r="M120" s="14" t="inlineStr">
        <is>
          <t>-</t>
        </is>
      </c>
      <c r="N120" s="25" t="inlineStr">
        <is>
          <t>NEW</t>
        </is>
      </c>
      <c r="O120" s="14" t="inlineStr">
        <is>
          <t>غير متوافقة</t>
        </is>
      </c>
      <c r="P120" s="22">
        <f>HYPERLINK("https://kuwaitalyawm.media.gov.kw/Online/ViewAdsHTML?id=167908&amp;no=1", "عرض المصدر")</f>
        <v/>
      </c>
    </row>
    <row r="121">
      <c r="A121" s="11" t="inlineStr">
        <is>
          <t>268-274</t>
        </is>
      </c>
      <c r="B121" s="11" t="inlineStr">
        <is>
          <t>وزارة الصحة</t>
        </is>
      </c>
      <c r="C121" s="11" t="inlineStr">
        <is>
          <t>Jana Al-Obaid</t>
        </is>
      </c>
      <c r="D121" s="11" t="inlineStr">
        <is>
          <t>ممارسة رقم 268-274 - وزارة الصحة (العدد 1810)</t>
        </is>
      </c>
      <c r="E121" s="11" t="inlineStr">
        <is>
          <t>أعمال وتوريدات ممارسة رقم 268-274 لصالح وزارة الصحة وفقاً للشروط والمواصفات المعتمدة في وثائق الطرح.</t>
        </is>
      </c>
      <c r="F121" s="11" t="inlineStr">
        <is>
          <t>• 1- أن تكون مقصورة على الشركات المسجلة لدى إدارة الهندسة الطبية.
• 2- أن تكون الشركة متخصصة في هذا المجال مع احضار ما يفيد ذلك.
• 3- سداد الرسوم المقررة لشراء وثائق الممارسة إلكترونياً.
• 4- أن تقدم الشركات المشاركة شهادة دعم العمالة الوطنية.
• 5- يمكن الحصول على وثائق الممارسات من تاريخ النشر لغاية تاريخ الإغلاق.</t>
        </is>
      </c>
      <c r="G121" s="12" t="inlineStr">
        <is>
          <t>عام</t>
        </is>
      </c>
      <c r="H121" s="12" t="inlineStr">
        <is>
          <t>15.0%</t>
        </is>
      </c>
      <c r="I121" s="12" t="inlineStr">
        <is>
          <t>healthcare</t>
        </is>
      </c>
      <c r="J121" s="12" t="inlineStr">
        <is>
          <t>2026-09-27</t>
        </is>
      </c>
      <c r="K121" s="12" t="inlineStr">
        <is>
          <t>-</t>
        </is>
      </c>
      <c r="L121" s="12" t="inlineStr">
        <is>
          <t>-</t>
        </is>
      </c>
      <c r="M121" s="12" t="inlineStr">
        <is>
          <t>75.0 KWD</t>
        </is>
      </c>
      <c r="N121" s="21" t="inlineStr">
        <is>
          <t>UPDATED</t>
        </is>
      </c>
      <c r="O121" s="12" t="inlineStr">
        <is>
          <t>غير متوافقة مع اختصاصات KBM</t>
        </is>
      </c>
      <c r="P121" s="23">
        <f>HYPERLINK("https://kuwaitalyawm.media.gov.kw/Online/ViewAdsHTML?id=171548&amp;no=1", "عرض المصدر")</f>
        <v/>
      </c>
    </row>
    <row r="122">
      <c r="A122" s="13" t="inlineStr">
        <is>
          <t>313-225</t>
        </is>
      </c>
      <c r="B122" s="13" t="inlineStr">
        <is>
          <t>وزارة الصحة</t>
        </is>
      </c>
      <c r="C122" s="13" t="inlineStr">
        <is>
          <t>Jana Al-Obaid</t>
        </is>
      </c>
      <c r="D122" s="13" t="inlineStr">
        <is>
          <t>ممارسة رقم 313-225: توريد WASTE DISPOSAL SYSTEM MACERATOR</t>
        </is>
      </c>
      <c r="E122" s="13" t="inlineStr">
        <is>
          <t>أعمال وتوريدات توريد WASTE DISPOSAL SYSTEM MACERATOR لصالح وزارة الصحة وفقاً للشروط والمواصفات المعتمدة في وثائق الطرح.</t>
        </is>
      </c>
      <c r="F122" s="13" t="inlineStr">
        <is>
          <t>• أن تكون مقصورة على الشركات المسجلة لدى إدارة الهندسة الطبية.
• أن تكون الشركة متخصصة في هذا المجال مع احضار ما يفيد ذلك.
• سداد الرسوم المقررة لشراء وثائق الممارسة إلكترونياً.
• أن تقدم الشركات المشاركة شهادة دعم العمالة الوطنية.
• يمكن الحصول على وثائق الممارسات من تاريخ النشر لغاية تاريخ الاغلاق.</t>
        </is>
      </c>
      <c r="G122" s="14" t="inlineStr">
        <is>
          <t>عام</t>
        </is>
      </c>
      <c r="H122" s="14" t="inlineStr">
        <is>
          <t>15.0%</t>
        </is>
      </c>
      <c r="I122" s="14" t="inlineStr">
        <is>
          <t>healthcare</t>
        </is>
      </c>
      <c r="J122" s="14" t="inlineStr">
        <is>
          <t>2026-09-27</t>
        </is>
      </c>
      <c r="K122" s="14" t="inlineStr">
        <is>
          <t>2026-10-28</t>
        </is>
      </c>
      <c r="L122" s="14" t="inlineStr">
        <is>
          <t>-</t>
        </is>
      </c>
      <c r="M122" s="14" t="inlineStr">
        <is>
          <t>150.0 KWD</t>
        </is>
      </c>
      <c r="N122" s="21" t="inlineStr">
        <is>
          <t>UPDATED</t>
        </is>
      </c>
      <c r="O122" s="14" t="inlineStr">
        <is>
          <t>غير متوافقة مع اختصاصات KBM</t>
        </is>
      </c>
      <c r="P122" s="22">
        <f>HYPERLINK("https://kuwaitalyawm.media.gov.kw/Online/ViewAdsHTML?id=171547&amp;no=1", "عرض المصدر")</f>
        <v/>
      </c>
    </row>
    <row r="123">
      <c r="A123" s="11" t="inlineStr">
        <is>
          <t>36-40</t>
        </is>
      </c>
      <c r="B123" s="11" t="inlineStr">
        <is>
          <t>وزارة الصحة</t>
        </is>
      </c>
      <c r="C123" s="11" t="inlineStr">
        <is>
          <t>Jana Al-Obaid</t>
        </is>
      </c>
      <c r="D123" s="11" t="inlineStr">
        <is>
          <t>ممارسة رقم 36-40 - وزارة الصحة (العدد 1810)</t>
        </is>
      </c>
      <c r="E123" s="11" t="inlineStr">
        <is>
          <t>أعمال وتوريدات ممارسة رقم 36-40 لصالح وزارة الصحة وفقاً للشروط والمواصفات المعتمدة في وثائق الطرح.</t>
        </is>
      </c>
      <c r="F123" s="11" t="inlineStr">
        <is>
          <t>• أن تكون مقصورة على الشركات المسجلة لدى إدارة الهندسة الطبية.
• أن تكون الشركة متخصصة في هذا المجال مع إحضار ما يفيد ذلك.
• سداد الرسوم المقررة لشراء وثائق الممارسة بطوابع إلكترونية.
• كتاب تفويض من الشركة بشراء وثائق الممارسة.
• أن تقدم الشركات المشاركة شهادة دعم العمالة الوطنية.
• يمكن الحصول على وثائق الممارسات من تاريخ النشر ولمدة 14 يوم فقط.</t>
        </is>
      </c>
      <c r="G123" s="12" t="inlineStr">
        <is>
          <t>عام</t>
        </is>
      </c>
      <c r="H123" s="12" t="inlineStr">
        <is>
          <t>15.0%</t>
        </is>
      </c>
      <c r="I123" s="12" t="inlineStr">
        <is>
          <t>healthcare</t>
        </is>
      </c>
      <c r="J123" s="12" t="inlineStr">
        <is>
          <t>2026-09-27</t>
        </is>
      </c>
      <c r="K123" s="18" t="inlineStr">
        <is>
          <t>2026-10-14</t>
        </is>
      </c>
      <c r="L123" s="12" t="inlineStr">
        <is>
          <t>-</t>
        </is>
      </c>
      <c r="M123" s="12" t="inlineStr">
        <is>
          <t>75.0 KWD</t>
        </is>
      </c>
      <c r="N123" s="21" t="inlineStr">
        <is>
          <t>UPDATED</t>
        </is>
      </c>
      <c r="O123" s="12" t="inlineStr">
        <is>
          <t>غير متوافقة مع اختصاصات KBM</t>
        </is>
      </c>
      <c r="P123" s="23">
        <f>HYPERLINK("https://kuwaitalyawm.media.gov.kw/Online/ViewAdsHTML?id=171546&amp;no=1", "عرض المصدر")</f>
        <v/>
      </c>
    </row>
    <row r="124">
      <c r="A124" s="13" t="inlineStr">
        <is>
          <t>430-190</t>
        </is>
      </c>
      <c r="B124" s="13" t="inlineStr">
        <is>
          <t>وزارة الصحة</t>
        </is>
      </c>
      <c r="C124" s="13" t="inlineStr">
        <is>
          <t>Jana Al-Obaid</t>
        </is>
      </c>
      <c r="D124" s="13" t="inlineStr">
        <is>
          <t>ممارسة رقم 430-190 - وزارة الصحة (العدد 1810)</t>
        </is>
      </c>
      <c r="E124" s="13" t="inlineStr">
        <is>
          <t>أعمال وتوريدات ممارسة رقم 430-190 لصالح وزارة الصحة وفقاً للشروط والمواصفات المعتمدة في وثائق الطرح.</t>
        </is>
      </c>
      <c r="F124" s="13" t="inlineStr">
        <is>
          <t>• أن تكون مقصورة على الشركات المسجلة لدى إدارة الهندسة الطبية.
• أن تكون الشركة متخصصة في هذا المجال مع احضار ما يفيد ذلك.
• سداد الرسوم المقررة لشراء وثائق الممارسة إلكترونياً.
• أن تقدم الشركات المشاركة شهادة دعم العمالة الوطنية.
• يمكن الحصول على وثائق الممارسات من تاريخ النشر لغاية تاريخ الإغلاق.</t>
        </is>
      </c>
      <c r="G124" s="14" t="inlineStr">
        <is>
          <t>عام</t>
        </is>
      </c>
      <c r="H124" s="14" t="inlineStr">
        <is>
          <t>15.0%</t>
        </is>
      </c>
      <c r="I124" s="14" t="inlineStr">
        <is>
          <t>healthcare</t>
        </is>
      </c>
      <c r="J124" s="14" t="inlineStr">
        <is>
          <t>2026-09-27</t>
        </is>
      </c>
      <c r="K124" s="14" t="inlineStr">
        <is>
          <t>2026-10-28</t>
        </is>
      </c>
      <c r="L124" s="14" t="inlineStr">
        <is>
          <t>-</t>
        </is>
      </c>
      <c r="M124" s="14" t="inlineStr">
        <is>
          <t>150.0 KWD</t>
        </is>
      </c>
      <c r="N124" s="21" t="inlineStr">
        <is>
          <t>UPDATED</t>
        </is>
      </c>
      <c r="O124" s="14" t="inlineStr">
        <is>
          <t>غير متوافقة مع اختصاصات KBM</t>
        </is>
      </c>
      <c r="P124" s="22">
        <f>HYPERLINK("https://kuwaitalyawm.media.gov.kw/Online/ViewAdsHTML?id=171545&amp;no=1", "عرض المصدر")</f>
        <v/>
      </c>
    </row>
    <row r="125">
      <c r="A125" s="11" t="inlineStr">
        <is>
          <t>364-294</t>
        </is>
      </c>
      <c r="B125" s="11" t="inlineStr">
        <is>
          <t>وزارة الصحة</t>
        </is>
      </c>
      <c r="C125" s="11" t="inlineStr">
        <is>
          <t>Jana Al-Obaid</t>
        </is>
      </c>
      <c r="D125" s="11" t="inlineStr">
        <is>
          <t>ممارسة رقم 364-294 - وزارة الصحة (العدد 1810)</t>
        </is>
      </c>
      <c r="E125" s="11" t="inlineStr">
        <is>
          <t>أعمال وتوريدات ممارسة رقم 364-294 لصالح وزارة الصحة وفقاً للشروط والمواصفات المعتمدة في وثائق الطرح.</t>
        </is>
      </c>
      <c r="F125" s="11" t="inlineStr">
        <is>
          <t>• أن تكون مقصورة على الشركات المسجلة لدى إدارة الهندسة الطبية.
• أن تكون الشركة متخصصة في هذا المجال مع إحضار ما يفيد ذلك.
• سداد الرسوم المقررة لشراء وثائق الممارسة إلكترونياً.
• أن تقدم الشركات المشاركة شهادة دعم العمالة الوطنية.
• يمكن الحصول على وثائق الممارسات من تاريخ النشر لغاية تاريخ الإغلاق.</t>
        </is>
      </c>
      <c r="G125" s="12" t="inlineStr">
        <is>
          <t>عام</t>
        </is>
      </c>
      <c r="H125" s="12" t="inlineStr">
        <is>
          <t>0.0%</t>
        </is>
      </c>
      <c r="I125" s="12" t="inlineStr">
        <is>
          <t>healthcare</t>
        </is>
      </c>
      <c r="J125" s="12" t="inlineStr">
        <is>
          <t>2026-09-27</t>
        </is>
      </c>
      <c r="K125" s="12" t="inlineStr">
        <is>
          <t>-</t>
        </is>
      </c>
      <c r="L125" s="12" t="inlineStr">
        <is>
          <t>-</t>
        </is>
      </c>
      <c r="M125" s="12" t="inlineStr">
        <is>
          <t>75.0 KWD</t>
        </is>
      </c>
      <c r="N125" s="21" t="inlineStr">
        <is>
          <t>UPDATED</t>
        </is>
      </c>
      <c r="O125" s="12" t="inlineStr">
        <is>
          <t>غير متوافقة مع اختصاصات KBM</t>
        </is>
      </c>
      <c r="P125" s="23">
        <f>HYPERLINK("https://kuwaitalyawm.media.gov.kw/Online/ViewAdsHTML?id=171543&amp;no=1", "عرض المصدر")</f>
        <v/>
      </c>
    </row>
    <row r="126">
      <c r="A126" s="13" t="inlineStr">
        <is>
          <t>24141071982026</t>
        </is>
      </c>
      <c r="B126" s="13" t="inlineStr">
        <is>
          <t>وزارة الدفاع</t>
        </is>
      </c>
      <c r="C126" s="13" t="inlineStr">
        <is>
          <t>Eiman Ashkanani</t>
        </is>
      </c>
      <c r="D126" s="13" t="inlineStr">
        <is>
          <t>ممارسة رقم 24141071982026: طلب شراء ملفات طبية للمرضى</t>
        </is>
      </c>
      <c r="E126" s="13" t="inlineStr">
        <is>
          <t>توريد المستلزمات والمواد والمستهلكات الطبية أو المخبرية المتخصصة لصالح المرافق الصحية.</t>
        </is>
      </c>
      <c r="F126" s="13" t="inlineStr">
        <is>
          <t>• تقديم صورة عن كرت التسجيل لدى وزارة الدفاع / ادارة المشتريات والعقود المحلية للعام 2026.
• تقديم كتاب تفويض من الشركة بشـراء الوثائق.
• ان تكون الشركة متخصصة في هذا المجال ومصنفة لدى مراقبة تصنيف الشركات بالوزارة.
• تقديم صورة عن شهادة دعم العمالة الوطنية لدى الشركات غير الحكومية (السنوية ).
• تقديم كتاب رسمي لأية استفسارات يكون في خلال ( أسبوع واحـد ) من تاريخ نشـر الإعلان .
• سداد الرسوم المقررة لشراء وثائق الممارسة عن طريق (K. NET).</t>
        </is>
      </c>
      <c r="G126" s="14" t="inlineStr">
        <is>
          <t>عام</t>
        </is>
      </c>
      <c r="H126" s="14" t="inlineStr">
        <is>
          <t>15.0%</t>
        </is>
      </c>
      <c r="I126" s="14" t="inlineStr">
        <is>
          <t>defense_and_security</t>
        </is>
      </c>
      <c r="J126" s="14" t="inlineStr">
        <is>
          <t>2026-09-27</t>
        </is>
      </c>
      <c r="K126" s="14" t="inlineStr">
        <is>
          <t>2026-10-22</t>
        </is>
      </c>
      <c r="L126" s="14" t="inlineStr">
        <is>
          <t>2000.0 KWD</t>
        </is>
      </c>
      <c r="M126" s="14" t="inlineStr">
        <is>
          <t>-</t>
        </is>
      </c>
      <c r="N126" s="21" t="inlineStr">
        <is>
          <t>UPDATED</t>
        </is>
      </c>
      <c r="O126" s="14" t="inlineStr">
        <is>
          <t>غير متوافقة مع اختصاصات KBM</t>
        </is>
      </c>
      <c r="P126" s="22">
        <f>HYPERLINK("https://kuwaitalyawm.media.gov.kw/Online/ViewAdsHTML?id=171541&amp;no=1", "عرض المصدر")</f>
        <v/>
      </c>
    </row>
    <row r="127">
      <c r="A127" s="11" t="inlineStr">
        <is>
          <t>24181118110</t>
        </is>
      </c>
      <c r="B127" s="11" t="inlineStr">
        <is>
          <t>وزارة الدفاع</t>
        </is>
      </c>
      <c r="C127" s="11" t="inlineStr">
        <is>
          <t>Eiman Ashkanani</t>
        </is>
      </c>
      <c r="D127" s="11" t="inlineStr">
        <is>
          <t>ممارسة رقم 24181118110: توريد وتركيب وتعريف واختبار أجهزة خوادم النظام المالي لزوم وزارة الدفاع</t>
        </is>
      </c>
      <c r="E127" s="11" t="inlineStr">
        <is>
          <t>توريد وتركيب وتعريف واختبار أجهزة خوادم عالية الأداء (Enterprise Servers) وأنظمة التخزين وحلول التشغيل الخاصة بالنظام المالي التابع لوزارة الدفاع بدولة الكويت مع الضمان والدعم الفني.</t>
        </is>
      </c>
      <c r="F127" s="11" t="inlineStr">
        <is>
          <t>• أن تكون الشركة مسجلة في وزارة الدفاع لسنة 2026 ومتخصصة في هذا المجال ومصنفة لدى مراقبة شئون الشركات بالوزارة مع تقديم الأوراق الدالة على نشاطها.
• تقديم كتاب تفويض من الشركة بشراء الوثائق.
• تقديم صورة عن شهادة دعم العمالة الوطنية لدى الشركات غير الحكومية (السنوية).
• تقديم كتاب رسمي لأية استفسارات يكون في خلال (أسبوع واحد) من تاريخ نشر الإعلان.
• للاستفسار هاتف: 1844411 (داخلي 61929).</t>
        </is>
      </c>
      <c r="G127" s="24" t="inlineStr">
        <is>
          <t>قطاع الخوادم وحلول التخزين والبنية التحتية</t>
        </is>
      </c>
      <c r="H127" s="12" t="inlineStr">
        <is>
          <t>85.0%</t>
        </is>
      </c>
      <c r="I127" s="12" t="inlineStr">
        <is>
          <t>defense_and_security</t>
        </is>
      </c>
      <c r="J127" s="12" t="inlineStr">
        <is>
          <t>2026-09-27</t>
        </is>
      </c>
      <c r="K127" s="12" t="inlineStr">
        <is>
          <t>2026-10-25</t>
        </is>
      </c>
      <c r="L127" s="12" t="inlineStr">
        <is>
          <t>5000.0 KWD</t>
        </is>
      </c>
      <c r="M127" s="12" t="inlineStr">
        <is>
          <t>150.0 KWD</t>
        </is>
      </c>
      <c r="N127" s="21" t="inlineStr">
        <is>
          <t>UPDATED</t>
        </is>
      </c>
      <c r="O127" s="12" t="inlineStr">
        <is>
          <t>موصى بالتقديم</t>
        </is>
      </c>
      <c r="P127" s="23">
        <f>HYPERLINK("https://kuwaitalyawm.media.gov.kw/Online/ViewAdsHTML?id=171540&amp;no=1", "عرض المصدر")</f>
        <v/>
      </c>
    </row>
    <row r="128">
      <c r="A128" s="13" t="inlineStr">
        <is>
          <t>2414/109/20167/26</t>
        </is>
      </c>
      <c r="B128" s="13" t="inlineStr">
        <is>
          <t>وزارة الدفاع</t>
        </is>
      </c>
      <c r="C128" s="13" t="inlineStr">
        <is>
          <t>Eiman Ashkanani</t>
        </is>
      </c>
      <c r="D128" s="13" t="inlineStr">
        <is>
          <t>ممارسة رقم 24141092016726: الطلبية العامة لشراء مواد المطبخ</t>
        </is>
      </c>
      <c r="E128" s="13" t="inlineStr">
        <is>
          <t>أعمال وتوريدات الطلبية العامة لشراء مواد المطبخ لصالح وزارة الدفاع وفقاً للشروط والمواصفات المعتمدة في وثائق الطرح.</t>
        </is>
      </c>
      <c r="F128" s="13" t="inlineStr">
        <is>
          <t>• 1. تقديم صورة عن كرت التسجيل لدى وزارة الدفاع / ادارة المشتريات والعقود المحلية للعام 2026.
• 2. تقديم كتاب تفويض من الشركة بشراء الوثائق.
• 3. ان تكون الشركة متخصصة في هذا المجال ومصنفة لدى مراقبة تصنيف الشركات بالوزارة.
• 4. تقديم صورة عن شهادة دعم العمالة الوطنية لدى الشركات غير الحكومية ( السنوية ).
• 5. تقديم كتاب رسمي لأية استفسارات يكون في خلال ( أسبوع واحد ) من تاريخ نشر الإعلان .
• 6. سداد الرسوم المقررة لشراء وثائق الممارسة عن طريق (K. NET).</t>
        </is>
      </c>
      <c r="G128" s="14" t="inlineStr">
        <is>
          <t>عام</t>
        </is>
      </c>
      <c r="H128" s="14" t="inlineStr">
        <is>
          <t>15.0%</t>
        </is>
      </c>
      <c r="I128" s="14" t="inlineStr">
        <is>
          <t>defense_and_security</t>
        </is>
      </c>
      <c r="J128" s="14" t="inlineStr">
        <is>
          <t>2026-09-13</t>
        </is>
      </c>
      <c r="K128" s="18" t="inlineStr">
        <is>
          <t>2026-10-15</t>
        </is>
      </c>
      <c r="L128" s="14" t="inlineStr">
        <is>
          <t>2000.0 KWD</t>
        </is>
      </c>
      <c r="M128" s="14" t="inlineStr">
        <is>
          <t>75.0 KWD</t>
        </is>
      </c>
      <c r="N128" s="21" t="inlineStr">
        <is>
          <t>UPDATED</t>
        </is>
      </c>
      <c r="O128" s="14" t="inlineStr">
        <is>
          <t>غير متوافقة مع اختصاصات KBM</t>
        </is>
      </c>
      <c r="P128" s="22">
        <f>HYPERLINK("https://kuwaitalyawm.media.gov.kw/Online/ViewAdsHTML?id=171538&amp;no=1", "عرض المصدر")</f>
        <v/>
      </c>
    </row>
    <row r="129">
      <c r="A129" s="11" t="inlineStr">
        <is>
          <t>RFQ/2167075</t>
        </is>
      </c>
      <c r="B129" s="11" t="inlineStr">
        <is>
          <t>شركة البترول الوطنية الكويتية</t>
        </is>
      </c>
      <c r="C129" s="11" t="inlineStr">
        <is>
          <t>Abrar Al-Qallaf</t>
        </is>
      </c>
      <c r="D129" s="11" t="inlineStr">
        <is>
          <t>ممارسة رقم RFQ/2167075: توريد مواد ومهمات تشغيلية لزوم شركة البترول الوطنية الكويتية - شركة البترول الوطنية الكويتية</t>
        </is>
      </c>
      <c r="E129" s="11" t="inlineStr">
        <is>
          <t>أعمال وتوريدات تخصصية لزوم شركة البترول الوطنية الكويتية حسب وثائق الممارسة رقم RFQ/2167075 عبر منصة K-Tendering.</t>
        </is>
      </c>
      <c r="F129" s="11" t="inlineStr">
        <is>
          <t>وفقاً لشروط وإجراءات المناقصات والتوريد لدى شركة البترول الوطنية الكويتية (KNPC) عبر منصة K-Tendering.</t>
        </is>
      </c>
      <c r="G129" s="12" t="inlineStr">
        <is>
          <t>عام</t>
        </is>
      </c>
      <c r="H129" s="12" t="inlineStr">
        <is>
          <t>15.0%</t>
        </is>
      </c>
      <c r="I129" s="12" t="inlineStr">
        <is>
          <t>oil_and_gas</t>
        </is>
      </c>
      <c r="J129" s="12" t="inlineStr">
        <is>
          <t>2026-09-27</t>
        </is>
      </c>
      <c r="K129" s="12" t="inlineStr">
        <is>
          <t>2026-11-02</t>
        </is>
      </c>
      <c r="L129" s="12" t="inlineStr">
        <is>
          <t>500000.0 KWD</t>
        </is>
      </c>
      <c r="M129" s="12" t="inlineStr">
        <is>
          <t>-</t>
        </is>
      </c>
      <c r="N129" s="21" t="inlineStr">
        <is>
          <t>UPDATED</t>
        </is>
      </c>
      <c r="O129" s="12" t="inlineStr">
        <is>
          <t>غير متوافقة</t>
        </is>
      </c>
      <c r="P129" s="23">
        <f>HYPERLINK("https://kuwaitalyawm.media.gov.kw/Online/ViewAdsHTML?id=171742&amp;no=1", "عرض المصدر")</f>
        <v/>
      </c>
    </row>
    <row r="130">
      <c r="A130" s="13" t="inlineStr">
        <is>
          <t>2027/2026/25</t>
        </is>
      </c>
      <c r="B130" s="13" t="inlineStr">
        <is>
          <t>وزارة الأوقاف والشئون الإسلامية</t>
        </is>
      </c>
      <c r="C130" s="13" t="inlineStr">
        <is>
          <t>Eiman Ashkanani</t>
        </is>
      </c>
      <c r="D130" s="13" t="inlineStr">
        <is>
          <t>ممارسة رقم 2027/2026/25: أعمال النظافة الخاصة بالمباني والمراكز التابعة لإدارتي الدراسات وعلوم القرآن الكريم بمحافظتي الأحمدي ومبارك الكبير</t>
        </is>
      </c>
      <c r="E130" s="13" t="inlineStr">
        <is>
          <t>توفير خدمات وأعمال النظافة العامة والشاملة للمباني والمرافق وتوفير العمالة والمعدات والمستهلكات اللازمة.</t>
        </is>
      </c>
      <c r="F13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30" s="14" t="inlineStr">
        <is>
          <t>عام</t>
        </is>
      </c>
      <c r="H130" s="14" t="inlineStr">
        <is>
          <t>0.0%</t>
        </is>
      </c>
      <c r="I130" s="14" t="inlineStr">
        <is>
          <t>government</t>
        </is>
      </c>
      <c r="J130" s="14" t="inlineStr">
        <is>
          <t>2026-10-04</t>
        </is>
      </c>
      <c r="K130" s="18" t="inlineStr">
        <is>
          <t>2026-10-18</t>
        </is>
      </c>
      <c r="L130" s="14" t="inlineStr">
        <is>
          <t>-</t>
        </is>
      </c>
      <c r="M130" s="14" t="inlineStr">
        <is>
          <t>75.0 KWD</t>
        </is>
      </c>
      <c r="N130" s="21" t="inlineStr">
        <is>
          <t>UPDATED</t>
        </is>
      </c>
      <c r="O130" s="14" t="inlineStr">
        <is>
          <t>غير متوافقة مع اختصاصات KBM</t>
        </is>
      </c>
      <c r="P130" s="22">
        <f>HYPERLINK("https://kuwaitalyawm.media.gov.kw/Online/ViewAdsHTML?id=171813&amp;no=1", "عرض المصدر")</f>
        <v/>
      </c>
    </row>
    <row r="131">
      <c r="A131" s="11" t="inlineStr">
        <is>
          <t>و ك م/61/2025/2026</t>
        </is>
      </c>
      <c r="B131" s="11" t="inlineStr">
        <is>
          <t>وزارة الكهرباء والماء والطاقة المتجددة</t>
        </is>
      </c>
      <c r="C131" s="11" t="inlineStr">
        <is>
          <t>Raed Obeid</t>
        </is>
      </c>
      <c r="D131" s="11" t="inlineStr">
        <is>
          <t>أعمال الصيانة السنوية للمعدات الكهربائية في محطة الشعيبة الجنوبية لتوليد القوى الكهربائية وتقطير المياه</t>
        </is>
      </c>
      <c r="E131" s="11" t="inlineStr">
        <is>
          <t>أعمال وتوريدات أعمال الصيانة السنوية للمعدات الكهربائية في محطة الشعيبة الجنوبية لتوليد القوى الكهربائية وتقطير المياه لصالح وزارة الكهرباء والماء والطاقة المتجددة وفقاً للشروط والمواصفات المعتمدة في وثائق الطرح.</t>
        </is>
      </c>
      <c r="F13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31" s="12" t="inlineStr">
        <is>
          <t>عام</t>
        </is>
      </c>
      <c r="H131" s="12" t="inlineStr">
        <is>
          <t>0.0%</t>
        </is>
      </c>
      <c r="I131" s="12" t="inlineStr">
        <is>
          <t>oil_and_gas</t>
        </is>
      </c>
      <c r="J131" s="12" t="inlineStr">
        <is>
          <t>2026-08-16</t>
        </is>
      </c>
      <c r="K131" s="12" t="inlineStr">
        <is>
          <t>2026-10-13</t>
        </is>
      </c>
      <c r="L131" s="12" t="inlineStr">
        <is>
          <t>45000.000 KWD</t>
        </is>
      </c>
      <c r="M131" s="12" t="inlineStr">
        <is>
          <t>1000.000 KWD</t>
        </is>
      </c>
      <c r="N131" s="25" t="inlineStr">
        <is>
          <t>NEW</t>
        </is>
      </c>
      <c r="O131" s="12" t="inlineStr">
        <is>
          <t>غير متوافقة مع اختصاصات KBM</t>
        </is>
      </c>
      <c r="P131" s="23">
        <f>HYPERLINK("https://capt.gov.kw/ar/tenders/opening-tenders/#card-9", "عرض المصدر")</f>
        <v/>
      </c>
    </row>
    <row r="132">
      <c r="A132" s="13" t="inlineStr">
        <is>
          <t>ص/م خ ع/2/2025/2026</t>
        </is>
      </c>
      <c r="B132" s="13" t="inlineStr">
        <is>
          <t>وزارة الصحة</t>
        </is>
      </c>
      <c r="C132" s="13" t="inlineStr">
        <is>
          <t>Jana Al-Obaid</t>
        </is>
      </c>
      <c r="D132" s="13" t="inlineStr">
        <is>
          <t>الانشاء و التجهيز و التأثيث و الصيانة لمشروع انشاء المطبخ المركزي لمستشفى الفروانية الجديد</t>
        </is>
      </c>
      <c r="E132" s="13" t="inlineStr">
        <is>
          <t>أعمال وتوريدات الانشاء و التجهيز و التأثيث و الصيانة لمشروع انشاء المطبخ المركزي لمستشفى الفروانية الجديد لصالح وزارة الصحة وفقاً للشروط والمواصفات المعتمدة في وثائق الطرح.</t>
        </is>
      </c>
      <c r="F13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32" s="14" t="inlineStr">
        <is>
          <t>عام</t>
        </is>
      </c>
      <c r="H132" s="14" t="inlineStr">
        <is>
          <t>0.0%</t>
        </is>
      </c>
      <c r="I132" s="14" t="inlineStr">
        <is>
          <t>healthcare</t>
        </is>
      </c>
      <c r="J132" s="14" t="inlineStr">
        <is>
          <t>2026-08-16</t>
        </is>
      </c>
      <c r="K132" s="14" t="inlineStr">
        <is>
          <t>2026-11-03</t>
        </is>
      </c>
      <c r="L132" s="14" t="inlineStr">
        <is>
          <t>62000.000 KWD</t>
        </is>
      </c>
      <c r="M132" s="14" t="inlineStr">
        <is>
          <t>1000.000 KWD</t>
        </is>
      </c>
      <c r="N132" s="25" t="inlineStr">
        <is>
          <t>NEW</t>
        </is>
      </c>
      <c r="O132" s="14" t="inlineStr">
        <is>
          <t>غير متوافقة مع اختصاصات KBM</t>
        </is>
      </c>
      <c r="P132" s="22">
        <f>HYPERLINK("https://capt.gov.kw/ar/tenders/opening-tenders/#card-8", "عرض المصدر")</f>
        <v/>
      </c>
    </row>
    <row r="133">
      <c r="A133" s="11" t="inlineStr">
        <is>
          <t>و ك م /41/2024/2025</t>
        </is>
      </c>
      <c r="B133" s="11" t="inlineStr">
        <is>
          <t>وزارة الكهرباء والماء والطاقة المتجددة</t>
        </is>
      </c>
      <c r="C133" s="11" t="inlineStr">
        <is>
          <t>Raed Obeid</t>
        </is>
      </c>
      <c r="D133" s="11" t="inlineStr">
        <is>
          <t>أعمال توريد وتركيب وصيانة خطوط هوائية ضغط متوسط 11 ك.ف وضغط منخفض والأعمال المدنية المتعلقة بهما في ( المنطقة الجنوبية )</t>
        </is>
      </c>
      <c r="E133" s="11" t="inlineStr">
        <is>
          <t>أعمال وتوريدات أعمال توريد وتركيب وصيانة خطوط هوائية ضغط متوسط 11 ك.ف وضغط منخفض والأعمال المدنية المتعلقة بهما في ( المنطقة الجنوبية ) لصالح وزارة الكهرباء والماء والطاقة المتجددة وفقاً للشروط والمواصفات المعتمدة في وثائق الطرح.</t>
        </is>
      </c>
      <c r="F13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33" s="12" t="inlineStr">
        <is>
          <t>عام</t>
        </is>
      </c>
      <c r="H133" s="12" t="inlineStr">
        <is>
          <t>0.0%</t>
        </is>
      </c>
      <c r="I133" s="12" t="inlineStr">
        <is>
          <t>oil_and_gas</t>
        </is>
      </c>
      <c r="J133" s="12" t="inlineStr">
        <is>
          <t>2026-08-23</t>
        </is>
      </c>
      <c r="K133" s="18" t="inlineStr">
        <is>
          <t>2026-10-20</t>
        </is>
      </c>
      <c r="L133" s="12" t="inlineStr">
        <is>
          <t>100000.000 KWD</t>
        </is>
      </c>
      <c r="M133" s="12" t="inlineStr">
        <is>
          <t>3500.000 KWD</t>
        </is>
      </c>
      <c r="N133" s="25" t="inlineStr">
        <is>
          <t>NEW</t>
        </is>
      </c>
      <c r="O133" s="12" t="inlineStr">
        <is>
          <t>غير متوافقة مع اختصاصات KBM</t>
        </is>
      </c>
      <c r="P133" s="23">
        <f>HYPERLINK("https://capt.gov.kw/ar/tenders/opening-tenders/#card-7", "عرض المصدر")</f>
        <v/>
      </c>
    </row>
    <row r="134">
      <c r="A134" s="13" t="inlineStr">
        <is>
          <t>و ك م /39/2024/2025</t>
        </is>
      </c>
      <c r="B134" s="13" t="inlineStr">
        <is>
          <t>وزارة الكهرباء والماء والطاقة المتجددة</t>
        </is>
      </c>
      <c r="C134" s="13" t="inlineStr">
        <is>
          <t>Raed Obeid</t>
        </is>
      </c>
      <c r="D134" s="13" t="inlineStr">
        <is>
          <t>اعمال توريد وتركيب وصيانة خطوط هوائية ضغط متوسط 11 ك.ف وضغط منخفض و الأعمال المدنية المتعلقة بهما في ( المنطقة الشمالية )</t>
        </is>
      </c>
      <c r="E134" s="13" t="inlineStr">
        <is>
          <t>أعمال وتوريدات اعمال توريد وتركيب وصيانة خطوط هوائية ضغط متوسط 11 ك.ف وضغط منخفض و الأعمال المدنية المتعلقة بهما في ( المنطقة الشمالية ) لصالح وزارة الكهرباء والماء والطاقة المتجددة وفقاً للشروط والمواصفات المعتمدة في وثائق الطرح.</t>
        </is>
      </c>
      <c r="F13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34" s="14" t="inlineStr">
        <is>
          <t>عام</t>
        </is>
      </c>
      <c r="H134" s="14" t="inlineStr">
        <is>
          <t>0.0%</t>
        </is>
      </c>
      <c r="I134" s="14" t="inlineStr">
        <is>
          <t>oil_and_gas</t>
        </is>
      </c>
      <c r="J134" s="14" t="inlineStr">
        <is>
          <t>2026-08-23</t>
        </is>
      </c>
      <c r="K134" s="18" t="inlineStr">
        <is>
          <t>2026-10-20</t>
        </is>
      </c>
      <c r="L134" s="14" t="inlineStr">
        <is>
          <t>100000.000 KWD</t>
        </is>
      </c>
      <c r="M134" s="14" t="inlineStr">
        <is>
          <t>3500.000 KWD</t>
        </is>
      </c>
      <c r="N134" s="25" t="inlineStr">
        <is>
          <t>NEW</t>
        </is>
      </c>
      <c r="O134" s="14" t="inlineStr">
        <is>
          <t>غير متوافقة مع اختصاصات KBM</t>
        </is>
      </c>
      <c r="P134" s="22">
        <f>HYPERLINK("https://capt.gov.kw/ar/tenders/opening-tenders/#card-6", "عرض المصدر")</f>
        <v/>
      </c>
    </row>
    <row r="135">
      <c r="A135" s="11" t="inlineStr">
        <is>
          <t>و ك م /14/2024/2025</t>
        </is>
      </c>
      <c r="B135" s="11" t="inlineStr">
        <is>
          <t>وزارة الكهرباء والماء والطاقة المتجددة</t>
        </is>
      </c>
      <c r="C135" s="11" t="inlineStr">
        <is>
          <t>Raed Obeid</t>
        </is>
      </c>
      <c r="D135" s="11" t="inlineStr">
        <is>
          <t>اعمال توريد وتركيب وصيانه خطوط هوائيه ضغط متوسط 11 ك.ف وضغط منخفض والاعمال المدنيه المتعلقه بهما في (المنطقه الوسطى)</t>
        </is>
      </c>
      <c r="E135" s="11" t="inlineStr">
        <is>
          <t>أعمال وتوريدات اعمال توريد وتركيب وصيانه خطوط هوائيه ضغط متوسط 11 ك.ف وضغط منخفض والاعمال المدنيه المتعلقه بهما في (المنطقه الوسطى) لصالح وزارة الكهرباء والماء والطاقة المتجددة وفقاً للشروط والمواصفات المعتمدة في وثائق الطرح.</t>
        </is>
      </c>
      <c r="F13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35" s="12" t="inlineStr">
        <is>
          <t>عام</t>
        </is>
      </c>
      <c r="H135" s="12" t="inlineStr">
        <is>
          <t>0.0%</t>
        </is>
      </c>
      <c r="I135" s="12" t="inlineStr">
        <is>
          <t>oil_and_gas</t>
        </is>
      </c>
      <c r="J135" s="12" t="inlineStr">
        <is>
          <t>2026-08-23</t>
        </is>
      </c>
      <c r="K135" s="18" t="inlineStr">
        <is>
          <t>2026-10-20</t>
        </is>
      </c>
      <c r="L135" s="12" t="inlineStr">
        <is>
          <t>100000.000 KWD</t>
        </is>
      </c>
      <c r="M135" s="12" t="inlineStr">
        <is>
          <t>3500.000 KWD</t>
        </is>
      </c>
      <c r="N135" s="25" t="inlineStr">
        <is>
          <t>NEW</t>
        </is>
      </c>
      <c r="O135" s="12" t="inlineStr">
        <is>
          <t>غير متوافقة مع اختصاصات KBM</t>
        </is>
      </c>
      <c r="P135" s="23">
        <f>HYPERLINK("https://capt.gov.kw/ar/tenders/opening-tenders/#card-5", "عرض المصدر")</f>
        <v/>
      </c>
    </row>
    <row r="136">
      <c r="A136" s="13" t="inlineStr">
        <is>
          <t>و ش ج 12/2024/2025</t>
        </is>
      </c>
      <c r="B136" s="13" t="inlineStr">
        <is>
          <t>وزارة الشئون الاجتماعية</t>
        </is>
      </c>
      <c r="C136" s="13" t="inlineStr">
        <is>
          <t>Eiman Ashkanani</t>
        </is>
      </c>
      <c r="D136" s="13" t="inlineStr">
        <is>
          <t>اصلاح و تشغيل و صيانة و توريد و تركيب معدات التكييف و التبريد و التهوية و التدفئه لقطاع الرعاية الاجتماعيه و المباني التابعه له</t>
        </is>
      </c>
      <c r="E136" s="13" t="inlineStr">
        <is>
          <t>أعمال صيانة وتشغيل وإصلاح وحدات ومحطات التكييف المركزي والمبردات وضواغط الهواء وشبكات مجاري الهواء.</t>
        </is>
      </c>
      <c r="F13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36" s="14" t="inlineStr">
        <is>
          <t>عام</t>
        </is>
      </c>
      <c r="H136" s="14" t="inlineStr">
        <is>
          <t>0.0%</t>
        </is>
      </c>
      <c r="I136" s="14" t="inlineStr">
        <is>
          <t>government</t>
        </is>
      </c>
      <c r="J136" s="14" t="inlineStr">
        <is>
          <t>2026-08-23</t>
        </is>
      </c>
      <c r="K136" s="14" t="inlineStr">
        <is>
          <t>2026-11-22</t>
        </is>
      </c>
      <c r="L136" s="14" t="inlineStr">
        <is>
          <t>6000.000 KWD</t>
        </is>
      </c>
      <c r="M136" s="14" t="inlineStr">
        <is>
          <t>300.000 KWD</t>
        </is>
      </c>
      <c r="N136" s="25" t="inlineStr">
        <is>
          <t>NEW</t>
        </is>
      </c>
      <c r="O136" s="14" t="inlineStr">
        <is>
          <t>غير متوافقة مع اختصاصات KBM</t>
        </is>
      </c>
      <c r="P136" s="22">
        <f>HYPERLINK("https://capt.gov.kw/ar/tenders/opening-tenders/#card-4", "عرض المصدر")</f>
        <v/>
      </c>
    </row>
    <row r="137">
      <c r="A137" s="11" t="inlineStr">
        <is>
          <t>هـ ع ص / 9 / 2024-2027</t>
        </is>
      </c>
      <c r="B137" s="11" t="inlineStr">
        <is>
          <t>الهيئة العامة للصناعة</t>
        </is>
      </c>
      <c r="C137" s="11" t="inlineStr">
        <is>
          <t>Eiman Ashkanani</t>
        </is>
      </c>
      <c r="D137" s="11" t="inlineStr">
        <is>
          <t>صيانة وتطوير وتشغيل الأنظمة ( الإجراءات الصناعية – المسار الواحد- المعالجة الذاتية- النماذج الالكترونية – نظام الصيانة – mobile app  - شؤون الاعتماد – استبيان العملاء  – log management - الفواتير الإلكترونية ) بالهيئة العامة للصناعة</t>
        </is>
      </c>
      <c r="E137" s="11" t="inlineStr">
        <is>
          <t>تنفيذ أعمال صيانة وتطوير وتشغيل الأنظمة ( الإجراءات الصناعية – المسار الواحد- المعالجة الذاتية- النماذج الالكترونية – نظام الصيانة – mobile app  - شؤون الاعتماد – استبيان العملاء  – log management - الفواتير الإلكترونية ) بالهيئة العامة للصناعة، وتوفير كافة الأجهزة والمعدات والأنظمة وخدمات الدعم الفني والضمان وفقاً لكراسة الشروط والمواصفات الفنية.</t>
        </is>
      </c>
      <c r="F13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37" s="24" t="inlineStr">
        <is>
          <t>عام</t>
        </is>
      </c>
      <c r="H137" s="12" t="inlineStr">
        <is>
          <t>0.0%</t>
        </is>
      </c>
      <c r="I137" s="12" t="inlineStr">
        <is>
          <t>government</t>
        </is>
      </c>
      <c r="J137" s="12" t="inlineStr">
        <is>
          <t>2026-08-23</t>
        </is>
      </c>
      <c r="K137" s="18" t="inlineStr">
        <is>
          <t>2026-10-20</t>
        </is>
      </c>
      <c r="L137" s="12" t="inlineStr">
        <is>
          <t>23000.000 KWD</t>
        </is>
      </c>
      <c r="M137" s="12" t="inlineStr">
        <is>
          <t>1000.000 KWD</t>
        </is>
      </c>
      <c r="N137" s="25" t="inlineStr">
        <is>
          <t>NEW</t>
        </is>
      </c>
      <c r="O137" s="12" t="inlineStr">
        <is>
          <t>غير متوافقة مع اختصاصات KBM</t>
        </is>
      </c>
      <c r="P137" s="23">
        <f>HYPERLINK("https://capt.gov.kw/ar/tenders/opening-tenders/#card-3", "عرض المصدر")</f>
        <v/>
      </c>
    </row>
    <row r="138">
      <c r="A138" s="13" t="inlineStr">
        <is>
          <t>م ع/23/2025/2026</t>
        </is>
      </c>
      <c r="B138" s="13" t="inlineStr">
        <is>
          <t>وزارة التربية</t>
        </is>
      </c>
      <c r="C138" s="13" t="inlineStr">
        <is>
          <t>Eiman Ashkanani</t>
        </is>
      </c>
      <c r="D138" s="13" t="inlineStr">
        <is>
          <t>تنفيذ أعمال التشغيل والصيانة وإدارة مبنى ديوان عام الوزارة الجديد بجنوب السرة</t>
        </is>
      </c>
      <c r="E138" s="13" t="inlineStr">
        <is>
          <t>أعمال وتوريدات تنفيذ أعمال التشغيل والصيانة وإدارة مبنى ديوان عام الوزارة الجديد بجنوب السرة لصالح وزارة التربية وفقاً للشروط والمواصفات المعتمدة في وثائق الطرح.</t>
        </is>
      </c>
      <c r="F13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38" s="14" t="inlineStr">
        <is>
          <t>عام</t>
        </is>
      </c>
      <c r="H138" s="14" t="inlineStr">
        <is>
          <t>0.0%</t>
        </is>
      </c>
      <c r="I138" s="14" t="inlineStr">
        <is>
          <t>education_and_research</t>
        </is>
      </c>
      <c r="J138" s="14" t="inlineStr">
        <is>
          <t>2026-08-23</t>
        </is>
      </c>
      <c r="K138" s="14" t="inlineStr">
        <is>
          <t>2026-11-17</t>
        </is>
      </c>
      <c r="L138" s="14" t="inlineStr">
        <is>
          <t>62000.000 KWD</t>
        </is>
      </c>
      <c r="M138" s="14" t="inlineStr">
        <is>
          <t>3500.000 KWD</t>
        </is>
      </c>
      <c r="N138" s="25" t="inlineStr">
        <is>
          <t>NEW</t>
        </is>
      </c>
      <c r="O138" s="14" t="inlineStr">
        <is>
          <t>غير متوافقة مع اختصاصات KBM</t>
        </is>
      </c>
      <c r="P138" s="22">
        <f>HYPERLINK("https://capt.gov.kw/ar/tenders/opening-tenders/#card-2", "عرض المصدر")</f>
        <v/>
      </c>
    </row>
    <row r="139">
      <c r="A139" s="11" t="inlineStr">
        <is>
          <t>62/2020/2021</t>
        </is>
      </c>
      <c r="B139" s="11" t="inlineStr">
        <is>
          <t>وزارة الكهرباء والماء والطاقة المتجددة</t>
        </is>
      </c>
      <c r="C139" s="11" t="inlineStr">
        <is>
          <t>Raed Obeid</t>
        </is>
      </c>
      <c r="D139" s="11" t="inlineStr">
        <is>
          <t>توريد وتركيب وصيانة خطوط هوائية ضغط متوسط 11 ك.ف وضغط منخفض والاعمال المدنية المتعلقة بهما في مزارع الوفرة</t>
        </is>
      </c>
      <c r="E139" s="11" t="inlineStr">
        <is>
          <t>أعمال وتوريدات توريد وتركيب وصيانة خطوط هوائية ضغط متوسط 11 ك.ف وضغط منخفض والاعمال المدنية المتعلقة بهما في مزارع الوفرة لصالح وزارة الكهرباء والماء والطاقة المتجددة وفقاً للشروط والمواصفات المعتمدة في وثائق الطرح.</t>
        </is>
      </c>
      <c r="F13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39" s="12" t="inlineStr">
        <is>
          <t>عام</t>
        </is>
      </c>
      <c r="H139" s="12" t="inlineStr">
        <is>
          <t>0.0%</t>
        </is>
      </c>
      <c r="I139" s="12" t="inlineStr">
        <is>
          <t>oil_and_gas</t>
        </is>
      </c>
      <c r="J139" s="12" t="inlineStr">
        <is>
          <t>2026-08-23</t>
        </is>
      </c>
      <c r="K139" s="18" t="inlineStr">
        <is>
          <t>2026-10-20</t>
        </is>
      </c>
      <c r="L139" s="12" t="inlineStr">
        <is>
          <t>100000.000 KWD</t>
        </is>
      </c>
      <c r="M139" s="12" t="inlineStr">
        <is>
          <t>3500.000 KWD</t>
        </is>
      </c>
      <c r="N139" s="25" t="inlineStr">
        <is>
          <t>NEW</t>
        </is>
      </c>
      <c r="O139" s="12" t="inlineStr">
        <is>
          <t>غير متوافقة مع اختصاصات KBM</t>
        </is>
      </c>
      <c r="P139" s="23">
        <f>HYPERLINK("https://capt.gov.kw/ar/tenders/opening-tenders/#card-1", "عرض المصدر")</f>
        <v/>
      </c>
    </row>
    <row r="140">
      <c r="A140" s="13" t="inlineStr">
        <is>
          <t>6/2025/2026</t>
        </is>
      </c>
      <c r="B140" s="13" t="inlineStr">
        <is>
          <t>الادارة العامة للطيران المدني</t>
        </is>
      </c>
      <c r="C140" s="13" t="inlineStr">
        <is>
          <t>Eiman Ashkanani</t>
        </is>
      </c>
      <c r="D140" s="13" t="inlineStr">
        <is>
          <t>اعمال صيانة و ترميم المباني و الاعمال الانشائية و اية اعمال اخرى في مواقع مختلفة للطيران المدني</t>
        </is>
      </c>
      <c r="E140" s="13" t="inlineStr">
        <is>
          <t>تنفيذ الأعمال المدنية والإنشائية والترميم والصيانة العامة للمباني والمنشآت والمرافق التابعة للجهة.</t>
        </is>
      </c>
      <c r="F14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40" s="14" t="inlineStr">
        <is>
          <t>عام</t>
        </is>
      </c>
      <c r="H140" s="14" t="inlineStr">
        <is>
          <t>0.0%</t>
        </is>
      </c>
      <c r="I140" s="14" t="inlineStr">
        <is>
          <t>government</t>
        </is>
      </c>
      <c r="J140" s="14" t="inlineStr">
        <is>
          <t>2026-08-23</t>
        </is>
      </c>
      <c r="K140" s="14" t="inlineStr">
        <is>
          <t>2026-11-17</t>
        </is>
      </c>
      <c r="L140" s="14" t="inlineStr">
        <is>
          <t>170000.000 KWD</t>
        </is>
      </c>
      <c r="M140" s="14" t="inlineStr">
        <is>
          <t>3500.000 KWD</t>
        </is>
      </c>
      <c r="N140" s="25" t="inlineStr">
        <is>
          <t>NEW</t>
        </is>
      </c>
      <c r="O140" s="14" t="inlineStr">
        <is>
          <t>غير متوافقة مع اختصاصات KBM</t>
        </is>
      </c>
      <c r="P140" s="22">
        <f>HYPERLINK("https://capt.gov.kw/ar/tenders/opening-tenders/#card-0", "عرض المصدر")</f>
        <v/>
      </c>
    </row>
    <row r="141">
      <c r="A141" s="11" t="inlineStr">
        <is>
          <t>2147428</t>
        </is>
      </c>
      <c r="B141" s="11" t="inlineStr">
        <is>
          <t>شركة نفط الكويت</t>
        </is>
      </c>
      <c r="C141" s="11" t="inlineStr">
        <is>
          <t>Ahmed Habib</t>
        </is>
      </c>
      <c r="D141" s="11" t="inlineStr">
        <is>
          <t>تقديم خدمات الامن السيبراني المدارة</t>
        </is>
      </c>
      <c r="E141" s="11" t="inlineStr">
        <is>
          <t>أعمال وتوريدات تقديم خدمات الامن السيبراني المدارة لصالح شركة نفط الكويت وفقاً للشروط والمواصفات المعتمدة في وثائق الطرح.</t>
        </is>
      </c>
      <c r="F14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41" s="12" t="inlineStr">
        <is>
          <t>قطاع الأمن السيبراني والدفاع الرقمي</t>
        </is>
      </c>
      <c r="H141" s="12" t="inlineStr">
        <is>
          <t>47.0%</t>
        </is>
      </c>
      <c r="I141" s="12" t="inlineStr">
        <is>
          <t>oil_and_gas</t>
        </is>
      </c>
      <c r="J141" s="12" t="inlineStr">
        <is>
          <t>2026-08-23</t>
        </is>
      </c>
      <c r="K141" s="12" t="inlineStr">
        <is>
          <t>2026-11-17</t>
        </is>
      </c>
      <c r="L141" s="12" t="inlineStr">
        <is>
          <t>220000.000 KWD</t>
        </is>
      </c>
      <c r="M141" s="12" t="inlineStr">
        <is>
          <t>3500.000 KWD</t>
        </is>
      </c>
      <c r="N141" s="25" t="inlineStr">
        <is>
          <t>NEW</t>
        </is>
      </c>
      <c r="O141" s="12" t="inlineStr">
        <is>
          <t>فرصة تتطلب شراكة أو دراسة نطاق</t>
        </is>
      </c>
      <c r="P141" s="23">
        <f>HYPERLINK("https://capt.gov.kw/ar/tenders/opening-tenders/#card-9", "عرض المصدر")</f>
        <v/>
      </c>
    </row>
    <row r="142">
      <c r="A142" s="13" t="inlineStr">
        <is>
          <t>و ك م 16/2025/2026</t>
        </is>
      </c>
      <c r="B142" s="13" t="inlineStr">
        <is>
          <t>وزارة الكهرباء والماء والطاقة المتجددة</t>
        </is>
      </c>
      <c r="C142" s="13" t="inlineStr">
        <is>
          <t>Raed Obeid</t>
        </is>
      </c>
      <c r="D142" s="13" t="inlineStr">
        <is>
          <t>صيانة واستبدال التالف و الاعمال المدنيه المتعلقه بعدد من المحولات حتى سعة 75 م.ف.أ و المفاعل المتوازي حتى سعة 50 م.فأ.أ.ر(المرحلة الثانيه)</t>
        </is>
      </c>
      <c r="E142" s="13" t="inlineStr">
        <is>
          <t>أعمال وتوريدات صيانة واستبدال التالف و الاعمال المدنيه المتعلقه بعدد من المحولات حتى سعة 75 م.ف.أ و المفاعل المتوازي حتى سعة 50 م.فأ.أ.ر(المرحلة الثانيه) لصالح وزارة الكهرباء والماء والطاقة المتجددة وفقاً للشروط والمواصفات المعتمدة في وثائق الطرح.</t>
        </is>
      </c>
      <c r="F14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42" s="14" t="inlineStr">
        <is>
          <t>عام</t>
        </is>
      </c>
      <c r="H142" s="14" t="inlineStr">
        <is>
          <t>0.0%</t>
        </is>
      </c>
      <c r="I142" s="14" t="inlineStr">
        <is>
          <t>oil_and_gas</t>
        </is>
      </c>
      <c r="J142" s="14" t="inlineStr">
        <is>
          <t>2026-08-30</t>
        </is>
      </c>
      <c r="K142" s="14" t="inlineStr">
        <is>
          <t>2026-11-01</t>
        </is>
      </c>
      <c r="L142" s="14" t="inlineStr">
        <is>
          <t>23000.000 KWD</t>
        </is>
      </c>
      <c r="M142" s="14" t="inlineStr">
        <is>
          <t>1000.000 KWD</t>
        </is>
      </c>
      <c r="N142" s="25" t="inlineStr">
        <is>
          <t>NEW</t>
        </is>
      </c>
      <c r="O142" s="14" t="inlineStr">
        <is>
          <t>غير متوافقة مع اختصاصات KBM</t>
        </is>
      </c>
      <c r="P142" s="22">
        <f>HYPERLINK("https://capt.gov.kw/ar/tenders/opening-tenders/#card-8", "عرض المصدر")</f>
        <v/>
      </c>
    </row>
    <row r="143">
      <c r="A143" s="11" t="inlineStr">
        <is>
          <t>ممارسة 1 /2026/2027</t>
        </is>
      </c>
      <c r="B143" s="11" t="inlineStr">
        <is>
          <t>هيئة تشجيع الاستثمار المباشر</t>
        </is>
      </c>
      <c r="C143" s="11" t="inlineStr">
        <is>
          <t>Eiman Ashkanani</t>
        </is>
      </c>
      <c r="D143" s="11" t="inlineStr">
        <is>
          <t>مراجعة التصميم والإشراف على تنفيذ مشروع المناقصة (1/2025/2026) بإنشاء و إنجاز و تأثيث و صيانة و تشغيل مبنى المقر الرئيسي لهيئة تشجيع الاستثمار المباشر</t>
        </is>
      </c>
      <c r="E143" s="11" t="inlineStr">
        <is>
          <t>تنفيذ الأعمال المدنية والإنشائية والترميم والصيانة العامة للمباني والمنشآت والمرافق التابعة للجهة.</t>
        </is>
      </c>
      <c r="F14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43" s="12" t="inlineStr">
        <is>
          <t>عام</t>
        </is>
      </c>
      <c r="H143" s="12" t="inlineStr">
        <is>
          <t>0.0%</t>
        </is>
      </c>
      <c r="I143" s="12" t="inlineStr">
        <is>
          <t>government</t>
        </is>
      </c>
      <c r="J143" s="12" t="inlineStr">
        <is>
          <t>2026-08-30</t>
        </is>
      </c>
      <c r="K143" s="12" t="inlineStr">
        <is>
          <t>2026-10-13</t>
        </is>
      </c>
      <c r="L143" s="12" t="inlineStr">
        <is>
          <t>62000.000 KWD</t>
        </is>
      </c>
      <c r="M143" s="12" t="inlineStr">
        <is>
          <t>3500.000 KWD</t>
        </is>
      </c>
      <c r="N143" s="25" t="inlineStr">
        <is>
          <t>NEW</t>
        </is>
      </c>
      <c r="O143" s="12" t="inlineStr">
        <is>
          <t>غير متوافقة مع اختصاصات KBM</t>
        </is>
      </c>
      <c r="P143" s="23">
        <f>HYPERLINK("https://capt.gov.kw/ar/tenders/opening-tenders/#card-7", "عرض المصدر")</f>
        <v/>
      </c>
    </row>
    <row r="144">
      <c r="A144" s="13" t="inlineStr">
        <is>
          <t>ص/ م خ ع / 9/2026/2027</t>
        </is>
      </c>
      <c r="B144" s="13" t="inlineStr">
        <is>
          <t>وزارة الصحة</t>
        </is>
      </c>
      <c r="C144" s="13" t="inlineStr">
        <is>
          <t>Jana Al-Obaid</t>
        </is>
      </c>
      <c r="D144" s="13" t="inlineStr">
        <is>
          <t>خدمات الإشراف على التنفيذ لإنشاء وتجهيز وتأثيث والصيانة لمشروع المطبخ المركزي لمستشفى الفروانية الجديد</t>
        </is>
      </c>
      <c r="E144" s="13" t="inlineStr">
        <is>
          <t>تنفيذ الأعمال المدنية والإنشائية والترميم والصيانة العامة للمباني والمنشآت والمرافق التابعة للجهة.</t>
        </is>
      </c>
      <c r="F14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44" s="14" t="inlineStr">
        <is>
          <t>عام</t>
        </is>
      </c>
      <c r="H144" s="14" t="inlineStr">
        <is>
          <t>0.0%</t>
        </is>
      </c>
      <c r="I144" s="14" t="inlineStr">
        <is>
          <t>healthcare</t>
        </is>
      </c>
      <c r="J144" s="14" t="inlineStr">
        <is>
          <t>2026-08-30</t>
        </is>
      </c>
      <c r="K144" s="14" t="inlineStr">
        <is>
          <t>2026-11-24</t>
        </is>
      </c>
      <c r="L144" s="14" t="inlineStr">
        <is>
          <t>7500.000 KWD</t>
        </is>
      </c>
      <c r="M144" s="14" t="inlineStr">
        <is>
          <t>1000.000 KWD</t>
        </is>
      </c>
      <c r="N144" s="25" t="inlineStr">
        <is>
          <t>NEW</t>
        </is>
      </c>
      <c r="O144" s="14" t="inlineStr">
        <is>
          <t>غير متوافقة مع اختصاصات KBM</t>
        </is>
      </c>
      <c r="P144" s="22">
        <f>HYPERLINK("https://capt.gov.kw/ar/tenders/opening-tenders/#card-6", "عرض المصدر")</f>
        <v/>
      </c>
    </row>
    <row r="145">
      <c r="A145" s="11" t="inlineStr">
        <is>
          <t>ص / م خ ع / 3/2026/2027</t>
        </is>
      </c>
      <c r="B145" s="11" t="inlineStr">
        <is>
          <t>وزارة الصحة</t>
        </is>
      </c>
      <c r="C145" s="11" t="inlineStr">
        <is>
          <t>Jana Al-Obaid</t>
        </is>
      </c>
      <c r="D145" s="11" t="inlineStr">
        <is>
          <t>حراسة وامن مرافق الوزارة منطقتي ( الصباح الطبية التخصصية - منطقة الأحمدي الصحية ) و الادارات المركزية</t>
        </is>
      </c>
      <c r="E145" s="11" t="inlineStr">
        <is>
          <t>توفير خدمات الحراسة والأمن والسلامة للمباني والمنشآت وتأمين المداخل وتوفير الكوادر الأمنية المدربة.</t>
        </is>
      </c>
      <c r="F14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45" s="12" t="inlineStr">
        <is>
          <t>عام</t>
        </is>
      </c>
      <c r="H145" s="12" t="inlineStr">
        <is>
          <t>0.0%</t>
        </is>
      </c>
      <c r="I145" s="12" t="inlineStr">
        <is>
          <t>healthcare</t>
        </is>
      </c>
      <c r="J145" s="12" t="inlineStr">
        <is>
          <t>2026-08-30</t>
        </is>
      </c>
      <c r="K145" s="18" t="inlineStr">
        <is>
          <t>2026-10-20</t>
        </is>
      </c>
      <c r="L145" s="12" t="inlineStr">
        <is>
          <t>100000.000 KWD</t>
        </is>
      </c>
      <c r="M145" s="12" t="inlineStr">
        <is>
          <t>3500.000 KWD</t>
        </is>
      </c>
      <c r="N145" s="25" t="inlineStr">
        <is>
          <t>NEW</t>
        </is>
      </c>
      <c r="O145" s="12" t="inlineStr">
        <is>
          <t>غير متوافقة مع اختصاصات KBM</t>
        </is>
      </c>
      <c r="P145" s="23">
        <f>HYPERLINK("https://capt.gov.kw/ar/tenders/opening-tenders/#card-5", "عرض المصدر")</f>
        <v/>
      </c>
    </row>
    <row r="146">
      <c r="A146" s="13" t="inlineStr">
        <is>
          <t>241717263</t>
        </is>
      </c>
      <c r="B146" s="13" t="inlineStr">
        <is>
          <t>وزارة الدفاع</t>
        </is>
      </c>
      <c r="C146" s="13" t="inlineStr">
        <is>
          <t>Eiman Ashkanani</t>
        </is>
      </c>
      <c r="D146" s="13" t="inlineStr">
        <is>
          <t>توريد زيت نباتي (ذرة) - لزوم / وحدات الجيش</t>
        </is>
      </c>
      <c r="E146" s="13" t="inlineStr">
        <is>
          <t>أعمال وتوريدات توريد زيت نباتي (ذرة) - لزوم / وحدات الجيش لصالح وزارة الدفاع وفقاً للشروط والمواصفات المعتمدة في وثائق الطرح.</t>
        </is>
      </c>
      <c r="F14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46" s="14" t="inlineStr">
        <is>
          <t>عام</t>
        </is>
      </c>
      <c r="H146" s="14" t="inlineStr">
        <is>
          <t>0.0%</t>
        </is>
      </c>
      <c r="I146" s="14" t="inlineStr">
        <is>
          <t>defense_and_security</t>
        </is>
      </c>
      <c r="J146" s="14" t="inlineStr">
        <is>
          <t>2026-08-30</t>
        </is>
      </c>
      <c r="K146" s="14" t="inlineStr">
        <is>
          <t>2026-11-24</t>
        </is>
      </c>
      <c r="L146" s="14" t="inlineStr">
        <is>
          <t>15000.000 KWD</t>
        </is>
      </c>
      <c r="M146" s="14" t="inlineStr">
        <is>
          <t>1000.000 KWD</t>
        </is>
      </c>
      <c r="N146" s="25" t="inlineStr">
        <is>
          <t>NEW</t>
        </is>
      </c>
      <c r="O146" s="14" t="inlineStr">
        <is>
          <t>غير متوافقة مع اختصاصات KBM</t>
        </is>
      </c>
      <c r="P146" s="22">
        <f>HYPERLINK("https://capt.gov.kw/ar/tenders/opening-tenders/#card-4", "عرض المصدر")</f>
        <v/>
      </c>
    </row>
    <row r="147">
      <c r="A147" s="11" t="inlineStr">
        <is>
          <t>5/2025-2026</t>
        </is>
      </c>
      <c r="B147" s="11" t="inlineStr">
        <is>
          <t>ديوان المحاسبة</t>
        </is>
      </c>
      <c r="C147" s="11" t="inlineStr">
        <is>
          <t>Eiman Ashkanani</t>
        </is>
      </c>
      <c r="D147" s="11" t="inlineStr">
        <is>
          <t>توريد وتركيب وتشغيل وصيانة وضمان أجهزة  محــولات الشبكــة Access Switches وجهــاز إدارة الـمحــولات  Catalyst Center (بالإضــافــة للرخــص والـقـطــع الـمـلحقـــة(</t>
        </is>
      </c>
      <c r="E147" s="11" t="inlineStr">
        <is>
          <t>تنفيذ أعمال توريد وتركيب وتشغيل وصيانة وضمان أجهزة  محــولات الشبكــة Access Switches وجهــاز إدارة الـمحــولات  Catalyst Center (بالإضــافــة للرخــص والـقـطــع الـمـلحقـــة(، وتوفير كافة الأجهزة والمعدات والأنظمة وخدمات الدعم الفني والضمان وفقاً لكراسة الشروط والمواصفات الفنية.</t>
        </is>
      </c>
      <c r="F14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47" s="24" t="inlineStr">
        <is>
          <t>قطاع العمليات المدارة والدعم الفني متعدد الموردين</t>
        </is>
      </c>
      <c r="H147" s="12" t="inlineStr">
        <is>
          <t>49.0%</t>
        </is>
      </c>
      <c r="I147" s="12" t="inlineStr">
        <is>
          <t>government</t>
        </is>
      </c>
      <c r="J147" s="12" t="inlineStr">
        <is>
          <t>2026-09-06</t>
        </is>
      </c>
      <c r="K147" s="12" t="inlineStr">
        <is>
          <t>2026-10-27</t>
        </is>
      </c>
      <c r="L147" s="12" t="inlineStr">
        <is>
          <t>3500.000 KWD</t>
        </is>
      </c>
      <c r="M147" s="12" t="inlineStr">
        <is>
          <t>150.000 KWD</t>
        </is>
      </c>
      <c r="N147" s="21" t="inlineStr">
        <is>
          <t>UPDATED</t>
        </is>
      </c>
      <c r="O147" s="12" t="inlineStr">
        <is>
          <t>فرصة تتطلب شراكة أو دراسة نطاق</t>
        </is>
      </c>
      <c r="P147" s="23">
        <f>HYPERLINK("https://capt.gov.kw/ar/tenders/opening-tenders/#card-1", "عرض المصدر")</f>
        <v/>
      </c>
    </row>
    <row r="148">
      <c r="A148" s="13" t="inlineStr">
        <is>
          <t>ممارسة 3/2026/2027</t>
        </is>
      </c>
      <c r="B148" s="13" t="inlineStr">
        <is>
          <t>الجهاز المركزي للمناقصات العامة</t>
        </is>
      </c>
      <c r="C148" s="13" t="inlineStr">
        <is>
          <t>Eiman Ashkanani</t>
        </is>
      </c>
      <c r="D148" s="13" t="inlineStr">
        <is>
          <t>تصميم وتطوير خدمات الموقع الإلكتروني والبرامج الذكية للجهاز المركزي للمناقصات العامة</t>
        </is>
      </c>
      <c r="E148" s="13" t="inlineStr">
        <is>
          <t>تنفيذ أعمال تصميم وتطوير خدمات الموقع الإلكتروني والبرامج الذكية للجهاز المركزي للمناقصات العامة، وتوفير كافة الأجهزة والمعدات والأنظمة وخدمات الدعم الفني والضمان وفقاً لكراسة الشروط والمواصفات الفنية.</t>
        </is>
      </c>
      <c r="F14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48" s="14" t="inlineStr">
        <is>
          <t>عام</t>
        </is>
      </c>
      <c r="H148" s="14" t="inlineStr">
        <is>
          <t>28.0%</t>
        </is>
      </c>
      <c r="I148" s="14" t="inlineStr">
        <is>
          <t>government</t>
        </is>
      </c>
      <c r="J148" s="14" t="inlineStr">
        <is>
          <t>2026-09-13</t>
        </is>
      </c>
      <c r="K148" s="14" t="inlineStr">
        <is>
          <t>2026-10-06</t>
        </is>
      </c>
      <c r="L148" s="14" t="inlineStr">
        <is>
          <t>1000.000 KWD</t>
        </is>
      </c>
      <c r="M148" s="14" t="inlineStr">
        <is>
          <t>50.000 KWD</t>
        </is>
      </c>
      <c r="N148" s="25" t="inlineStr">
        <is>
          <t>NEW</t>
        </is>
      </c>
      <c r="O148" s="14" t="inlineStr">
        <is>
          <t>غير متوافقة مع اختصاصات KBM</t>
        </is>
      </c>
      <c r="P148" s="22">
        <f>HYPERLINK("https://capt.gov.kw/ar/tenders/opening-tenders/#card-0", "عرض المصدر")</f>
        <v/>
      </c>
    </row>
    <row r="149">
      <c r="A149" s="11" t="inlineStr">
        <is>
          <t>RFQ/1062690</t>
        </is>
      </c>
      <c r="B149" s="11" t="inlineStr">
        <is>
          <t>شركة البترول الوطنية الكويتية</t>
        </is>
      </c>
      <c r="C149" s="11" t="inlineStr">
        <is>
          <t>Abrar Al-Qallaf</t>
        </is>
      </c>
      <c r="D149" s="11" t="inlineStr">
        <is>
          <t>ممارسة رقم RFQ/1062690: توريد مواد ومهمات تشغيلية لزوم شركة البترول الوطنية الكويتية - شركة البترول الوطنية الكويتية</t>
        </is>
      </c>
      <c r="E149" s="11" t="inlineStr">
        <is>
          <t>أعمال وتوريدات تخصصية لزوم شركة البترول الوطنية الكويتية حسب وثائق الممارسة رقم RFQ/1062690 عبر منصة K-Tendering.</t>
        </is>
      </c>
      <c r="F149" s="11" t="inlineStr">
        <is>
          <t>وفقاً لشروط وإجراءات المناقصات والتوريد لدى شركة البترول الوطنية الكويتية (KNPC)</t>
        </is>
      </c>
      <c r="G149" s="12" t="inlineStr">
        <is>
          <t>عام</t>
        </is>
      </c>
      <c r="H149" s="12" t="inlineStr">
        <is>
          <t>15.0%</t>
        </is>
      </c>
      <c r="I149" s="12" t="inlineStr">
        <is>
          <t>oil_and_gas</t>
        </is>
      </c>
      <c r="J149" s="12" t="inlineStr">
        <is>
          <t>2026-09-27</t>
        </is>
      </c>
      <c r="K149" s="12" t="inlineStr">
        <is>
          <t>2026-10-22</t>
        </is>
      </c>
      <c r="L149" s="12" t="inlineStr">
        <is>
          <t>1000.0 KWD</t>
        </is>
      </c>
      <c r="M149" s="12" t="inlineStr">
        <is>
          <t>-</t>
        </is>
      </c>
      <c r="N149" s="21" t="inlineStr">
        <is>
          <t>UPDATED</t>
        </is>
      </c>
      <c r="O149" s="12" t="inlineStr">
        <is>
          <t>غير متوافقة</t>
        </is>
      </c>
      <c r="P149" s="23">
        <f>HYPERLINK("https://kuwaitalyawm.media.gov.kw/flip/index?id=5599&amp;no=223", "عرض المصدر")</f>
        <v/>
      </c>
    </row>
    <row r="150">
      <c r="A150" s="13" t="inlineStr">
        <is>
          <t>RFQ/1063968</t>
        </is>
      </c>
      <c r="B150" s="13" t="inlineStr">
        <is>
          <t>شركة البترول الوطنية الكويتية</t>
        </is>
      </c>
      <c r="C150" s="13" t="inlineStr">
        <is>
          <t>Abrar Al-Qallaf</t>
        </is>
      </c>
      <c r="D150" s="13" t="inlineStr">
        <is>
          <t>ممارسة رقم RFQ/1063968: توريد مواد ومهمات تشغيلية لزوم شركة البترول الوطنية الكويتية - شركة البترول الوطنية الكويتية</t>
        </is>
      </c>
      <c r="E150" s="13" t="inlineStr">
        <is>
          <t>أعمال وتوريدات تخصصية لزوم شركة البترول الوطنية الكويتية حسب وثائق الممارسة رقم RFQ/1063968 عبر منصة K-Tendering.</t>
        </is>
      </c>
      <c r="F150" s="13" t="inlineStr">
        <is>
          <t>وفقاً لشروط وإجراءات المناقصات والتوريد لدى شركة البترول الوطنية الكويتية (KNPC)</t>
        </is>
      </c>
      <c r="G150" s="14" t="inlineStr">
        <is>
          <t>عام</t>
        </is>
      </c>
      <c r="H150" s="14" t="inlineStr">
        <is>
          <t>15.0%</t>
        </is>
      </c>
      <c r="I150" s="14" t="inlineStr">
        <is>
          <t>oil_and_gas</t>
        </is>
      </c>
      <c r="J150" s="14" t="inlineStr">
        <is>
          <t>2026-09-27</t>
        </is>
      </c>
      <c r="K150" s="18" t="inlineStr">
        <is>
          <t>2026-10-15</t>
        </is>
      </c>
      <c r="L150" s="14" t="inlineStr">
        <is>
          <t>1000.0 KWD</t>
        </is>
      </c>
      <c r="M150" s="14" t="inlineStr">
        <is>
          <t>-</t>
        </is>
      </c>
      <c r="N150" s="21" t="inlineStr">
        <is>
          <t>UPDATED</t>
        </is>
      </c>
      <c r="O150" s="14" t="inlineStr">
        <is>
          <t>غير متوافقة</t>
        </is>
      </c>
      <c r="P150" s="22">
        <f>HYPERLINK("https://kuwaitalyawm.media.gov.kw/flip/index?id=5599&amp;no=224", "عرض المصدر")</f>
        <v/>
      </c>
    </row>
    <row r="151">
      <c r="A151" s="11" t="inlineStr">
        <is>
          <t>RFQ/1063246</t>
        </is>
      </c>
      <c r="B151" s="11" t="inlineStr">
        <is>
          <t>شركة البترول الوطنية الكويتية</t>
        </is>
      </c>
      <c r="C151" s="11" t="inlineStr">
        <is>
          <t>Abrar Al-Qallaf</t>
        </is>
      </c>
      <c r="D151" s="11" t="inlineStr">
        <is>
          <t>ممارسة رقم RFQ/1063246: توريد مواد ومهمات تشغيلية لزوم شركة البترول الوطنية الكويتية - شركة البترول الوطنية الكويتية</t>
        </is>
      </c>
      <c r="E151" s="11" t="inlineStr">
        <is>
          <t>أعمال وتوريدات تخصصية لزوم شركة البترول الوطنية الكويتية حسب وثائق الممارسة رقم RFQ/1063246 عبر منصة K-Tendering.</t>
        </is>
      </c>
      <c r="F151" s="11" t="inlineStr">
        <is>
          <t>وفقاً لشروط وإجراءات المناقصات والتوريد لدى شركة البترول الوطنية الكويتية (KNPC)</t>
        </is>
      </c>
      <c r="G151" s="12" t="inlineStr">
        <is>
          <t>عام</t>
        </is>
      </c>
      <c r="H151" s="12" t="inlineStr">
        <is>
          <t>15.0%</t>
        </is>
      </c>
      <c r="I151" s="12" t="inlineStr">
        <is>
          <t>oil_and_gas</t>
        </is>
      </c>
      <c r="J151" s="12" t="inlineStr">
        <is>
          <t>2026-09-27</t>
        </is>
      </c>
      <c r="K151" s="12" t="inlineStr">
        <is>
          <t>2026-10-22</t>
        </is>
      </c>
      <c r="L151" s="12" t="inlineStr">
        <is>
          <t>1000.0 KWD</t>
        </is>
      </c>
      <c r="M151" s="12" t="inlineStr">
        <is>
          <t>-</t>
        </is>
      </c>
      <c r="N151" s="21" t="inlineStr">
        <is>
          <t>UPDATED</t>
        </is>
      </c>
      <c r="O151" s="12" t="inlineStr">
        <is>
          <t>غير متوافقة</t>
        </is>
      </c>
      <c r="P151" s="23">
        <f>HYPERLINK("https://kuwaitalyawm.media.gov.kw/flip/index?id=5599&amp;no=224", "عرض المصدر")</f>
        <v/>
      </c>
    </row>
    <row r="152">
      <c r="A152" s="13" t="inlineStr">
        <is>
          <t>RFQ/1063799</t>
        </is>
      </c>
      <c r="B152" s="13" t="inlineStr">
        <is>
          <t>شركة البترول الوطنية الكويتية</t>
        </is>
      </c>
      <c r="C152" s="13" t="inlineStr">
        <is>
          <t>Abrar Al-Qallaf</t>
        </is>
      </c>
      <c r="D152" s="13" t="inlineStr">
        <is>
          <t>ممارسة رقم RFQ/1063799: توريد مواد ومهمات تشغيلية لزوم شركة البترول الوطنية الكويتية - شركة البترول الوطنية الكويتية</t>
        </is>
      </c>
      <c r="E152" s="13" t="inlineStr">
        <is>
          <t>أعمال وتوريدات تخصصية لزوم شركة البترول الوطنية الكويتية حسب وثائق الممارسة رقم RFQ/1063799 عبر منصة K-Tendering.</t>
        </is>
      </c>
      <c r="F152" s="13" t="inlineStr">
        <is>
          <t>وفقاً لشروط وإجراءات المناقصات والتوريد لدى شركة البترول الوطنية الكويتية (KNPC)</t>
        </is>
      </c>
      <c r="G152" s="14" t="inlineStr">
        <is>
          <t>عام</t>
        </is>
      </c>
      <c r="H152" s="14" t="inlineStr">
        <is>
          <t>15.0%</t>
        </is>
      </c>
      <c r="I152" s="14" t="inlineStr">
        <is>
          <t>oil_and_gas</t>
        </is>
      </c>
      <c r="J152" s="14" t="inlineStr">
        <is>
          <t>2026-09-27</t>
        </is>
      </c>
      <c r="K152" s="14" t="inlineStr">
        <is>
          <t>2026-10-22</t>
        </is>
      </c>
      <c r="L152" s="14" t="inlineStr">
        <is>
          <t>1000.0 KWD</t>
        </is>
      </c>
      <c r="M152" s="14" t="inlineStr">
        <is>
          <t>-</t>
        </is>
      </c>
      <c r="N152" s="21" t="inlineStr">
        <is>
          <t>UPDATED</t>
        </is>
      </c>
      <c r="O152" s="14" t="inlineStr">
        <is>
          <t>غير متوافقة</t>
        </is>
      </c>
      <c r="P152" s="22">
        <f>HYPERLINK("https://kuwaitalyawm.media.gov.kw/flip/index?id=5599&amp;no=225", "عرض المصدر")</f>
        <v/>
      </c>
    </row>
    <row r="153">
      <c r="A153" s="11" t="inlineStr">
        <is>
          <t>RFQ/1061616</t>
        </is>
      </c>
      <c r="B153" s="11" t="inlineStr">
        <is>
          <t>شركة البترول الوطنية الكويتية</t>
        </is>
      </c>
      <c r="C153" s="11" t="inlineStr">
        <is>
          <t>Abrar Al-Qallaf</t>
        </is>
      </c>
      <c r="D153" s="11" t="inlineStr">
        <is>
          <t>ممارسة رقم RFQ/1061616: إعادة طرح توريد المواد المضافة للوقود (Stability Additive for 0.5% Sulfur IMO Bunker Fuel Oil - MAA) - شركة البترول الوطنية الكويتية</t>
        </is>
      </c>
      <c r="E153" s="11" t="inlineStr">
        <is>
          <t>توريد مواد مضافة كيميائية لتحسين ثبات منتج وقود السفن منخفض الكبريت 0.5% بمصفاة ميناء الأحمدي.</t>
        </is>
      </c>
      <c r="F153" s="11" t="inlineStr">
        <is>
          <t>وفقاً لشروط وإجراءات المناقصات والتوريد لدى شركة البترول الوطنية الكويتية (KNPC)</t>
        </is>
      </c>
      <c r="G153" s="12" t="inlineStr">
        <is>
          <t>عام</t>
        </is>
      </c>
      <c r="H153" s="12" t="inlineStr">
        <is>
          <t>15.0%</t>
        </is>
      </c>
      <c r="I153" s="12" t="inlineStr">
        <is>
          <t>oil_and_gas</t>
        </is>
      </c>
      <c r="J153" s="12" t="inlineStr">
        <is>
          <t>2026-09-27</t>
        </is>
      </c>
      <c r="K153" s="18" t="inlineStr">
        <is>
          <t>2026-10-15</t>
        </is>
      </c>
      <c r="L153" s="12" t="inlineStr">
        <is>
          <t>1000.0 KWD</t>
        </is>
      </c>
      <c r="M153" s="12" t="inlineStr">
        <is>
          <t>-</t>
        </is>
      </c>
      <c r="N153" s="21" t="inlineStr">
        <is>
          <t>UPDATED</t>
        </is>
      </c>
      <c r="O153" s="12" t="inlineStr">
        <is>
          <t>غير متوافقة</t>
        </is>
      </c>
      <c r="P153" s="23">
        <f>HYPERLINK("https://kuwaitalyawm.media.gov.kw/flip/index?id=5599&amp;no=225", "عرض المصدر")</f>
        <v/>
      </c>
    </row>
    <row r="154">
      <c r="A154" s="13" t="inlineStr">
        <is>
          <t>P&amp;MAB-04/2025</t>
        </is>
      </c>
      <c r="B154" s="13" t="inlineStr">
        <is>
          <t>شركة نفط الكويت</t>
        </is>
      </c>
      <c r="C154" s="13" t="inlineStr">
        <is>
          <t>Ahmed Habib</t>
        </is>
      </c>
      <c r="D154" s="13" t="inlineStr">
        <is>
          <t>ممارسة رقم P&amp;MAB-04/2025: ممارسة التصميم والإشراف على مشروع أرض مساحتها</t>
        </is>
      </c>
      <c r="E154" s="13" t="inlineStr">
        <is>
          <t>أعمال وتوريدات ممارسة رقم P&amp;MAB-04/2025: ممارسة التصميم والإشراف على مشروع أرض مساحتها لصالح شركة ناقلات النفط الكويتية وفقاً للشروط والمواصفات المعتمدة في وثائق الطرح.</t>
        </is>
      </c>
      <c r="F154" s="13" t="inlineStr">
        <is>
          <t>وفقاً لشروط وإجراءات المناقصات والتوريد لدى شركة البترول الوطنية الكويتية (KNPC)</t>
        </is>
      </c>
      <c r="G154" s="14" t="inlineStr">
        <is>
          <t>عام</t>
        </is>
      </c>
      <c r="H154" s="14" t="inlineStr">
        <is>
          <t>15.0%</t>
        </is>
      </c>
      <c r="I154" s="14" t="inlineStr">
        <is>
          <t>oil_and_gas</t>
        </is>
      </c>
      <c r="J154" s="14" t="inlineStr">
        <is>
          <t>2026-09-27</t>
        </is>
      </c>
      <c r="K154" s="14" t="inlineStr">
        <is>
          <t>2026-11-03</t>
        </is>
      </c>
      <c r="L154" s="14" t="inlineStr">
        <is>
          <t>2500.0 KWD</t>
        </is>
      </c>
      <c r="M154" s="14" t="inlineStr">
        <is>
          <t>-</t>
        </is>
      </c>
      <c r="N154" s="21" t="inlineStr">
        <is>
          <t>UPDATED</t>
        </is>
      </c>
      <c r="O154" s="14" t="inlineStr">
        <is>
          <t>غير متوافقة مع اختصاصات KBM</t>
        </is>
      </c>
      <c r="P154" s="22">
        <f>HYPERLINK("https://kuwaitalyawm.media.gov.kw/flip/index?id=5599&amp;no=227", "عرض المصدر")</f>
        <v/>
      </c>
    </row>
    <row r="155">
      <c r="A155" s="11" t="inlineStr">
        <is>
          <t>RFQ/2165292</t>
        </is>
      </c>
      <c r="B155" s="11" t="inlineStr">
        <is>
          <t>شركة البترول الوطنية الكويتية</t>
        </is>
      </c>
      <c r="C155" s="11" t="inlineStr">
        <is>
          <t>Abrar Al-Qallaf</t>
        </is>
      </c>
      <c r="D155" s="11" t="inlineStr">
        <is>
          <t>ممارسة رقم RFQ/2165292: توريد مواد ومهمات تشغيلية لزوم شركة البترول الوطنية الكويتية - شركة البترول الوطنية الكويتية</t>
        </is>
      </c>
      <c r="E155" s="11" t="inlineStr">
        <is>
          <t>أعمال وتوريدات تخصصية لزوم شركة البترول الوطنية الكويتية حسب وثائق الممارسة رقم RFQ/2165292 عبر منصة K-Tendering.</t>
        </is>
      </c>
      <c r="F155" s="11" t="inlineStr">
        <is>
          <t>وفقاً لشروط وإجراءات المناقصات والتوريد لدى شركة البترول الوطنية الكويتية (KNPC) عبر منصة K-Tendering.</t>
        </is>
      </c>
      <c r="G155" s="12" t="inlineStr">
        <is>
          <t>عام</t>
        </is>
      </c>
      <c r="H155" s="12" t="inlineStr">
        <is>
          <t>15.0%</t>
        </is>
      </c>
      <c r="I155" s="12" t="inlineStr">
        <is>
          <t>oil_and_gas</t>
        </is>
      </c>
      <c r="J155" s="12" t="inlineStr">
        <is>
          <t>2026-09-27</t>
        </is>
      </c>
      <c r="K155" s="12" t="inlineStr">
        <is>
          <t>-</t>
        </is>
      </c>
      <c r="L155" s="12" t="inlineStr">
        <is>
          <t>-</t>
        </is>
      </c>
      <c r="M155" s="12" t="inlineStr">
        <is>
          <t>-</t>
        </is>
      </c>
      <c r="N155" s="21" t="inlineStr">
        <is>
          <t>UPDATED</t>
        </is>
      </c>
      <c r="O155" s="12" t="inlineStr">
        <is>
          <t>غير متوافقة</t>
        </is>
      </c>
      <c r="P155" s="23">
        <f>HYPERLINK("https://kuwaitalyawm.media.gov.kw/Online/ViewAdsHTML?id=171740&amp;no=1", "عرض المصدر")</f>
        <v/>
      </c>
    </row>
    <row r="156">
      <c r="A156" s="13" t="inlineStr">
        <is>
          <t>RFQ/2167957</t>
        </is>
      </c>
      <c r="B156" s="13" t="inlineStr">
        <is>
          <t>شركة البترول الوطنية الكويتية</t>
        </is>
      </c>
      <c r="C156" s="13" t="inlineStr">
        <is>
          <t>Abrar Al-Qallaf</t>
        </is>
      </c>
      <c r="D156" s="13" t="inlineStr">
        <is>
          <t>ممارسة رقم RFQ/2167957: توريد مواد ومهمات تشغيلية لزوم شركة البترول الوطنية الكويتية - شركة البترول الوطنية الكويتية</t>
        </is>
      </c>
      <c r="E156" s="13" t="inlineStr">
        <is>
          <t>أعمال وتوريدات تخصصية لزوم شركة البترول الوطنية الكويتية حسب وثائق الممارسة رقم RFQ/2167957 عبر منصة K-Tendering.</t>
        </is>
      </c>
      <c r="F156" s="13" t="inlineStr">
        <is>
          <t>وفقاً لشروط وإجراءات المناقصات والتوريد لدى شركة البترول الوطنية الكويتية (KNPC) عبر منصة K-Tendering.</t>
        </is>
      </c>
      <c r="G156" s="14" t="inlineStr">
        <is>
          <t>عام</t>
        </is>
      </c>
      <c r="H156" s="14" t="inlineStr">
        <is>
          <t>15.0%</t>
        </is>
      </c>
      <c r="I156" s="14" t="inlineStr">
        <is>
          <t>oil_and_gas</t>
        </is>
      </c>
      <c r="J156" s="14" t="inlineStr">
        <is>
          <t>2026-09-27</t>
        </is>
      </c>
      <c r="K156" s="14" t="inlineStr">
        <is>
          <t>2026-11-02</t>
        </is>
      </c>
      <c r="L156" s="14" t="inlineStr">
        <is>
          <t>15000.0 KWD</t>
        </is>
      </c>
      <c r="M156" s="14" t="inlineStr">
        <is>
          <t>-</t>
        </is>
      </c>
      <c r="N156" s="21" t="inlineStr">
        <is>
          <t>UPDATED</t>
        </is>
      </c>
      <c r="O156" s="14" t="inlineStr">
        <is>
          <t>غير متوافقة</t>
        </is>
      </c>
      <c r="P156" s="22">
        <f>HYPERLINK("https://kuwaitalyawm.media.gov.kw/Online/ViewAdsHTML?id=171741&amp;no=1", "عرض المصدر")</f>
        <v/>
      </c>
    </row>
    <row r="157">
      <c r="A157" s="11" t="inlineStr">
        <is>
          <t>RFQ/2162141</t>
        </is>
      </c>
      <c r="B157" s="11" t="inlineStr">
        <is>
          <t>شركة البترول الوطنية الكويتية</t>
        </is>
      </c>
      <c r="C157" s="11" t="inlineStr">
        <is>
          <t>Abrar Al-Qallaf</t>
        </is>
      </c>
      <c r="D157" s="11" t="inlineStr">
        <is>
          <t>ممارسة رقم RFQ/2162141: توريد مواد ومهمات تشغيلية لزوم شركة البترول الوطنية الكويتية - شركة البترول الوطنية الكويتية</t>
        </is>
      </c>
      <c r="E157" s="11" t="inlineStr">
        <is>
          <t>أعمال وتوريدات تخصصية لزوم شركة البترول الوطنية الكويتية حسب وثائق الممارسة رقم RFQ/2162141 عبر منصة K-Tendering.</t>
        </is>
      </c>
      <c r="F157" s="11" t="inlineStr">
        <is>
          <t>وفقاً لشروط وإجراءات المناقصات والتوريد لدى شركة البترول الوطنية الكويتية (KNPC)</t>
        </is>
      </c>
      <c r="G157" s="12" t="inlineStr">
        <is>
          <t>عام</t>
        </is>
      </c>
      <c r="H157" s="12" t="inlineStr">
        <is>
          <t>15.0%</t>
        </is>
      </c>
      <c r="I157" s="12" t="inlineStr">
        <is>
          <t>oil_and_gas</t>
        </is>
      </c>
      <c r="J157" s="12" t="inlineStr">
        <is>
          <t>2026-09-27</t>
        </is>
      </c>
      <c r="K157" s="12" t="inlineStr">
        <is>
          <t>-</t>
        </is>
      </c>
      <c r="L157" s="12" t="inlineStr">
        <is>
          <t>-</t>
        </is>
      </c>
      <c r="M157" s="12" t="inlineStr">
        <is>
          <t>-</t>
        </is>
      </c>
      <c r="N157" s="25" t="inlineStr">
        <is>
          <t>NEW</t>
        </is>
      </c>
      <c r="O157" s="12" t="inlineStr">
        <is>
          <t>غير متوافقة</t>
        </is>
      </c>
      <c r="P157" s="23">
        <f>HYPERLINK("https://kuwaitalyawm.media.gov.kw/flip/index?id=5599&amp;no=232", "عرض المصدر")</f>
        <v/>
      </c>
    </row>
    <row r="158">
      <c r="A158" s="13" t="inlineStr">
        <is>
          <t>RFQ/2162882</t>
        </is>
      </c>
      <c r="B158" s="13" t="inlineStr">
        <is>
          <t>شركة البترول الوطنية الكويتية</t>
        </is>
      </c>
      <c r="C158" s="13" t="inlineStr">
        <is>
          <t>Abrar Al-Qallaf</t>
        </is>
      </c>
      <c r="D158" s="13" t="inlineStr">
        <is>
          <t>ممارسة رقم RFQ/2162882: توريد مواد ومهمات تشغيلية لزوم شركة البترول الوطنية الكويتية - شركة البترول الوطنية الكويتية</t>
        </is>
      </c>
      <c r="E158" s="13" t="inlineStr">
        <is>
          <t>أعمال وتوريدات تخصصية لزوم شركة البترول الوطنية الكويتية حسب وثائق الممارسة رقم RFQ/2162882 عبر منصة K-Tendering.</t>
        </is>
      </c>
      <c r="F158" s="13" t="inlineStr">
        <is>
          <t>وفقاً لشروط وإجراءات المناقصات والتوريد لدى شركة البترول الوطنية الكويتية (KNPC)</t>
        </is>
      </c>
      <c r="G158" s="14" t="inlineStr">
        <is>
          <t>عام</t>
        </is>
      </c>
      <c r="H158" s="14" t="inlineStr">
        <is>
          <t>15.0%</t>
        </is>
      </c>
      <c r="I158" s="14" t="inlineStr">
        <is>
          <t>oil_and_gas</t>
        </is>
      </c>
      <c r="J158" s="14" t="inlineStr">
        <is>
          <t>2026-08-30</t>
        </is>
      </c>
      <c r="K158" s="14" t="inlineStr">
        <is>
          <t>-</t>
        </is>
      </c>
      <c r="L158" s="14" t="inlineStr">
        <is>
          <t>-</t>
        </is>
      </c>
      <c r="M158" s="14" t="inlineStr">
        <is>
          <t>-</t>
        </is>
      </c>
      <c r="N158" s="25" t="inlineStr">
        <is>
          <t>NEW</t>
        </is>
      </c>
      <c r="O158" s="14" t="inlineStr">
        <is>
          <t>غير متوافقة</t>
        </is>
      </c>
      <c r="P158" s="22">
        <f>HYPERLINK("https://kuwaitalyawm.media.gov.kw/flip/index?id=5599&amp;no=232", "عرض المصدر")</f>
        <v/>
      </c>
    </row>
    <row r="159">
      <c r="A159" s="11" t="inlineStr">
        <is>
          <t>RFQ/2164961</t>
        </is>
      </c>
      <c r="B159" s="11" t="inlineStr">
        <is>
          <t>شركة البترول الوطنية الكويتية</t>
        </is>
      </c>
      <c r="C159" s="11" t="inlineStr">
        <is>
          <t>Abrar Al-Qallaf</t>
        </is>
      </c>
      <c r="D159" s="11" t="inlineStr">
        <is>
          <t>ممارسة رقم RFQ/2164961: توريد مواد ومهمات تشغيلية لزوم شركة البترول الوطنية الكويتية - شركة البترول الوطنية الكويتية</t>
        </is>
      </c>
      <c r="E159" s="11" t="inlineStr">
        <is>
          <t>أعمال وتوريدات تخصصية لزوم شركة البترول الوطنية الكويتية حسب وثائق الممارسة رقم RFQ/2164961 عبر منصة K-Tendering.</t>
        </is>
      </c>
      <c r="F159" s="11" t="inlineStr">
        <is>
          <t>وفقاً لشروط وإجراءات المناقصات والتوريد لدى شركة البترول الوطنية الكويتية (KNPC)</t>
        </is>
      </c>
      <c r="G159" s="12" t="inlineStr">
        <is>
          <t>عام</t>
        </is>
      </c>
      <c r="H159" s="12" t="inlineStr">
        <is>
          <t>15.0%</t>
        </is>
      </c>
      <c r="I159" s="12" t="inlineStr">
        <is>
          <t>oil_and_gas</t>
        </is>
      </c>
      <c r="J159" s="12" t="inlineStr">
        <is>
          <t>2026-09-27</t>
        </is>
      </c>
      <c r="K159" s="12" t="inlineStr">
        <is>
          <t>2026-09-27</t>
        </is>
      </c>
      <c r="L159" s="12" t="inlineStr">
        <is>
          <t>15000.0</t>
        </is>
      </c>
      <c r="M159" s="12" t="inlineStr">
        <is>
          <t>-</t>
        </is>
      </c>
      <c r="N159" s="25" t="inlineStr">
        <is>
          <t>NEW</t>
        </is>
      </c>
      <c r="O159" s="12" t="inlineStr">
        <is>
          <t>غير متوافقة</t>
        </is>
      </c>
      <c r="P159" s="23">
        <f>HYPERLINK("https://kuwaitalyawm.media.gov.kw/flip/index?id=5599&amp;no=232", "عرض المصدر")</f>
        <v/>
      </c>
    </row>
    <row r="160">
      <c r="A160" s="13" t="inlineStr">
        <is>
          <t>RFQ/2167837</t>
        </is>
      </c>
      <c r="B160" s="13" t="inlineStr">
        <is>
          <t>شركة البترول الوطنية الكويتية</t>
        </is>
      </c>
      <c r="C160" s="13" t="inlineStr">
        <is>
          <t>Abrar Al-Qallaf</t>
        </is>
      </c>
      <c r="D160" s="13" t="inlineStr">
        <is>
          <t>ممارسة رقم RFQ/2167837: توريد مواد ومهمات تشغيلية لزوم شركة البترول الوطنية الكويتية - شركة البترول الوطنية الكويتية</t>
        </is>
      </c>
      <c r="E160" s="13" t="inlineStr">
        <is>
          <t>أعمال وتوريدات تخصصية لزوم شركة البترول الوطنية الكويتية حسب وثائق الممارسة رقم RFQ/2167837 عبر منصة K-Tendering.</t>
        </is>
      </c>
      <c r="F160" s="13" t="inlineStr">
        <is>
          <t>وفقاً لشروط وإجراءات المناقصات والتوريد لدى شركة البترول الوطنية الكويتية (KNPC)</t>
        </is>
      </c>
      <c r="G160" s="14" t="inlineStr">
        <is>
          <t>عام</t>
        </is>
      </c>
      <c r="H160" s="14" t="inlineStr">
        <is>
          <t>15.0%</t>
        </is>
      </c>
      <c r="I160" s="14" t="inlineStr">
        <is>
          <t>oil_and_gas</t>
        </is>
      </c>
      <c r="J160" s="14" t="inlineStr">
        <is>
          <t>2026-09-27</t>
        </is>
      </c>
      <c r="K160" s="14" t="inlineStr">
        <is>
          <t>2026-09-27</t>
        </is>
      </c>
      <c r="L160" s="14" t="inlineStr">
        <is>
          <t>15000.0</t>
        </is>
      </c>
      <c r="M160" s="14" t="inlineStr">
        <is>
          <t>-</t>
        </is>
      </c>
      <c r="N160" s="25" t="inlineStr">
        <is>
          <t>NEW</t>
        </is>
      </c>
      <c r="O160" s="14" t="inlineStr">
        <is>
          <t>غير متوافقة</t>
        </is>
      </c>
      <c r="P160" s="22">
        <f>HYPERLINK("https://kuwaitalyawm.media.gov.kw/flip/index?id=5599&amp;no=233", "عرض المصدر")</f>
        <v/>
      </c>
    </row>
    <row r="161">
      <c r="A161" s="11" t="inlineStr">
        <is>
          <t>RFP/2158821</t>
        </is>
      </c>
      <c r="B161" s="11" t="inlineStr">
        <is>
          <t>شركة البترول الوطنية الكويتية</t>
        </is>
      </c>
      <c r="C161" s="11" t="inlineStr">
        <is>
          <t>Abrar Al-Qallaf</t>
        </is>
      </c>
      <c r="D161" s="11" t="inlineStr">
        <is>
          <t>ممارسة رقم RFP/2158821: توريد مواد ومهمات تشغيلية لزوم شركة البترول الوطنية الكويتية - شركة البترول الوطنية الكويتية</t>
        </is>
      </c>
      <c r="E161" s="11" t="inlineStr">
        <is>
          <t>أعمال وتوريدات تخصصية لزوم شركة البترول الوطنية الكويتية حسب وثائق الممارسة رقم RFP/2158821 عبر منصة K-Tendering.</t>
        </is>
      </c>
      <c r="F161" s="11" t="inlineStr">
        <is>
          <t>وفقاً لشروط وإجراءات المناقصات والتوريد لدى شركة البترول الوطنية الكويتية (KNPC)</t>
        </is>
      </c>
      <c r="G161" s="12" t="inlineStr">
        <is>
          <t>عام</t>
        </is>
      </c>
      <c r="H161" s="12" t="inlineStr">
        <is>
          <t>15.0%</t>
        </is>
      </c>
      <c r="I161" s="12" t="inlineStr">
        <is>
          <t>oil_and_gas</t>
        </is>
      </c>
      <c r="J161" s="12" t="inlineStr">
        <is>
          <t>2026-09-27</t>
        </is>
      </c>
      <c r="K161" s="12" t="inlineStr">
        <is>
          <t>-</t>
        </is>
      </c>
      <c r="L161" s="12" t="inlineStr">
        <is>
          <t>-</t>
        </is>
      </c>
      <c r="M161" s="12" t="inlineStr">
        <is>
          <t>-</t>
        </is>
      </c>
      <c r="N161" s="25" t="inlineStr">
        <is>
          <t>NEW</t>
        </is>
      </c>
      <c r="O161" s="12" t="inlineStr">
        <is>
          <t>غير متوافقة</t>
        </is>
      </c>
      <c r="P161" s="23">
        <f>HYPERLINK("https://kuwaitalyawm.media.gov.kw/flip/index?id=5599&amp;no=234", "عرض المصدر")</f>
        <v/>
      </c>
    </row>
  </sheetData>
  <autoFilter ref="A1:P1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17"/>
  <sheetViews>
    <sheetView rightToLeft="1" workbookViewId="0">
      <pane ySplit="1" topLeftCell="A2" activePane="bottomLeft" state="frozen"/>
      <selection pane="bottomLeft" activeCell="A1" sqref="A1"/>
    </sheetView>
  </sheetViews>
  <sheetFormatPr baseColWidth="8" defaultRowHeight="15"/>
  <cols>
    <col width="29" customWidth="1" min="1" max="1"/>
    <col width="45" customWidth="1" min="2" max="2"/>
    <col width="33" customWidth="1" min="3" max="3"/>
    <col width="45" customWidth="1" min="4" max="4"/>
    <col width="45" customWidth="1" min="5" max="5"/>
    <col width="45" customWidth="1" min="6" max="6"/>
    <col width="45" customWidth="1" min="7" max="7"/>
    <col width="15" customWidth="1" min="8" max="8"/>
    <col width="25" customWidth="1" min="9" max="9"/>
    <col width="18" customWidth="1" min="10" max="10"/>
    <col width="19" customWidth="1" min="11" max="11"/>
    <col width="17" customWidth="1" min="12" max="12"/>
    <col width="16" customWidth="1" min="13" max="13"/>
    <col width="12" customWidth="1" min="14" max="14"/>
    <col width="41" customWidth="1" min="15" max="15"/>
    <col width="15" customWidth="1" min="16" max="16"/>
  </cols>
  <sheetData>
    <row r="1">
      <c r="A1" s="10" t="inlineStr">
        <is>
          <t>رقم المناقصة</t>
        </is>
      </c>
      <c r="B1" s="10" t="inlineStr">
        <is>
          <t>الجهة المصدرة</t>
        </is>
      </c>
      <c r="C1" s="10" t="inlineStr">
        <is>
          <t>مسؤول الحساب (Account Manager)</t>
        </is>
      </c>
      <c r="D1" s="10" t="inlineStr">
        <is>
          <t>موضوع المناقصة</t>
        </is>
      </c>
      <c r="E1" s="10" t="inlineStr">
        <is>
          <t>المطلوب في المناقصة ونطاق العمل والأجهزة (Required Scope &amp; Equipment)</t>
        </is>
      </c>
      <c r="F1" s="10" t="inlineStr">
        <is>
          <t>شروط ومتطلبات المشاركة (Requirements)</t>
        </is>
      </c>
      <c r="G1" s="10" t="inlineStr">
        <is>
          <t>قطاع KBM المختص</t>
        </is>
      </c>
      <c r="H1" s="10" t="inlineStr">
        <is>
          <t>درجة التوافق</t>
        </is>
      </c>
      <c r="I1" s="10" t="inlineStr">
        <is>
          <t>القطاع</t>
        </is>
      </c>
      <c r="J1" s="10" t="inlineStr">
        <is>
          <t>تاريخ النشر</t>
        </is>
      </c>
      <c r="K1" s="10" t="inlineStr">
        <is>
          <t>آخر موعد للتقديم</t>
        </is>
      </c>
      <c r="L1" s="10" t="inlineStr">
        <is>
          <t>التأمين الأولي</t>
        </is>
      </c>
      <c r="M1" s="10" t="inlineStr">
        <is>
          <t>سعر الكراسة</t>
        </is>
      </c>
      <c r="N1" s="10" t="inlineStr">
        <is>
          <t>الحالة</t>
        </is>
      </c>
      <c r="O1" s="10" t="inlineStr">
        <is>
          <t>قرار Presales</t>
        </is>
      </c>
      <c r="P1" s="10" t="inlineStr">
        <is>
          <t>رابط الإعلان</t>
        </is>
      </c>
    </row>
    <row r="2">
      <c r="A2" s="13" t="inlineStr">
        <is>
          <t>و ك م/63/2025/2026</t>
        </is>
      </c>
      <c r="B2" s="13" t="inlineStr">
        <is>
          <t>وزارة الكهرباء والماء والطاقة المتجددة</t>
        </is>
      </c>
      <c r="C2" s="13" t="inlineStr">
        <is>
          <t>Raed Obeid</t>
        </is>
      </c>
      <c r="D2" s="13" t="inlineStr">
        <is>
          <t>اصلاح وتوريد وتركيب خطوط هوائية ضغط متوسط 11 ك.ف وضغط منخفض والأعمال المدنية المتعلقة بهما في المنطقة الجنوبية</t>
        </is>
      </c>
      <c r="E2" s="13" t="inlineStr">
        <is>
          <t>أعمال وتوريدات اصلاح وتوريد وتركيب خطوط هوائية ضغط متوسط 11 ك.ف وضغط منخفض والأعمال المدنية المتعلقة بهما في المنطقة الجنوبية لصالح وزارة الكهرباء والماء والطاقة المتجددة وفقاً للشروط والمواصفات المعتمدة في وثائق الطرح.</t>
        </is>
      </c>
      <c r="F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 s="14" t="inlineStr">
        <is>
          <t>عام</t>
        </is>
      </c>
      <c r="H2" s="14" t="inlineStr">
        <is>
          <t>15.0%</t>
        </is>
      </c>
      <c r="I2" s="14" t="inlineStr">
        <is>
          <t>oil_and_gas</t>
        </is>
      </c>
      <c r="J2" s="14" t="inlineStr">
        <is>
          <t>2026-10-04</t>
        </is>
      </c>
      <c r="K2" s="14" t="inlineStr">
        <is>
          <t>2026-12-29</t>
        </is>
      </c>
      <c r="L2" s="14" t="inlineStr">
        <is>
          <t>45000.000 KWD</t>
        </is>
      </c>
      <c r="M2" s="14" t="inlineStr">
        <is>
          <t>1000.000 KWD</t>
        </is>
      </c>
      <c r="N2" s="26" t="inlineStr">
        <is>
          <t>UNCHANGED</t>
        </is>
      </c>
      <c r="O2" s="14" t="inlineStr">
        <is>
          <t>غير متوافقة مع اختصاصات KBM</t>
        </is>
      </c>
      <c r="P2" s="22">
        <f>HYPERLINK("https://capt.gov.kw/ar/tenders/opening-tenders/#card-6", "عرض المصدر")</f>
        <v/>
      </c>
    </row>
    <row r="3">
      <c r="A3" s="11" t="inlineStr">
        <is>
          <t>و ك م/35/2024/2025</t>
        </is>
      </c>
      <c r="B3" s="11" t="inlineStr">
        <is>
          <t>وزارة الكهرباء والماء والطاقة المتجددة</t>
        </is>
      </c>
      <c r="C3" s="11" t="inlineStr">
        <is>
          <t>Raed Obeid</t>
        </is>
      </c>
      <c r="D3" s="11" t="inlineStr">
        <is>
          <t>إنشاء وإنجاز وصيانة خطي مياه عذبة قطر 1600مم من مجمع توزيع مياه ميناء عبدالله إلى مجمع غرب الفنيطيس وخط مياه قليل الملوحة قطر 1200مم من مجمع ميناء عبدالله إلى مجمع الزور والأعمال الملحقة</t>
        </is>
      </c>
      <c r="E3" s="11" t="inlineStr">
        <is>
          <t>تنفيذ الأعمال المدنية والإنشائية والترميم والصيانة العامة للمباني والمنشآت والمرافق التابعة للجهة.</t>
        </is>
      </c>
      <c r="F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3" s="12" t="inlineStr">
        <is>
          <t>عام</t>
        </is>
      </c>
      <c r="H3" s="12" t="inlineStr">
        <is>
          <t>15.0%</t>
        </is>
      </c>
      <c r="I3" s="12" t="inlineStr">
        <is>
          <t>oil_and_gas</t>
        </is>
      </c>
      <c r="J3" s="12" t="inlineStr">
        <is>
          <t>2026-10-04</t>
        </is>
      </c>
      <c r="K3" s="12" t="inlineStr">
        <is>
          <t>2026-11-03</t>
        </is>
      </c>
      <c r="L3" s="12" t="inlineStr">
        <is>
          <t>850000.000 KWD</t>
        </is>
      </c>
      <c r="M3" s="12" t="inlineStr">
        <is>
          <t>10000.000 KWD</t>
        </is>
      </c>
      <c r="N3" s="26" t="inlineStr">
        <is>
          <t>UNCHANGED</t>
        </is>
      </c>
      <c r="O3" s="12" t="inlineStr">
        <is>
          <t>غير متوافقة مع اختصاصات KBM</t>
        </is>
      </c>
      <c r="P3" s="23">
        <f>HYPERLINK("https://capt.gov.kw/ar/tenders/opening-tenders/#card-5", "عرض المصدر")</f>
        <v/>
      </c>
    </row>
    <row r="4">
      <c r="A4" s="13" t="inlineStr">
        <is>
          <t>و ك م/22/2025/2026</t>
        </is>
      </c>
      <c r="B4" s="13" t="inlineStr">
        <is>
          <t>وزارة الكهرباء والماء والطاقة المتجددة</t>
        </is>
      </c>
      <c r="C4" s="13" t="inlineStr">
        <is>
          <t>Raed Obeid</t>
        </is>
      </c>
      <c r="D4" s="13" t="inlineStr">
        <is>
          <t>أعمال صيانة البطاريات وشواحنها بمحطات التحويل الرئيسية</t>
        </is>
      </c>
      <c r="E4" s="13" t="inlineStr">
        <is>
          <t>أعمال وتوريدات أعمال صيانة البطاريات وشواحنها بمحطات التحويل الرئيسية لصالح وزارة الكهرباء والماء والطاقة المتجددة وفقاً للشروط والمواصفات المعتمدة في وثائق الطرح.</t>
        </is>
      </c>
      <c r="F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4" s="14" t="inlineStr">
        <is>
          <t>عام</t>
        </is>
      </c>
      <c r="H4" s="14" t="inlineStr">
        <is>
          <t>15.0%</t>
        </is>
      </c>
      <c r="I4" s="14" t="inlineStr">
        <is>
          <t>oil_and_gas</t>
        </is>
      </c>
      <c r="J4" s="14" t="inlineStr">
        <is>
          <t>2026-10-11</t>
        </is>
      </c>
      <c r="K4" s="14" t="inlineStr">
        <is>
          <t>2026-11-10</t>
        </is>
      </c>
      <c r="L4" s="14" t="inlineStr">
        <is>
          <t>45000.000 KWD</t>
        </is>
      </c>
      <c r="M4" s="14" t="inlineStr">
        <is>
          <t>1000.000 KWD</t>
        </is>
      </c>
      <c r="N4" s="26" t="inlineStr">
        <is>
          <t>UNCHANGED</t>
        </is>
      </c>
      <c r="O4" s="14" t="inlineStr">
        <is>
          <t>غير متوافقة مع اختصاصات KBM</t>
        </is>
      </c>
      <c r="P4" s="22">
        <f>HYPERLINK("https://capt.gov.kw/ar/tenders/opening-tenders/#card-9", "عرض المصدر")</f>
        <v/>
      </c>
    </row>
    <row r="5">
      <c r="A5" s="11" t="inlineStr">
        <is>
          <t>و ع/16/2025/2026</t>
        </is>
      </c>
      <c r="B5" s="11" t="inlineStr">
        <is>
          <t>وزارة العدل</t>
        </is>
      </c>
      <c r="C5" s="11" t="inlineStr">
        <is>
          <t>Eiman Ashkanani</t>
        </is>
      </c>
      <c r="D5" s="11" t="inlineStr">
        <is>
          <t>القيام بخدمة البريد السريع لتوصيل الرسائل المسجلة باسم المعلن إليه في موطنه أو محل عمله المختار</t>
        </is>
      </c>
      <c r="E5" s="11" t="inlineStr">
        <is>
          <t>أعمال وتوريدات القيام بخدمة البريد السريع لتوصيل الرسائل المسجلة باسم المعلن إليه في موطنه أو محل عمله المختار لصالح وزارة العدل وفقاً للشروط والمواصفات المعتمدة في وثائق الطرح.</t>
        </is>
      </c>
      <c r="F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5" s="12" t="inlineStr">
        <is>
          <t>عام</t>
        </is>
      </c>
      <c r="H5" s="12" t="inlineStr">
        <is>
          <t>15.0%</t>
        </is>
      </c>
      <c r="I5" s="12" t="inlineStr">
        <is>
          <t>government</t>
        </is>
      </c>
      <c r="J5" s="12" t="inlineStr">
        <is>
          <t>2026-10-11</t>
        </is>
      </c>
      <c r="K5" s="12" t="inlineStr">
        <is>
          <t>2027-01-05</t>
        </is>
      </c>
      <c r="L5" s="12" t="inlineStr">
        <is>
          <t>3500.000 KWD</t>
        </is>
      </c>
      <c r="M5" s="12" t="inlineStr">
        <is>
          <t>150.000 KWD</t>
        </is>
      </c>
      <c r="N5" s="26" t="inlineStr">
        <is>
          <t>UNCHANGED</t>
        </is>
      </c>
      <c r="O5" s="12" t="inlineStr">
        <is>
          <t>غير متوافقة مع اختصاصات KBM</t>
        </is>
      </c>
      <c r="P5" s="23">
        <f>HYPERLINK("https://capt.gov.kw/ar/tenders/opening-tenders/#card-8", "عرض المصدر")</f>
        <v/>
      </c>
    </row>
    <row r="6">
      <c r="A6" s="13" t="inlineStr">
        <is>
          <t>و ع /2/2026/2027</t>
        </is>
      </c>
      <c r="B6" s="13" t="inlineStr">
        <is>
          <t>وزارة العدل</t>
        </is>
      </c>
      <c r="C6" s="13" t="inlineStr">
        <is>
          <t>Eiman Ashkanani</t>
        </is>
      </c>
      <c r="D6" s="13" t="inlineStr">
        <is>
          <t>أعمال تنظيف شاملة لمباني وزارة العدل (مجمع محاكم الجهراء - مبنى مخازن المضبوطات بالصليبية)</t>
        </is>
      </c>
      <c r="E6" s="13" t="inlineStr">
        <is>
          <t>توفير خدمات وأعمال النظافة العامة والشاملة للمباني والمرافق وتوفير العمالة والمعدات والمستهلكات اللازمة.</t>
        </is>
      </c>
      <c r="F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6" s="14" t="inlineStr">
        <is>
          <t>عام</t>
        </is>
      </c>
      <c r="H6" s="14" t="inlineStr">
        <is>
          <t>0.0%</t>
        </is>
      </c>
      <c r="I6" s="14" t="inlineStr">
        <is>
          <t>government</t>
        </is>
      </c>
      <c r="J6" s="14" t="inlineStr">
        <is>
          <t>2026-10-11</t>
        </is>
      </c>
      <c r="K6" s="14" t="inlineStr">
        <is>
          <t>2027-01-05</t>
        </is>
      </c>
      <c r="L6" s="14" t="inlineStr">
        <is>
          <t>15000.000 KWD</t>
        </is>
      </c>
      <c r="M6" s="14" t="inlineStr">
        <is>
          <t>1000.000 KWD</t>
        </is>
      </c>
      <c r="N6" s="26" t="inlineStr">
        <is>
          <t>UNCHANGED</t>
        </is>
      </c>
      <c r="O6" s="14" t="inlineStr">
        <is>
          <t>غير متوافقة مع اختصاصات KBM</t>
        </is>
      </c>
      <c r="P6" s="22">
        <f>HYPERLINK("https://capt.gov.kw/ar/tenders/opening-tenders/#card-7", "عرض المصدر")</f>
        <v/>
      </c>
    </row>
    <row r="7">
      <c r="A7" s="11" t="inlineStr">
        <is>
          <t>و ش ج 1/2026/2027</t>
        </is>
      </c>
      <c r="B7" s="11" t="inlineStr">
        <is>
          <t>وزارة الشئون الاجتماعية</t>
        </is>
      </c>
      <c r="C7" s="11" t="inlineStr">
        <is>
          <t>Eiman Ashkanani</t>
        </is>
      </c>
      <c r="D7" s="11" t="inlineStr">
        <is>
          <t>تجديد الدعم الفني لتراخيص الاوراكل لوزارة الشئون الاجتماعية</t>
        </is>
      </c>
      <c r="E7" s="11" t="inlineStr">
        <is>
          <t>تنفيذ أعمال تجديد الدعم الفني لتراخيص الاوراكل لوزارة الشئون الاجتماعية، وتوفير كافة الأجهزة والمعدات والأنظمة وخدمات الدعم الفني والضمان وفقاً لكراسة الشروط والمواصفات الفنية.</t>
        </is>
      </c>
      <c r="F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7" s="24" t="inlineStr">
        <is>
          <t>قطاع العمليات المدارة والدعم الفني متعدد الموردين</t>
        </is>
      </c>
      <c r="H7" s="12" t="inlineStr">
        <is>
          <t>84.0%</t>
        </is>
      </c>
      <c r="I7" s="12" t="inlineStr">
        <is>
          <t>government</t>
        </is>
      </c>
      <c r="J7" s="12" t="inlineStr">
        <is>
          <t>2026-10-11</t>
        </is>
      </c>
      <c r="K7" s="12" t="inlineStr">
        <is>
          <t>2027-01-05</t>
        </is>
      </c>
      <c r="L7" s="12" t="inlineStr">
        <is>
          <t>3500.000 KWD</t>
        </is>
      </c>
      <c r="M7" s="12" t="inlineStr">
        <is>
          <t>150.000 KWD</t>
        </is>
      </c>
      <c r="N7" s="26" t="inlineStr">
        <is>
          <t>UNCHANGED</t>
        </is>
      </c>
      <c r="O7" s="12" t="inlineStr">
        <is>
          <t>فرصة استراتيجية رئيسية (موصى بالتقديم)</t>
        </is>
      </c>
      <c r="P7" s="23">
        <f>HYPERLINK("https://capt.gov.kw/ar/tenders/opening-tenders/#card-6", "عرض المصدر")</f>
        <v/>
      </c>
    </row>
    <row r="8">
      <c r="A8" s="13" t="inlineStr">
        <is>
          <t>هـ ع ر2/2026/2027</t>
        </is>
      </c>
      <c r="B8" s="13" t="inlineStr">
        <is>
          <t>الهيئة العامة للرياضة</t>
        </is>
      </c>
      <c r="C8" s="13" t="inlineStr">
        <is>
          <t>Eiman Ashkanani</t>
        </is>
      </c>
      <c r="D8" s="13" t="inlineStr">
        <is>
          <t>بشأن اعمال صيانة مشروع تهيئة البنية التحتية ومركز البيانات الخاص بالهيئة العامة للرياضة وغرفة البيانات الاحتياطية باستاد جابر</t>
        </is>
      </c>
      <c r="E8" s="13" t="inlineStr">
        <is>
          <t>أعمال وتوريدات بشأن اعمال صيانة مشروع تهيئة البنية التحتية ومركز البيانات الخاص بالهيئة العامة للرياضة وغرفة البيانات الاحتياطية باستاد جابر لصالح الهيئة العامة للرياضة وفقاً للشروط والمواصفات المعتمدة في وثائق الطرح.</t>
        </is>
      </c>
      <c r="F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8" s="14" t="inlineStr">
        <is>
          <t>قطاع العمليات المدارة والدعم الفني متعدد الموردين</t>
        </is>
      </c>
      <c r="H8" s="14" t="inlineStr">
        <is>
          <t>49.0%</t>
        </is>
      </c>
      <c r="I8" s="14" t="inlineStr">
        <is>
          <t>government</t>
        </is>
      </c>
      <c r="J8" s="14" t="inlineStr">
        <is>
          <t>2026-10-11</t>
        </is>
      </c>
      <c r="K8" s="14" t="inlineStr">
        <is>
          <t>2027-01-10</t>
        </is>
      </c>
      <c r="L8" s="14" t="inlineStr">
        <is>
          <t>6000.000 KWD</t>
        </is>
      </c>
      <c r="M8" s="14" t="inlineStr">
        <is>
          <t>300.000 KWD</t>
        </is>
      </c>
      <c r="N8" s="26" t="inlineStr">
        <is>
          <t>UNCHANGED</t>
        </is>
      </c>
      <c r="O8" s="14" t="inlineStr">
        <is>
          <t>فرصة تتطلب شراكة أو دراسة نطاق</t>
        </is>
      </c>
      <c r="P8" s="22">
        <f>HYPERLINK("https://capt.gov.kw/ar/tenders/opening-tenders/#card-5", "عرض المصدر")</f>
        <v/>
      </c>
    </row>
    <row r="9">
      <c r="A9" s="11" t="inlineStr">
        <is>
          <t>هـ ص/ط/337</t>
        </is>
      </c>
      <c r="B9" s="11" t="inlineStr">
        <is>
          <t>وزارة الأشغال العامة</t>
        </is>
      </c>
      <c r="C9" s="11" t="inlineStr">
        <is>
          <t>Eiman Ashkanani</t>
        </is>
      </c>
      <c r="D9" s="11" t="inlineStr">
        <is>
          <t>تشغيل وصيانه محطات ضخ مياه الامطار للانفاق التي تقع على الطرق السريعه</t>
        </is>
      </c>
      <c r="E9" s="11" t="inlineStr">
        <is>
          <t>أعمال وتوريدات تشغيل وصيانه محطات ضخ مياه الامطار للانفاق التي تقع على الطرق السريعه لصالح وزارة الأشغال العامة وفقاً للشروط والمواصفات المعتمدة في وثائق الطرح.</t>
        </is>
      </c>
      <c r="F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9" s="24" t="inlineStr">
        <is>
          <t>قطاع العمليات المدارة والدعم الفني متعدد الموردين</t>
        </is>
      </c>
      <c r="H9" s="12" t="inlineStr">
        <is>
          <t>64.0%</t>
        </is>
      </c>
      <c r="I9" s="12" t="inlineStr">
        <is>
          <t>government</t>
        </is>
      </c>
      <c r="J9" s="12" t="inlineStr">
        <is>
          <t>2026-10-11</t>
        </is>
      </c>
      <c r="K9" s="12" t="inlineStr">
        <is>
          <t>2026-11-10</t>
        </is>
      </c>
      <c r="L9" s="12" t="inlineStr">
        <is>
          <t>45000.000 KWD</t>
        </is>
      </c>
      <c r="M9" s="12" t="inlineStr">
        <is>
          <t>1000.000 KWD</t>
        </is>
      </c>
      <c r="N9" s="26" t="inlineStr">
        <is>
          <t>UNCHANGED</t>
        </is>
      </c>
      <c r="O9" s="12" t="inlineStr">
        <is>
          <t>فرصة ICT متوافقة مع قدرات KBM</t>
        </is>
      </c>
      <c r="P9" s="23">
        <f>HYPERLINK("https://capt.gov.kw/ar/tenders/opening-tenders/#card-4", "عرض المصدر")</f>
        <v/>
      </c>
    </row>
    <row r="10">
      <c r="A10" s="13" t="inlineStr">
        <is>
          <t>ممارسة و.ك.م/11-2024/2025</t>
        </is>
      </c>
      <c r="B10" s="13" t="inlineStr">
        <is>
          <t>وزارة الكهرباء والماء والطاقة المتجددة</t>
        </is>
      </c>
      <c r="C10" s="13" t="inlineStr">
        <is>
          <t>Raed Obeid</t>
        </is>
      </c>
      <c r="D10" s="13" t="inlineStr">
        <is>
          <t>أعمال الخدمات الإستشارية للدراسات وتشغيل الشبكة الكهربائية</t>
        </is>
      </c>
      <c r="E10" s="13" t="inlineStr">
        <is>
          <t>تنفيذ أعمال أعمال الخدمات الإستشارية للدراسات وتشغيل الشبكة الكهربائية، وتوفير كافة الأجهزة والمعدات والأنظمة وخدمات الدعم الفني والضمان وفقاً لكراسة الشروط والمواصفات الفنية.</t>
        </is>
      </c>
      <c r="F1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0" s="14" t="inlineStr">
        <is>
          <t>عام</t>
        </is>
      </c>
      <c r="H10" s="14" t="inlineStr">
        <is>
          <t>15.0%</t>
        </is>
      </c>
      <c r="I10" s="14" t="inlineStr">
        <is>
          <t>oil_and_gas</t>
        </is>
      </c>
      <c r="J10" s="14" t="inlineStr">
        <is>
          <t>2026-10-11</t>
        </is>
      </c>
      <c r="K10" s="14" t="inlineStr">
        <is>
          <t>2026-11-10</t>
        </is>
      </c>
      <c r="L10" s="14" t="inlineStr">
        <is>
          <t>23000.000 KWD</t>
        </is>
      </c>
      <c r="M10" s="14" t="inlineStr">
        <is>
          <t>1000.000 KWD</t>
        </is>
      </c>
      <c r="N10" s="26" t="inlineStr">
        <is>
          <t>UNCHANGED</t>
        </is>
      </c>
      <c r="O10" s="14" t="inlineStr">
        <is>
          <t>غير متوافقة مع اختصاصات KBM</t>
        </is>
      </c>
      <c r="P10" s="22">
        <f>HYPERLINK("https://capt.gov.kw/ar/tenders/opening-tenders/#card-3", "عرض المصدر")</f>
        <v/>
      </c>
    </row>
    <row r="11">
      <c r="A11" s="11" t="inlineStr">
        <is>
          <t>RFP-2163056</t>
        </is>
      </c>
      <c r="B11" s="11" t="inlineStr">
        <is>
          <t>شركة البترول الوطنية الكويتية</t>
        </is>
      </c>
      <c r="C11" s="11" t="inlineStr">
        <is>
          <t>Abrar Al-Qallaf</t>
        </is>
      </c>
      <c r="D11" s="11" t="inlineStr">
        <is>
          <t>ممارسة رقم RFP-2163056: توريد مواد ومهمات تشغيلية لزوم شركة البترول الوطنية الكويتية - شركة البترول الوطنية الكويتية</t>
        </is>
      </c>
      <c r="E11" s="11" t="inlineStr">
        <is>
          <t>أعمال وتوريدات تخصصية لزوم شركة البترول الوطنية الكويتية حسب وثائق الممارسة رقم RFP-2163056 عبر منصة K-Tendering.</t>
        </is>
      </c>
      <c r="F11" s="11" t="inlineStr">
        <is>
          <t>وفقاً لشروط وإجراءات المناقصات والتوريد لدى شركة البترول الوطنية الكويتية (KNPC) عبر منصة K-Tendering.</t>
        </is>
      </c>
      <c r="G11" s="12" t="inlineStr">
        <is>
          <t>عام</t>
        </is>
      </c>
      <c r="H11" s="12" t="inlineStr">
        <is>
          <t>15.0%</t>
        </is>
      </c>
      <c r="I11" s="12" t="inlineStr">
        <is>
          <t>oil_and_gas</t>
        </is>
      </c>
      <c r="J11" s="12" t="inlineStr">
        <is>
          <t>2026-10-11</t>
        </is>
      </c>
      <c r="K11" s="12" t="inlineStr">
        <is>
          <t>2027-01-05</t>
        </is>
      </c>
      <c r="L11" s="12" t="inlineStr">
        <is>
          <t>170000.000 KWD</t>
        </is>
      </c>
      <c r="M11" s="12" t="inlineStr">
        <is>
          <t>3500.000 KWD</t>
        </is>
      </c>
      <c r="N11" s="26" t="inlineStr">
        <is>
          <t>UNCHANGED</t>
        </is>
      </c>
      <c r="O11" s="12" t="inlineStr">
        <is>
          <t>غير متوافقة</t>
        </is>
      </c>
      <c r="P11" s="23">
        <f>HYPERLINK("https://capt.gov.kw/ar/tenders/opening-tenders/#card-2", "عرض المصدر")</f>
        <v/>
      </c>
    </row>
    <row r="12">
      <c r="A12" s="13" t="inlineStr">
        <is>
          <t>RFP-2159865</t>
        </is>
      </c>
      <c r="B12" s="13" t="inlineStr">
        <is>
          <t>شركة البترول الوطنية الكويتية</t>
        </is>
      </c>
      <c r="C12" s="13" t="inlineStr">
        <is>
          <t>Abrar Al-Qallaf</t>
        </is>
      </c>
      <c r="D12" s="13" t="inlineStr">
        <is>
          <t>ممارسة رقم RFP-2159865: توريد مواد ومهمات تشغيلية لزوم شركة البترول الوطنية الكويتية - شركة البترول الوطنية الكويتية</t>
        </is>
      </c>
      <c r="E12" s="13" t="inlineStr">
        <is>
          <t>أعمال وتوريدات تخصصية لزوم شركة البترول الوطنية الكويتية حسب وثائق الممارسة رقم RFP-2159865 عبر منصة K-Tendering.</t>
        </is>
      </c>
      <c r="F12" s="13" t="inlineStr">
        <is>
          <t>وفقاً لشروط وإجراءات المناقصات والتوريد لدى شركة البترول الوطنية الكويتية (KNPC) عبر منصة K-Tendering.</t>
        </is>
      </c>
      <c r="G12" s="14" t="inlineStr">
        <is>
          <t>عام</t>
        </is>
      </c>
      <c r="H12" s="14" t="inlineStr">
        <is>
          <t>15.0%</t>
        </is>
      </c>
      <c r="I12" s="14" t="inlineStr">
        <is>
          <t>oil_and_gas</t>
        </is>
      </c>
      <c r="J12" s="14" t="inlineStr">
        <is>
          <t>2026-10-11</t>
        </is>
      </c>
      <c r="K12" s="14" t="inlineStr">
        <is>
          <t>2027-01-05</t>
        </is>
      </c>
      <c r="L12" s="14" t="inlineStr">
        <is>
          <t>220000.000 KWD</t>
        </is>
      </c>
      <c r="M12" s="14" t="inlineStr">
        <is>
          <t>3500.000 KWD</t>
        </is>
      </c>
      <c r="N12" s="26" t="inlineStr">
        <is>
          <t>UNCHANGED</t>
        </is>
      </c>
      <c r="O12" s="14" t="inlineStr">
        <is>
          <t>غير متوافقة</t>
        </is>
      </c>
      <c r="P12" s="22">
        <f>HYPERLINK("https://capt.gov.kw/ar/tenders/opening-tenders/#card-1", "عرض المصدر")</f>
        <v/>
      </c>
    </row>
    <row r="13">
      <c r="A13" s="11" t="inlineStr">
        <is>
          <t>9-51</t>
        </is>
      </c>
      <c r="B13" s="11" t="inlineStr">
        <is>
          <t>وزارة الصحة</t>
        </is>
      </c>
      <c r="C13" s="11" t="inlineStr">
        <is>
          <t>Jana Al-Obaid</t>
        </is>
      </c>
      <c r="D13" s="11" t="inlineStr">
        <is>
          <t>ممارسة رقم 9-51 - وزارة الصحة (العدد 1810)</t>
        </is>
      </c>
      <c r="E13" s="11" t="inlineStr">
        <is>
          <t>أعمال وتوريدات ممارسة رقم 9-51 لصالح وزارة الصحة وفقاً للشروط والمواصفات المعتمدة في وثائق الطرح.</t>
        </is>
      </c>
      <c r="F13" s="11" t="inlineStr">
        <is>
          <t>• 1- الشركة المحلية يجب أن تكون مسجلة لدى إدارة المستودعات الطبية بسجل الموردين.
• 2- الشركة المحلية يجب أن تكون متخصصة في المجال الطبي وموثق بشهادة معتمدة من غرفة التجارة والصناعة.
• 3- عند تقديم عرضين يجب شراء كراستين بوصلين مختلفين.
• 4- ارفاق شهادة تسجيل للمنتج سارية المفعول من إدارة التسجيل ومراقبة الأدوية الطبية والنباتية أو ما يثبت بتقديم الشهادة ونسخة من تسجيل الشركة المصنعة والمادة في سجل الموردين بإدارة المستودعات الطبية ضمن محتويات العطاء المقدم فيه (خاص بمراقبة الأدوية).
• 5- تقديم عينات للمواد الجديدة سواءً كان منتج جديد يطلب لأول مرة أو من شركة مصنعة جديدة للمراقبة المختصة (الأدوية – اللوازم الطبية)
• 6- ارفاق شهادة نسبة دعم العمالة الوطنية.
• 7- يمكن الحصول على وثائق الممارسات في الموقع الإلكتروني الخاص بوزارة الصحة.
• 8- يمكن دفع رسوم شراء الكراسة من الموقع الإلكتروني لإرفاقه مع وثائق الممارسة.
• 9- تقديم عروض الأسعار بظرف مقفل شامل مع وثائق الممارسة حسب تاريخ الإقفال المحدد في الموقع الإلكتروني الخاص بوزارة الصحة.</t>
        </is>
      </c>
      <c r="G13" s="12" t="inlineStr">
        <is>
          <t>عام</t>
        </is>
      </c>
      <c r="H13" s="12" t="inlineStr">
        <is>
          <t>0.0%</t>
        </is>
      </c>
      <c r="I13" s="12" t="inlineStr">
        <is>
          <t>healthcare</t>
        </is>
      </c>
      <c r="J13" s="12" t="inlineStr">
        <is>
          <t>2026-09-27</t>
        </is>
      </c>
      <c r="K13" s="12" t="inlineStr">
        <is>
          <t>2026-10-26</t>
        </is>
      </c>
      <c r="L13" s="12" t="inlineStr">
        <is>
          <t>-</t>
        </is>
      </c>
      <c r="M13" s="12" t="inlineStr">
        <is>
          <t>1000.0 KWD</t>
        </is>
      </c>
      <c r="N13" s="21" t="inlineStr">
        <is>
          <t>UPDATED</t>
        </is>
      </c>
      <c r="O13" s="12" t="inlineStr">
        <is>
          <t>غير متوافقة مع اختصاصات KBM</t>
        </is>
      </c>
      <c r="P13" s="23">
        <f>HYPERLINK("https://kuwaitalyawm.media.gov.kw/Online/ViewAdsHTML?id=171551&amp;no=1", "عرض المصدر")</f>
        <v/>
      </c>
    </row>
    <row r="14">
      <c r="A14" s="13" t="inlineStr">
        <is>
          <t>2027/2026/74</t>
        </is>
      </c>
      <c r="B14" s="13" t="inlineStr">
        <is>
          <t>وزارة الصحة</t>
        </is>
      </c>
      <c r="C14" s="13" t="inlineStr">
        <is>
          <t>Jana Al-Obaid</t>
        </is>
      </c>
      <c r="D14" s="13" t="inlineStr">
        <is>
          <t>ممارسة رقم 2027/2026/74: توريد وتركيب وتشغيل شاشات تليفزيون لمركز الصليبية وتحويلة لمركز علاج الإدمان</t>
        </is>
      </c>
      <c r="E14" s="13" t="inlineStr">
        <is>
          <t>توريد المستلزمات والمواد والمستهلكات الطبية أو المخبرية المتخصصة لصالح المرافق الصحية.</t>
        </is>
      </c>
      <c r="F1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4" s="14" t="inlineStr">
        <is>
          <t>عام</t>
        </is>
      </c>
      <c r="H14" s="14" t="inlineStr">
        <is>
          <t>15.0%</t>
        </is>
      </c>
      <c r="I14" s="14" t="inlineStr">
        <is>
          <t>healthcare</t>
        </is>
      </c>
      <c r="J14" s="14" t="inlineStr">
        <is>
          <t>2026-09-27</t>
        </is>
      </c>
      <c r="K14" s="14" t="inlineStr">
        <is>
          <t>-</t>
        </is>
      </c>
      <c r="L14" s="14" t="inlineStr">
        <is>
          <t>-</t>
        </is>
      </c>
      <c r="M14" s="14" t="inlineStr">
        <is>
          <t>-</t>
        </is>
      </c>
      <c r="N14" s="21" t="inlineStr">
        <is>
          <t>UPDATED</t>
        </is>
      </c>
      <c r="O14" s="14" t="inlineStr">
        <is>
          <t>غير متوافقة مع اختصاصات KBM</t>
        </is>
      </c>
      <c r="P14" s="22">
        <f>HYPERLINK("https://kuwaitalyawm.media.gov.kw/Online/ViewAdsHTML?id=171553&amp;no=1", "عرض المصدر")</f>
        <v/>
      </c>
    </row>
    <row r="15">
      <c r="A15" s="11" t="inlineStr">
        <is>
          <t>321</t>
        </is>
      </c>
      <c r="B15" s="11" t="inlineStr">
        <is>
          <t>وزارة الصحة</t>
        </is>
      </c>
      <c r="C15" s="11" t="inlineStr">
        <is>
          <t>Jana Al-Obaid</t>
        </is>
      </c>
      <c r="D15" s="11" t="inlineStr">
        <is>
          <t>ممارسة رقم 321 - وزارة الصحة (العدد 1810)</t>
        </is>
      </c>
      <c r="E15" s="11" t="inlineStr">
        <is>
          <t>أعمال وتوريدات ممارسة رقم 321 لصالح وزارة الصحة وفقاً للشروط والمواصفات المعتمدة في وثائق الطرح.</t>
        </is>
      </c>
      <c r="F15" s="11" t="inlineStr">
        <is>
          <t>• أن تكون مقصورة على الشركات المسجلة لدى إدارة الهندسة الطبية.
• أن تكون الشركة متخصصة في هذا المجال مع إحضار ما يفيد ذلك.
• سداد الرسوم المقررة لشراء وثائق الممارسة بطوابع إلكترونية.
• كتاب تفويض من الشركة بشراء وثائق الممارسة.
• أن تقدم الشركات المشاركة شهادة دعم العمالة الوطنية.
• يمكن الحصول على وثائق الممارسات من تاريخ النشر ولمدة 14 يوم فقط.</t>
        </is>
      </c>
      <c r="G15" s="12" t="inlineStr">
        <is>
          <t>عام</t>
        </is>
      </c>
      <c r="H15" s="12" t="inlineStr">
        <is>
          <t>15.0%</t>
        </is>
      </c>
      <c r="I15" s="12" t="inlineStr">
        <is>
          <t>healthcare</t>
        </is>
      </c>
      <c r="J15" s="12" t="inlineStr">
        <is>
          <t>2026-09-27</t>
        </is>
      </c>
      <c r="K15" s="12" t="inlineStr">
        <is>
          <t>2026-10-28</t>
        </is>
      </c>
      <c r="L15" s="12" t="inlineStr">
        <is>
          <t>-</t>
        </is>
      </c>
      <c r="M15" s="12" t="inlineStr">
        <is>
          <t>75.0 KWD</t>
        </is>
      </c>
      <c r="N15" s="21" t="inlineStr">
        <is>
          <t>UPDATED</t>
        </is>
      </c>
      <c r="O15" s="12" t="inlineStr">
        <is>
          <t>غير متوافقة مع اختصاصات KBM</t>
        </is>
      </c>
      <c r="P15" s="23">
        <f>HYPERLINK("https://kuwaitalyawm.media.gov.kw/Online/ViewAdsHTML?id=171555&amp;no=1", "عرض المصدر")</f>
        <v/>
      </c>
    </row>
    <row r="16">
      <c r="A16" s="13" t="inlineStr">
        <is>
          <t>2027/2026/6</t>
        </is>
      </c>
      <c r="B16" s="13" t="inlineStr">
        <is>
          <t>بنك الائتمان الكويتي</t>
        </is>
      </c>
      <c r="C16" s="13" t="inlineStr">
        <is>
          <t>Eiman Ashkanani</t>
        </is>
      </c>
      <c r="D16" s="13" t="inlineStr">
        <is>
          <t>ممارسة رقم 2027/2026/6: يعلن بنك الائتمان الكويتي عن اعلان إعادة طرح الممارسة رقم (6 -2026/2027) بصيانة وتطوير الكشوف الهندسية بالموقع، فعلى السادة الجهات الراغبة في التقدم بعطاءاتها الدخول على موقع البنك لشراء كراسة الشروط والمواصفات الفنية الخاصة بالممارسة المذكورة طبقاً للتفاصيل المحددة أدناه:</t>
        </is>
      </c>
      <c r="E16" s="13" t="inlineStr">
        <is>
          <t>أعمال وتوريدات يعلن بنك الائتمان الكويتي عن اعلان إعادة طرح الممارسة رقم (6 -2026/2027) بصيانة وتطوير الكشوف الهندسية بالموقع، فعلى السادة الجهات الراغبة في التقدم بعطاءاتها الدخول على موقع البنك لشراء كراسة الشروط والمواصفات الفنية الخاصة بالممارسة المذكورة طبقاً للتفاصيل المحددة أدناه: لصالح بنك الائتمان الكويتي وفقاً للشروط والمواصفات المعتمدة في وثائق الطرح.</t>
        </is>
      </c>
      <c r="F16" s="13" t="inlineStr">
        <is>
          <t>• رقم التواصل لأي استفسارات خاصة بلجنة الشراء لبنك الائتمان الكويتي.
• صورة حديثة ومعاصرة من شهادة تفيد تسجيله لدى الجهاز المركزي للمناقصات العامة.
• صورة حديثة لإعلان طرح الممارسة.
• صورة حديثة ومعاصرة لشهادة تحديد نسبة العمالة الوطنية الصادرة من الجهة المختصة.
• صورة حديثة ومعاصرة من شهادة حديثة ومعاصرة للسجل التجاري الخاص بالشركة.
• صورة حديثة ومعاصرة من شهادة تثبت التسجيل لدى غرفة تجارة صناعة الكويت.
• شهادة لمن يهمه الامر سارية وصادرة عن الهيئة العامة للقوى العاملة تتضمن عدم وجود وقف على ملف الممارس عن العقود الحكومية المسجلة لدى الهيئة عن أحد المخالفات المذكورة بالمادة (10) من القانون رقم (6) لسنة 2010 في شأن العمل في القطاع الأهلي.
• للشركات المدرجة ضمن المشاريع الصغيرة والمتوسطة:
• تقديم شهادة تسجيل من الصندوق الوطني لرعاية وتنمية المشروعات الصغيرة والمتوسطة.
• تقديم قوائم مالية معتمدة ومدققة من مكتب تدقيق محاسبي معتمد لدى وزارة التجارة والصناعة لآخر 3 سنوات وفي حال عدم انقضاء فترة 3 سنوات من تاريخ التأسيس يتم تقديم القوائم المالية للفترة المنقضية.
• تقديم شهادة من الهيئة العامة للقوى العاملة بعدد العمالة الاجمالية المسجلة على ملف الشركة متضمنة كافة العقود الحكومية.
• تقديم شهادة السجل التجاري والرخصة التجارية على ان تتضمن الرخصة النشاط التجاري المتوافق مع طبيعة اعمال المناقصة المطلوبة.
• موعد الاجتماع التمهيدي
• methker@KCB.GOV.KW
• A.Almojil@kcb.gov.kw
• آخر موعد لتلقي العطاءات
• تعنون العطاءات بالظرف لبنك الائتمان الكويتي وتودع بصندوق لجنة الشراء للبنك بالإدارة المالية لبنك الائتمان الكويتي بموعد أقصاه الساعة 12:00 ظهرا من يوم الخميس الموافق 08/10/2026
• أهمية الاطلاع على التعاميم الخاصة بممارسات لجنة الشراء لبنك الائتمان الكويتي والمتاحة في موقع البنك الرسمي تحت بند بمسمى تعاميم عامة وخاصة بنظم الشراء للجهات العامة.
• يجب على كافة الشركات المتقدمة (غير المسجلة لدى بنك الائتمان الكويتي) التسجيل عن طريق موقع البنك الالكتروني www.kcb.gov.kw ودفع رسوم التسجيل بقيمة 20 د.ك.
• يجب أن تكون جميع المستندات سارية الصلاحية.
• يجب أن تكون أظرف العطاءات مغلقة بإحكام بالشمع الأحمر.
• للبنك الحق في إلغاء الممارسة بدون ذكر الأسباب.</t>
        </is>
      </c>
      <c r="G16" s="14" t="inlineStr">
        <is>
          <t>عام</t>
        </is>
      </c>
      <c r="H16" s="14" t="inlineStr">
        <is>
          <t>0.0%</t>
        </is>
      </c>
      <c r="I16" s="14" t="inlineStr">
        <is>
          <t>banking_and_finance</t>
        </is>
      </c>
      <c r="J16" s="14" t="inlineStr">
        <is>
          <t>2026-09-27</t>
        </is>
      </c>
      <c r="K16" s="14" t="inlineStr">
        <is>
          <t>-</t>
        </is>
      </c>
      <c r="L16" s="14" t="inlineStr">
        <is>
          <t>2000.0 KWD</t>
        </is>
      </c>
      <c r="M16" s="14" t="inlineStr">
        <is>
          <t>20.0 KWD</t>
        </is>
      </c>
      <c r="N16" s="21" t="inlineStr">
        <is>
          <t>UPDATED</t>
        </is>
      </c>
      <c r="O16" s="14" t="inlineStr">
        <is>
          <t>غير متوافقة مع اختصاصات KBM</t>
        </is>
      </c>
      <c r="P16" s="22">
        <f>HYPERLINK("https://kuwaitalyawm.media.gov.kw/Online/ViewAdsHTML?id=171712&amp;no=1", "عرض المصدر")</f>
        <v/>
      </c>
    </row>
    <row r="17">
      <c r="A17" s="11" t="inlineStr">
        <is>
          <t>15140/15567</t>
        </is>
      </c>
      <c r="B17" s="11" t="inlineStr">
        <is>
          <t>وزارة الكهرباء والماء والطاقة المتجددة</t>
        </is>
      </c>
      <c r="C17" s="11" t="inlineStr">
        <is>
          <t>Raed Obeid</t>
        </is>
      </c>
      <c r="D17" s="11" t="inlineStr">
        <is>
          <t>ممارسة رقم 15140/15567: الوقت النهائي لتقديم العطاءات : في تمام الساعة العاشرة والنصف صباحاً من اليوم المحدد بالإعلان أدناه المقرر لإيداع العطاءات ولن يقبل أي عطاء يرد بعد ذلك.</t>
        </is>
      </c>
      <c r="E17" s="11" t="inlineStr">
        <is>
          <t>أعمال وتوريدات في تمام الساعة العاشرة والنصف صباحاً من اليوم المحدد بالإعلان أدناه المقرر لإيداع العطاءات ولن يقبل أي عطاء يرد بعد ذلك. لصالح وزارة الكهرباء والماء وفقاً للشروط والمواصفات المعتمدة في وثائق الطرح.</t>
        </is>
      </c>
      <c r="F1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7" s="12" t="inlineStr">
        <is>
          <t>عام</t>
        </is>
      </c>
      <c r="H17" s="12" t="inlineStr">
        <is>
          <t>15.0%</t>
        </is>
      </c>
      <c r="I17" s="12" t="inlineStr">
        <is>
          <t>oil_and_gas</t>
        </is>
      </c>
      <c r="J17" s="12" t="inlineStr">
        <is>
          <t>2026-09-27</t>
        </is>
      </c>
      <c r="K17" s="18" t="inlineStr">
        <is>
          <t>2026-10-20</t>
        </is>
      </c>
      <c r="L17" s="12" t="inlineStr">
        <is>
          <t>-</t>
        </is>
      </c>
      <c r="M17" s="12" t="inlineStr">
        <is>
          <t>10.0 KWD</t>
        </is>
      </c>
      <c r="N17" s="21" t="inlineStr">
        <is>
          <t>UPDATED</t>
        </is>
      </c>
      <c r="O17" s="12" t="inlineStr">
        <is>
          <t>غير متوافقة مع اختصاصات KBM</t>
        </is>
      </c>
      <c r="P17" s="23">
        <f>HYPERLINK("https://kuwaitalyawm.media.gov.kw/Online/ViewAdsHTML?id=171669&amp;no=1", "عرض المصدر")</f>
        <v/>
      </c>
    </row>
    <row r="18">
      <c r="A18" s="13" t="inlineStr">
        <is>
          <t>15353/15580</t>
        </is>
      </c>
      <c r="B18" s="13" t="inlineStr">
        <is>
          <t>وزارة الكهرباء والماء والطاقة المتجددة</t>
        </is>
      </c>
      <c r="C18" s="13" t="inlineStr">
        <is>
          <t>Raed Obeid</t>
        </is>
      </c>
      <c r="D18" s="13" t="inlineStr">
        <is>
          <t>ممارسة رقم 15353/15580: الوقت النهائي لتقديم العطاءات : في تمام الساعة العاشرة والنصف صباحاً من اليوم المحدد بالإعلان أدناه المقرر لإيداع العطاءات ولن يقبل أي عطاء يرد بعد ذلك.</t>
        </is>
      </c>
      <c r="E18" s="13" t="inlineStr">
        <is>
          <t>أعمال وتوريدات في تمام الساعة العاشرة والنصف صباحاً من اليوم المحدد بالإعلان أدناه المقرر لإيداع العطاءات ولن يقبل أي عطاء يرد بعد ذلك. لصالح وزارة الكهرباء والماء والطاقة المتجددة وفقاً للشروط والمواصفات المعتمدة في وثائق الطرح.</t>
        </is>
      </c>
      <c r="F1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8" s="14" t="inlineStr">
        <is>
          <t>عام</t>
        </is>
      </c>
      <c r="H18" s="14" t="inlineStr">
        <is>
          <t>15.0%</t>
        </is>
      </c>
      <c r="I18" s="14" t="inlineStr">
        <is>
          <t>oil_and_gas</t>
        </is>
      </c>
      <c r="J18" s="14" t="inlineStr">
        <is>
          <t>2026-09-27</t>
        </is>
      </c>
      <c r="K18" s="14" t="inlineStr">
        <is>
          <t>-</t>
        </is>
      </c>
      <c r="L18" s="14" t="inlineStr">
        <is>
          <t>-</t>
        </is>
      </c>
      <c r="M18" s="14" t="inlineStr">
        <is>
          <t>7.0 KWD</t>
        </is>
      </c>
      <c r="N18" s="21" t="inlineStr">
        <is>
          <t>UPDATED</t>
        </is>
      </c>
      <c r="O18" s="14" t="inlineStr">
        <is>
          <t>غير متوافقة مع اختصاصات KBM</t>
        </is>
      </c>
      <c r="P18" s="22">
        <f>HYPERLINK("https://kuwaitalyawm.media.gov.kw/Online/ViewAdsHTML?id=171670&amp;no=1", "عرض المصدر")</f>
        <v/>
      </c>
    </row>
    <row r="19">
      <c r="A19" s="11" t="inlineStr">
        <is>
          <t>2027/2026/1</t>
        </is>
      </c>
      <c r="B19" s="11" t="inlineStr">
        <is>
          <t>وزارة الكهرباء والماء والطاقة المتجددة</t>
        </is>
      </c>
      <c r="C19" s="11" t="inlineStr">
        <is>
          <t>Raed Obeid</t>
        </is>
      </c>
      <c r="D19" s="11" t="inlineStr">
        <is>
          <t>ممارسة رقم 2027/2026/1: صيانة جهاز تحليل وقياس الكربون العضوي في الماء</t>
        </is>
      </c>
      <c r="E19" s="11" t="inlineStr">
        <is>
          <t>أعمال وتوريدات صيانة جهاز تحليل وقياس الكربون العضوي في الماء لصالح وزارة الكهرباء والماء وفقاً للشروط والمواصفات المعتمدة في وثائق الطرح.</t>
        </is>
      </c>
      <c r="F1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9" s="12" t="inlineStr">
        <is>
          <t>عام</t>
        </is>
      </c>
      <c r="H19" s="12" t="inlineStr">
        <is>
          <t>15.0%</t>
        </is>
      </c>
      <c r="I19" s="12" t="inlineStr">
        <is>
          <t>oil_and_gas</t>
        </is>
      </c>
      <c r="J19" s="12" t="inlineStr">
        <is>
          <t>2026-09-27</t>
        </is>
      </c>
      <c r="K19" s="12" t="inlineStr">
        <is>
          <t>2026-10-25</t>
        </is>
      </c>
      <c r="L19" s="12" t="inlineStr">
        <is>
          <t>600.0 KWD</t>
        </is>
      </c>
      <c r="M19" s="12" t="inlineStr">
        <is>
          <t>15.0 KWD</t>
        </is>
      </c>
      <c r="N19" s="21" t="inlineStr">
        <is>
          <t>UPDATED</t>
        </is>
      </c>
      <c r="O19" s="12" t="inlineStr">
        <is>
          <t>غير متوافقة مع اختصاصات KBM</t>
        </is>
      </c>
      <c r="P19" s="23">
        <f>HYPERLINK("https://kuwaitalyawm.media.gov.kw/Online/ViewAdsHTML?id=171671&amp;no=1", "عرض المصدر")</f>
        <v/>
      </c>
    </row>
    <row r="20">
      <c r="A20" s="13" t="inlineStr">
        <is>
          <t>2027/2026/8</t>
        </is>
      </c>
      <c r="B20" s="13" t="inlineStr">
        <is>
          <t>الإدارة العامة للإطفاء</t>
        </is>
      </c>
      <c r="C20" s="13" t="inlineStr">
        <is>
          <t>Eiman Ashkanani</t>
        </is>
      </c>
      <c r="D20" s="13" t="inlineStr">
        <is>
          <t>ممارسة رقم 2027/2026/8: بشأن شراء وتجديد حزمة برامج Manage engine</t>
        </is>
      </c>
      <c r="E20" s="13" t="inlineStr">
        <is>
          <t>تنفيذ أعمال بشأن شراء وتجديد حزمة برامج Manage engine، وتوفير كافة الأجهزة والمعدات والأنظمة وخدمات الدعم الفني والضمان وفقاً لكراسة الشروط والمواصفات الفنية.</t>
        </is>
      </c>
      <c r="F2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0" s="24" t="inlineStr">
        <is>
          <t>قطاع برمجيات IBM وحلول الذكاء الاصطناعي وRed Hat</t>
        </is>
      </c>
      <c r="H20" s="14" t="inlineStr">
        <is>
          <t>68.0%</t>
        </is>
      </c>
      <c r="I20" s="14" t="inlineStr">
        <is>
          <t>defense_and_security</t>
        </is>
      </c>
      <c r="J20" s="14" t="inlineStr">
        <is>
          <t>2026-09-27</t>
        </is>
      </c>
      <c r="K20" s="14" t="inlineStr">
        <is>
          <t>-</t>
        </is>
      </c>
      <c r="L20" s="14" t="inlineStr">
        <is>
          <t>-</t>
        </is>
      </c>
      <c r="M20" s="14" t="inlineStr">
        <is>
          <t>75.0 KWD</t>
        </is>
      </c>
      <c r="N20" s="21" t="inlineStr">
        <is>
          <t>UPDATED</t>
        </is>
      </c>
      <c r="O20" s="14" t="inlineStr">
        <is>
          <t>فرصة ICT متوافقة مع قدرات KBM</t>
        </is>
      </c>
      <c r="P20" s="22">
        <f>HYPERLINK("https://kuwaitalyawm.media.gov.kw/Online/ViewAdsHTML?id=171698&amp;no=1", "عرض المصدر")</f>
        <v/>
      </c>
    </row>
    <row r="21">
      <c r="A21" s="11" t="inlineStr">
        <is>
          <t>2030/2027/327</t>
        </is>
      </c>
      <c r="B21" s="11" t="inlineStr">
        <is>
          <t>الهيئة العامة للاستثمار</t>
        </is>
      </c>
      <c r="C21" s="11" t="inlineStr">
        <is>
          <t>Eiman Ashkanani</t>
        </is>
      </c>
      <c r="D21" s="11" t="inlineStr">
        <is>
          <t>ممارسة رقم 2030/2027/327: شراء جهاز توزيع الأحمال (App Load Balancer)</t>
        </is>
      </c>
      <c r="E21" s="11" t="inlineStr">
        <is>
          <t>أعمال وتوريدات شراء جهاز توزيع الأحمال (App Load Balancer) لصالح الهيئة العامة للاستثمار وفقاً للشروط والمواصفات المعتمدة في وثائق الطرح.</t>
        </is>
      </c>
      <c r="F2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1" s="24" t="inlineStr">
        <is>
          <t>عام</t>
        </is>
      </c>
      <c r="H21" s="12" t="inlineStr">
        <is>
          <t>0.0%</t>
        </is>
      </c>
      <c r="I21" s="12" t="inlineStr">
        <is>
          <t>banking_and_finance</t>
        </is>
      </c>
      <c r="J21" s="12" t="inlineStr">
        <is>
          <t>2026-09-27</t>
        </is>
      </c>
      <c r="K21" s="12" t="inlineStr">
        <is>
          <t>-</t>
        </is>
      </c>
      <c r="L21" s="12" t="inlineStr">
        <is>
          <t>1500.0 KWD</t>
        </is>
      </c>
      <c r="M21" s="12" t="inlineStr">
        <is>
          <t>75.0 KWD</t>
        </is>
      </c>
      <c r="N21" s="21" t="inlineStr">
        <is>
          <t>UPDATED</t>
        </is>
      </c>
      <c r="O21" s="12" t="inlineStr">
        <is>
          <t>غير متوافقة مع اختصاصات KBM</t>
        </is>
      </c>
      <c r="P21" s="23">
        <f>HYPERLINK("https://kuwaitalyawm.media.gov.kw/Online/ViewAdsHTML?id=171676&amp;no=1", "عرض المصدر")</f>
        <v/>
      </c>
    </row>
    <row r="22">
      <c r="A22" s="13" t="inlineStr">
        <is>
          <t>2027/2026/3</t>
        </is>
      </c>
      <c r="B22" s="13" t="inlineStr">
        <is>
          <t>الهيئة العامة للبيئة</t>
        </is>
      </c>
      <c r="C22" s="13" t="inlineStr">
        <is>
          <t>Eiman Ashkanani</t>
        </is>
      </c>
      <c r="D22" s="13" t="inlineStr">
        <is>
          <t>ممارسة رقم 2027/2026/3: توفير خدمات تقنية المعلومات والصيانة والدعم الفني</t>
        </is>
      </c>
      <c r="E22" s="13" t="inlineStr">
        <is>
          <t>تنفيذ أعمال توفير خدمات تقنية المعلومات والصيانة والدعم الفني، وتوفير كافة الأجهزة والمعدات والأنظمة وخدمات الدعم الفني والضمان وفقاً لكراسة الشروط والمواصفات الفنية.</t>
        </is>
      </c>
      <c r="F2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2" s="24" t="inlineStr">
        <is>
          <t>قطاع العمليات المدارة والدعم الفني متعدد الموردين</t>
        </is>
      </c>
      <c r="H22" s="14" t="inlineStr">
        <is>
          <t>64.0%</t>
        </is>
      </c>
      <c r="I22" s="14" t="inlineStr">
        <is>
          <t>government</t>
        </is>
      </c>
      <c r="J22" s="14" t="inlineStr">
        <is>
          <t>2026-09-27</t>
        </is>
      </c>
      <c r="K22" s="14" t="inlineStr">
        <is>
          <t>2026-10-27</t>
        </is>
      </c>
      <c r="L22" s="14" t="inlineStr">
        <is>
          <t>-</t>
        </is>
      </c>
      <c r="M22" s="14" t="inlineStr">
        <is>
          <t>30.0 KWD</t>
        </is>
      </c>
      <c r="N22" s="21" t="inlineStr">
        <is>
          <t>UPDATED</t>
        </is>
      </c>
      <c r="O22" s="14" t="inlineStr">
        <is>
          <t>فرصة ICT متوافقة مع قدرات KBM</t>
        </is>
      </c>
      <c r="P22" s="22">
        <f>HYPERLINK("https://kuwaitalyawm.media.gov.kw/Online/ViewAdsHTML?id=171677&amp;no=1", "عرض المصدر")</f>
        <v/>
      </c>
    </row>
    <row r="23">
      <c r="A23" s="11" t="inlineStr">
        <is>
          <t>2027/2026/2</t>
        </is>
      </c>
      <c r="B23" s="11" t="inlineStr">
        <is>
          <t>الهيئة العامة للتعليم التطبيقي والتدريب</t>
        </is>
      </c>
      <c r="C23" s="11" t="inlineStr">
        <is>
          <t>Eiman Ashkanani</t>
        </is>
      </c>
      <c r="D23" s="11" t="inlineStr">
        <is>
          <t>ممارسة رقم 2027/2026/2 - الهيئة العامة للتعليم التطبيقي والتدريب (العدد 1810)</t>
        </is>
      </c>
      <c r="E23" s="11" t="inlineStr">
        <is>
          <t>توريد المستلزمات والمواد والمستهلكات الطبية أو المخبرية المتخصصة لصالح المرافق الصحية.</t>
        </is>
      </c>
      <c r="F2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3" s="12" t="inlineStr">
        <is>
          <t>عام</t>
        </is>
      </c>
      <c r="H23" s="12" t="inlineStr">
        <is>
          <t>0.0%</t>
        </is>
      </c>
      <c r="I23" s="12" t="inlineStr">
        <is>
          <t>education_and_research</t>
        </is>
      </c>
      <c r="J23" s="12" t="inlineStr">
        <is>
          <t>2026-09-27</t>
        </is>
      </c>
      <c r="K23" s="12" t="inlineStr">
        <is>
          <t>-</t>
        </is>
      </c>
      <c r="L23" s="12" t="inlineStr">
        <is>
          <t>-</t>
        </is>
      </c>
      <c r="M23" s="12" t="inlineStr">
        <is>
          <t>75.0 KWD</t>
        </is>
      </c>
      <c r="N23" s="21" t="inlineStr">
        <is>
          <t>UPDATED</t>
        </is>
      </c>
      <c r="O23" s="12" t="inlineStr">
        <is>
          <t>غير متوافقة مع اختصاصات KBM</t>
        </is>
      </c>
      <c r="P23" s="23">
        <f>HYPERLINK("https://kuwaitalyawm.media.gov.kw/Online/ViewAdsHTML?id=171678&amp;no=1", "عرض المصدر")</f>
        <v/>
      </c>
    </row>
    <row r="24">
      <c r="A24" s="13" t="inlineStr">
        <is>
          <t>2027/2026/13</t>
        </is>
      </c>
      <c r="B24" s="13" t="inlineStr">
        <is>
          <t>بنك الائتمان الكويتي</t>
        </is>
      </c>
      <c r="C24" s="13" t="inlineStr">
        <is>
          <t>Eiman Ashkanani</t>
        </is>
      </c>
      <c r="D24" s="13" t="inlineStr">
        <is>
          <t>ممارسة رقم 2027/2026/13: يعـلـن بنك الائتمان الكويتي عن اعلان طرح الممارسة رقم (13-2026/2027) الخاصة بدعم وصيانة وتكامل نظام الأرشيف الإلكتروني في بنك الائتمان الكويتي فعلى السادة الجهات الراغبة في التقدم بعطاءاتها الدخول على موقع البنك لشراء كراسة الشروط والمواصفات الفنية الخاصة بالممارسة المذكورة طبقاً للتفاصيل المحددة أدناه:</t>
        </is>
      </c>
      <c r="E24" s="13" t="inlineStr">
        <is>
          <t>تنفيذ أعمال يعـلـن بنك الائتمان الكويتي عن اعلان طرح الممارسة رقم (13-2026/2027) الخاصة بدعم وصيانة وتكامل نظام الأرشيف الإلكتروني في بنك الائتمان الكويتي فعلى السادة الجهات الراغبة في التقدم بعطاءاتها الدخول على موقع البنك لشراء كراسة الشروط والمواصفات الفنية الخاصة بالممارسة المذكورة طبقاً للتفاصيل المحددة أدناه:، وتوفير كافة الأجهزة والمعدات والأنظمة وخدمات الدعم الفني والضمان وفقاً لكراسة الشروط والمواصفات الفنية.</t>
        </is>
      </c>
      <c r="F24" s="13" t="inlineStr">
        <is>
          <t>• رقم التواصل لأي استفسارات خاصة بلجنة الشراء لبنك الائتمان الكويتي.
• صورة حديثة ومعاصرة من شهادة تفيد تسجيله لدى الجهاز المركزي للمناقصات العامة.
• صورة حديثة لإعلان طرح الممارسة.
• صورة حديثة ومعاصرة لشهادة تحديد نسبة العمالة الوطنية الصادرة من الجهة المختصة.
• صورة حديثة ومعاصرة من شهادة حديثة ومعاصرة للسجل التجاري الخاص بالشركة.
• صورة حديثة ومعاصرة من شهادة تثبت التسجيل لدى غرفة تجارة صناعة الكويت.
• شهادة لمن يهمه الامر سارية وصادرة عن الهيئة العامة للقوى العاملة تتضمن عدم وجود وقف على ملف الممارس عن العقود الحكومية المسجلة لدى الهيئة عن أحد المخالفات المذكورة بالمادة (10) من القانون رقم (6) لسنة 2010 في شأن العمل في القطاع الأهلي.
• للشركات المدرجة ضمن المشاريع الصغيرة والمتوسطة:
• تقديم شهادة تسجيل من الصندوق الوطني لرعاية وتنمية المشروعات الصغيرة والمتوسطة.
• تقديم قوائم مالية معتمدة ومدققة من مكتب تدقيق محاسبي معتمد لدى وزارة التجارة والصناعة لآخر 3 سنوات وفي حال عدم انقضاء فترة 3 سنوات من تاريخ التأسيس يتم تقديم القوائم المالية للفترة المنقضية.
• تقديم شهادة من الهيئة العامة للقوى العاملة بعدد العمالة الاجمالية المسجلة على ملف الشركة متضمنة كافة العقود الحكومية.
• تقديم شهادة السجل التجاري والرخصة التجارية على ان تتضمن الرخصة النشاط التجاري المتوافق مع طبيعة اعمال المناقصة المطلوبة.
• موعد الاجتماع التمهيدي
• يوم الاحد الموافق 04/10/2026 في تمام الساعة 12:30 بمبنى البنك الرئيسي بجنوب السرة - الدور الرابع غرفة الاجتماعات
• آخر موعد لتلقي العطاءات
• تعنون العطاءات بالظرف لبنك الائتمان الكويتي وتودع بصندوق لجنة الشراء للبنك بالإدارة المالية لبنك الائتمان الكويتي بموعد أقصاه الساعة 01:00 ظهرا من يوم الخميس الموافق 15/10/2026
• أهمية الاطلاع على التعاميم الخاصة بممارسات لجنة الشراء لبنك الائتمان الكويتي والمتاحة في موقع البنك الرسمي تحت بند بمسمى تعاميم عامة وخاصة بنظم الشراء للجهات العامة.
• يجب على كافة الشركات المتقدمة (غير المسجلة لدى بنك الائتمان الكويتي) التسجيل عن طريق موقع البنك الالكتروني www.kcb.gov.kw ودفع رسوم التسجيل بقيمة 20 د.ك.
• يجب أن تكون جميع المستندات سارية الصلاحية.
• يجب ان تكون أظرف العطاءات مغلقة بإحكام بالشمع الأحمر.
• للبنك الحق في إلغاء الممارسة بدون ذكر الأسباب.</t>
        </is>
      </c>
      <c r="G24" s="14" t="inlineStr">
        <is>
          <t>عام</t>
        </is>
      </c>
      <c r="H24" s="14" t="inlineStr">
        <is>
          <t>0.0%</t>
        </is>
      </c>
      <c r="I24" s="14" t="inlineStr">
        <is>
          <t>banking_and_finance</t>
        </is>
      </c>
      <c r="J24" s="14" t="inlineStr">
        <is>
          <t>2026-09-27</t>
        </is>
      </c>
      <c r="K24" s="14" t="inlineStr">
        <is>
          <t>-</t>
        </is>
      </c>
      <c r="L24" s="14" t="inlineStr">
        <is>
          <t>2000.0 KWD</t>
        </is>
      </c>
      <c r="M24" s="14" t="inlineStr">
        <is>
          <t>20.0 KWD</t>
        </is>
      </c>
      <c r="N24" s="21" t="inlineStr">
        <is>
          <t>UPDATED</t>
        </is>
      </c>
      <c r="O24" s="14" t="inlineStr">
        <is>
          <t>غير متوافقة مع اختصاصات KBM</t>
        </is>
      </c>
      <c r="P24" s="22">
        <f>HYPERLINK("https://kuwaitalyawm.media.gov.kw/Online/ViewAdsHTML?id=171713&amp;no=1", "عرض المصدر")</f>
        <v/>
      </c>
    </row>
    <row r="25">
      <c r="A25" s="11" t="inlineStr">
        <is>
          <t>2027/2026/17</t>
        </is>
      </c>
      <c r="B25" s="11" t="inlineStr">
        <is>
          <t>الهيئة العامة للتعليم التطبيقي والتدريب</t>
        </is>
      </c>
      <c r="C25" s="11" t="inlineStr">
        <is>
          <t>Eiman Ashkanani</t>
        </is>
      </c>
      <c r="D25" s="11" t="inlineStr">
        <is>
          <t>ممارسة رقم 2027/2026/17 - الهيئة العامة للتعليم التطبيقي والتدريب (العدد 1810)</t>
        </is>
      </c>
      <c r="E25" s="11" t="inlineStr">
        <is>
          <t>توريد المستلزمات والمواد والمستهلكات الطبية أو المخبرية المتخصصة لصالح المرافق الصحية.</t>
        </is>
      </c>
      <c r="F2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5" s="12" t="inlineStr">
        <is>
          <t>عام</t>
        </is>
      </c>
      <c r="H25" s="12" t="inlineStr">
        <is>
          <t>0.0%</t>
        </is>
      </c>
      <c r="I25" s="12" t="inlineStr">
        <is>
          <t>education_and_research</t>
        </is>
      </c>
      <c r="J25" s="12" t="inlineStr">
        <is>
          <t>2026-09-27</t>
        </is>
      </c>
      <c r="K25" s="12" t="inlineStr">
        <is>
          <t>-</t>
        </is>
      </c>
      <c r="L25" s="12" t="inlineStr">
        <is>
          <t>-</t>
        </is>
      </c>
      <c r="M25" s="12" t="inlineStr">
        <is>
          <t>75.0 KWD</t>
        </is>
      </c>
      <c r="N25" s="21" t="inlineStr">
        <is>
          <t>UPDATED</t>
        </is>
      </c>
      <c r="O25" s="12" t="inlineStr">
        <is>
          <t>غير متوافقة مع اختصاصات KBM</t>
        </is>
      </c>
      <c r="P25" s="23">
        <f>HYPERLINK("https://kuwaitalyawm.media.gov.kw/Online/ViewAdsHTML?id=171680&amp;no=1", "عرض المصدر")</f>
        <v/>
      </c>
    </row>
    <row r="26">
      <c r="A26" s="13" t="inlineStr">
        <is>
          <t>2027/2026/27</t>
        </is>
      </c>
      <c r="B26" s="13" t="inlineStr">
        <is>
          <t>الهيئة العامة للتعليم التطبيقي والتدريب</t>
        </is>
      </c>
      <c r="C26" s="13" t="inlineStr">
        <is>
          <t>Eiman Ashkanani</t>
        </is>
      </c>
      <c r="D26" s="13" t="inlineStr">
        <is>
          <t>ممارسة رقم 2027/2026/27: على الشركات والمؤسسات الراغبة في الاشتراك في هذه الممارسة مراجعة موقع الهيئة العامة للتعليم التطبيقي والتدريب الالكتروني (www.paaet.edu.kw) وذلك لشراء عطاء الممارسـة المـــدرجـــة ضمن الخدمات الالكترونية رقــــم (8) وتسليم العطاءات في مقر الهيئة الجديد الكائن في منطقة الشويخ التعليمية الدور السابع - إدارة التوريدات خــلال أسبوعـــــين مقابل رســـوم قـدرهـا (75 د.ك ) لا ترد.</t>
        </is>
      </c>
      <c r="E26" s="13" t="inlineStr">
        <is>
          <t>تنفيذ أعمال على الشركات والمؤسسات الراغبة في الاشتراك في هذه الممارسة مراجعة موقع الهيئة العامة للتعليم التطبيقي والتدريب الالكتروني (www.paaet.edu.kw) وذلك لشراء عطاء الممارسـة المـــدرجـــة ضمن الخدمات الالكترونية رقــــم (8) وتسليم العطاءات في مقر الهيئة الجديد الكائن في منطقة الشويخ التعليمية الدور السابع، وتوفير كافة الأجهزة والمعدات والأنظمة وخدمات الدعم الفني والضمان وفقاً لكراسة الشروط والمواصفات الفنية.</t>
        </is>
      </c>
      <c r="F2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6" s="14" t="inlineStr">
        <is>
          <t>عام</t>
        </is>
      </c>
      <c r="H26" s="14" t="inlineStr">
        <is>
          <t>0.0%</t>
        </is>
      </c>
      <c r="I26" s="14" t="inlineStr">
        <is>
          <t>education_and_research</t>
        </is>
      </c>
      <c r="J26" s="14" t="inlineStr">
        <is>
          <t>2026-09-27</t>
        </is>
      </c>
      <c r="K26" s="14" t="inlineStr">
        <is>
          <t>-</t>
        </is>
      </c>
      <c r="L26" s="14" t="inlineStr">
        <is>
          <t>-</t>
        </is>
      </c>
      <c r="M26" s="14" t="inlineStr">
        <is>
          <t>75.0 KWD</t>
        </is>
      </c>
      <c r="N26" s="21" t="inlineStr">
        <is>
          <t>UPDATED</t>
        </is>
      </c>
      <c r="O26" s="14" t="inlineStr">
        <is>
          <t>غير متوافقة مع اختصاصات KBM</t>
        </is>
      </c>
      <c r="P26" s="22">
        <f>HYPERLINK("https://kuwaitalyawm.media.gov.kw/Online/ViewAdsHTML?id=171681&amp;no=1", "عرض المصدر")</f>
        <v/>
      </c>
    </row>
    <row r="27">
      <c r="A27" s="11" t="inlineStr">
        <is>
          <t>2027/2026/38</t>
        </is>
      </c>
      <c r="B27" s="11" t="inlineStr">
        <is>
          <t>الهيئة العامة للتعليم التطبيقي والتدريب</t>
        </is>
      </c>
      <c r="C27" s="11" t="inlineStr">
        <is>
          <t>Eiman Ashkanani</t>
        </is>
      </c>
      <c r="D27" s="11" t="inlineStr">
        <is>
          <t>ممارسة رقم 2027/2026/38: على الشركات والمؤسسات الراغبة في الاشتراك في هذه الممارسة مراجعة موقع الهيئة العامة للتعليم التطبيقي والتدريب الالكتروني (WWW.Paaet.edu.kw) وذلك لشراء عطاء الممارسـة المـــدرجـــة ضمن الخدمات الالكترونية (خدمات عامة) وتسليم العطاءات في مقر الهيئة الجديد الكائن في منطقة الشويخ التعليمية الدور السابع - إدارة التوريدات خــلال أسبوعـــــين مقابل رســـوم قـدرهـا (75 د.ك ) لا ترد.</t>
        </is>
      </c>
      <c r="E27" s="11" t="inlineStr">
        <is>
          <t>تنفيذ أعمال على الشركات والمؤسسات الراغبة في الاشتراك في هذه الممارسة مراجعة موقع الهيئة العامة للتعليم التطبيقي والتدريب الالكتروني (WWW.Paaet.edu.kw) وذلك لشراء عطاء الممارسـة المـــدرجـــة ضمن الخدمات الالكترونية (خدمات عامة) وتسليم العطاءات في مقر الهيئة الجديد الكائن في منطقة الشويخ التعليمية الدور السابع، وتوفير كافة الأجهزة والمعدات والأنظمة وخدمات الدعم الفني والضمان وفقاً لكراسة الشروط والمواصفات الفنية.</t>
        </is>
      </c>
      <c r="F2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7" s="24" t="inlineStr">
        <is>
          <t>عام</t>
        </is>
      </c>
      <c r="H27" s="12" t="inlineStr">
        <is>
          <t>24.0%</t>
        </is>
      </c>
      <c r="I27" s="12" t="inlineStr">
        <is>
          <t>education_and_research</t>
        </is>
      </c>
      <c r="J27" s="12" t="inlineStr">
        <is>
          <t>2026-09-27</t>
        </is>
      </c>
      <c r="K27" s="12" t="inlineStr">
        <is>
          <t>-</t>
        </is>
      </c>
      <c r="L27" s="12" t="inlineStr">
        <is>
          <t>-</t>
        </is>
      </c>
      <c r="M27" s="12" t="inlineStr">
        <is>
          <t>75.0 KWD</t>
        </is>
      </c>
      <c r="N27" s="21" t="inlineStr">
        <is>
          <t>UPDATED</t>
        </is>
      </c>
      <c r="O27" s="12" t="inlineStr">
        <is>
          <t>غير متوافقة مع اختصاصات KBM</t>
        </is>
      </c>
      <c r="P27" s="23">
        <f>HYPERLINK("https://kuwaitalyawm.media.gov.kw/Online/ViewAdsHTML?id=171682&amp;no=1", "عرض المصدر")</f>
        <v/>
      </c>
    </row>
    <row r="28">
      <c r="A28" s="13" t="inlineStr">
        <is>
          <t>2027/2026/40</t>
        </is>
      </c>
      <c r="B28" s="13" t="inlineStr">
        <is>
          <t>الهيئة العامة للتعليم التطبيقي والتدريب</t>
        </is>
      </c>
      <c r="C28" s="13" t="inlineStr">
        <is>
          <t>Eiman Ashkanani</t>
        </is>
      </c>
      <c r="D28" s="13" t="inlineStr">
        <is>
          <t>ممارسة رقم 2027/2026/40: على الشركات والمؤسسات الراغبة في الاشتراك في هذه الممارسة مراجعة موقع الهيئة العامة للتعليم التطبيقي والتدريب الالكتروني (WWW.Paaet.edu.kw) وذلك لشراء عطاء الممارسـة المـــدرجـــة ضمن الخدمات الالكترونية (خدمات عامة) وتسليم العطاءات في مقر الهيئة الجديد الكائن في منطقة الشويخ التعليمية الدور السابع - إدارة التوريدات خــلال أسبوعـــــين مقابل رســـوم قـدرهـا (75 د.ك ) لا ترد.</t>
        </is>
      </c>
      <c r="E28" s="13" t="inlineStr">
        <is>
          <t>تنفيذ أعمال على الشركات والمؤسسات الراغبة في الاشتراك في هذه الممارسة مراجعة موقع الهيئة العامة للتعليم التطبيقي والتدريب الالكتروني (WWW.Paaet.edu.kw) وذلك لشراء عطاء الممارسـة المـــدرجـــة ضمن الخدمات الالكترونية (خدمات عامة) وتسليم العطاءات في مقر الهيئة الجديد الكائن في منطقة الشويخ التعليمية الدور السابع، وتوفير كافة الأجهزة والمعدات والأنظمة وخدمات الدعم الفني والضمان وفقاً لكراسة الشروط والمواصفات الفنية.</t>
        </is>
      </c>
      <c r="F2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8" s="24" t="inlineStr">
        <is>
          <t>عام</t>
        </is>
      </c>
      <c r="H28" s="14" t="inlineStr">
        <is>
          <t>24.0%</t>
        </is>
      </c>
      <c r="I28" s="14" t="inlineStr">
        <is>
          <t>education_and_research</t>
        </is>
      </c>
      <c r="J28" s="14" t="inlineStr">
        <is>
          <t>2026-09-27</t>
        </is>
      </c>
      <c r="K28" s="14" t="inlineStr">
        <is>
          <t>-</t>
        </is>
      </c>
      <c r="L28" s="14" t="inlineStr">
        <is>
          <t>-</t>
        </is>
      </c>
      <c r="M28" s="14" t="inlineStr">
        <is>
          <t>75.0 KWD</t>
        </is>
      </c>
      <c r="N28" s="21" t="inlineStr">
        <is>
          <t>UPDATED</t>
        </is>
      </c>
      <c r="O28" s="14" t="inlineStr">
        <is>
          <t>غير متوافقة مع اختصاصات KBM</t>
        </is>
      </c>
      <c r="P28" s="22">
        <f>HYPERLINK("https://kuwaitalyawm.media.gov.kw/Online/ViewAdsHTML?id=171683&amp;no=1", "عرض المصدر")</f>
        <v/>
      </c>
    </row>
    <row r="29">
      <c r="A29" s="11" t="inlineStr">
        <is>
          <t>2027/2026/43</t>
        </is>
      </c>
      <c r="B29" s="11" t="inlineStr">
        <is>
          <t>الهيئة العامة للتعليم التطبيقي والتدريب</t>
        </is>
      </c>
      <c r="C29" s="11" t="inlineStr">
        <is>
          <t>Eiman Ashkanani</t>
        </is>
      </c>
      <c r="D29" s="11" t="inlineStr">
        <is>
          <t>ممارسة رقم 2027/2026/43 - الهيئة العامة للتعليم التطبيقي والتدريب (العدد 1810)</t>
        </is>
      </c>
      <c r="E29" s="11" t="inlineStr">
        <is>
          <t>توريد المستلزمات والمواد والمستهلكات الطبية أو المخبرية المتخصصة لصالح المرافق الصحية.</t>
        </is>
      </c>
      <c r="F2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9" s="12" t="inlineStr">
        <is>
          <t>عام</t>
        </is>
      </c>
      <c r="H29" s="12" t="inlineStr">
        <is>
          <t>0.0%</t>
        </is>
      </c>
      <c r="I29" s="12" t="inlineStr">
        <is>
          <t>education_and_research</t>
        </is>
      </c>
      <c r="J29" s="12" t="inlineStr">
        <is>
          <t>2026-09-27</t>
        </is>
      </c>
      <c r="K29" s="12" t="inlineStr">
        <is>
          <t>-</t>
        </is>
      </c>
      <c r="L29" s="12" t="inlineStr">
        <is>
          <t>-</t>
        </is>
      </c>
      <c r="M29" s="12" t="inlineStr">
        <is>
          <t>75.0 KWD</t>
        </is>
      </c>
      <c r="N29" s="21" t="inlineStr">
        <is>
          <t>UPDATED</t>
        </is>
      </c>
      <c r="O29" s="12" t="inlineStr">
        <is>
          <t>غير متوافقة مع اختصاصات KBM</t>
        </is>
      </c>
      <c r="P29" s="23">
        <f>HYPERLINK("https://kuwaitalyawm.media.gov.kw/Online/ViewAdsHTML?id=171684&amp;no=1", "عرض المصدر")</f>
        <v/>
      </c>
    </row>
    <row r="30">
      <c r="A30" s="13" t="inlineStr">
        <is>
          <t>2027/2026/11</t>
        </is>
      </c>
      <c r="B30" s="13" t="inlineStr">
        <is>
          <t>الهيئة العامة للطيران المدني</t>
        </is>
      </c>
      <c r="C30" s="13" t="inlineStr">
        <is>
          <t>Eiman Ashkanani</t>
        </is>
      </c>
      <c r="D30" s="13" t="inlineStr">
        <is>
          <t>ممارسة رقم 2027/2026/11: الدعم الفني والصيانة الوقائية لأنظمة إنذار ومكافحة الحريق في مبنى المول التجاري ومواقف السيارات بمبنى الركاب T1 في مطار الكويت الدولي</t>
        </is>
      </c>
      <c r="E30" s="13" t="inlineStr">
        <is>
          <t>تنفيذ أعمال الدعم الفني والصيانة الوقائية لأنظمة إنذار ومكافحة الحريق في مبنى المول التجاري ومواقف السيارات بمبنى الركاب T1 في مطار الكويت الدولي، وتوفير كافة الأجهزة والمعدات والأنظمة وخدمات الدعم الفني والضمان وفقاً لكراسة الشروط والمواصفات الفنية.</t>
        </is>
      </c>
      <c r="F3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30" s="24" t="inlineStr">
        <is>
          <t>عام</t>
        </is>
      </c>
      <c r="H30" s="14" t="inlineStr">
        <is>
          <t>0.0%</t>
        </is>
      </c>
      <c r="I30" s="14" t="inlineStr">
        <is>
          <t>other</t>
        </is>
      </c>
      <c r="J30" s="14" t="inlineStr">
        <is>
          <t>2026-09-27</t>
        </is>
      </c>
      <c r="K30" s="14" t="inlineStr">
        <is>
          <t>-</t>
        </is>
      </c>
      <c r="L30" s="14" t="inlineStr">
        <is>
          <t>-</t>
        </is>
      </c>
      <c r="M30" s="14" t="inlineStr">
        <is>
          <t>-</t>
        </is>
      </c>
      <c r="N30" s="21" t="inlineStr">
        <is>
          <t>UPDATED</t>
        </is>
      </c>
      <c r="O30" s="14" t="inlineStr">
        <is>
          <t>غير متوافقة مع اختصاصات KBM</t>
        </is>
      </c>
      <c r="P30" s="22">
        <f>HYPERLINK("https://kuwaitalyawm.media.gov.kw/Online/ViewAdsHTML?id=171690&amp;no=1", "عرض المصدر")</f>
        <v/>
      </c>
    </row>
    <row r="31">
      <c r="A31" s="11" t="inlineStr">
        <is>
          <t>2027/2026/15</t>
        </is>
      </c>
      <c r="B31" s="11" t="inlineStr">
        <is>
          <t>الهيئة العامة للطيران المدني</t>
        </is>
      </c>
      <c r="C31" s="11" t="inlineStr">
        <is>
          <t>Eiman Ashkanani</t>
        </is>
      </c>
      <c r="D31" s="11" t="inlineStr">
        <is>
          <t>ممارسة رقم 2027/2026/15: ممارسة تطوير وصيانة أنظمة وأجهزة الحضور</t>
        </is>
      </c>
      <c r="E31" s="11" t="inlineStr">
        <is>
          <t>تنفيذ أعمال ممارسة تطوير وصيانة أنظمة وأجهزة الحضور، وتوفير كافة الأجهزة والمعدات والأنظمة وخدمات الدعم الفني والضمان وفقاً لكراسة الشروط والمواصفات الفنية.</t>
        </is>
      </c>
      <c r="F31" s="11" t="inlineStr">
        <is>
          <t>• علماً بأن آخر موعد لتقديم العروض هو الساعة (الواحدة ظهراً) من يوم (الأربعاء) الموافق (21/10/2026) ويرفض أي عرض بعد هذا الموعد.</t>
        </is>
      </c>
      <c r="G31" s="24" t="inlineStr">
        <is>
          <t>قطاع العمليات المدارة والدعم الفني متعدد الموردين</t>
        </is>
      </c>
      <c r="H31" s="12" t="inlineStr">
        <is>
          <t>49.0%</t>
        </is>
      </c>
      <c r="I31" s="12" t="inlineStr">
        <is>
          <t>other</t>
        </is>
      </c>
      <c r="J31" s="12" t="inlineStr">
        <is>
          <t>2026-09-27</t>
        </is>
      </c>
      <c r="K31" s="18" t="inlineStr">
        <is>
          <t>2026-10-21</t>
        </is>
      </c>
      <c r="L31" s="12" t="inlineStr">
        <is>
          <t>-</t>
        </is>
      </c>
      <c r="M31" s="12" t="inlineStr">
        <is>
          <t>75.0 KWD</t>
        </is>
      </c>
      <c r="N31" s="21" t="inlineStr">
        <is>
          <t>UPDATED</t>
        </is>
      </c>
      <c r="O31" s="12" t="inlineStr">
        <is>
          <t>فرصة تتطلب شراكة أو دراسة نطاق</t>
        </is>
      </c>
      <c r="P31" s="23">
        <f>HYPERLINK("https://kuwaitalyawm.media.gov.kw/Online/ViewAdsHTML?id=171693&amp;no=1", "عرض المصدر")</f>
        <v/>
      </c>
    </row>
    <row r="32">
      <c r="A32" s="13" t="inlineStr">
        <is>
          <t>2027/2026/9</t>
        </is>
      </c>
      <c r="B32" s="13" t="inlineStr">
        <is>
          <t>الهيئة العامة للمعلومات المدنية</t>
        </is>
      </c>
      <c r="C32" s="13" t="inlineStr">
        <is>
          <t>Raed Obeid</t>
        </is>
      </c>
      <c r="D32" s="13" t="inlineStr">
        <is>
          <t>ممارسة رقم 2027/2026/9: بشـأن صيانة المعدات الميكانيكية والكهربائية بالهيئة</t>
        </is>
      </c>
      <c r="E32" s="13" t="inlineStr">
        <is>
          <t>أعمال وتوريدات بشـأن صيانة المعدات الميكانيكية والكهربائية بالهيئة لصالح الهيئة العامة للمعلومات المدنية وفقاً للشروط والمواصفات المعتمدة في وثائق الطرح.</t>
        </is>
      </c>
      <c r="F3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32" s="14" t="inlineStr">
        <is>
          <t>عام</t>
        </is>
      </c>
      <c r="H32" s="14" t="inlineStr">
        <is>
          <t>15.0%</t>
        </is>
      </c>
      <c r="I32" s="14" t="inlineStr">
        <is>
          <t>government</t>
        </is>
      </c>
      <c r="J32" s="14" t="inlineStr">
        <is>
          <t>2026-09-27</t>
        </is>
      </c>
      <c r="K32" s="14" t="inlineStr">
        <is>
          <t>-</t>
        </is>
      </c>
      <c r="L32" s="14" t="inlineStr">
        <is>
          <t>-</t>
        </is>
      </c>
      <c r="M32" s="14" t="inlineStr">
        <is>
          <t>50.0 KWD</t>
        </is>
      </c>
      <c r="N32" s="21" t="inlineStr">
        <is>
          <t>UPDATED</t>
        </is>
      </c>
      <c r="O32" s="14" t="inlineStr">
        <is>
          <t>غير متوافقة مع اختصاصات KBM</t>
        </is>
      </c>
      <c r="P32" s="22">
        <f>HYPERLINK("https://kuwaitalyawm.media.gov.kw/Online/ViewAdsHTML?id=171695&amp;no=1", "عرض المصدر")</f>
        <v/>
      </c>
    </row>
    <row r="33">
      <c r="A33" s="11" t="inlineStr">
        <is>
          <t>2027/2026/5</t>
        </is>
      </c>
      <c r="B33" s="11" t="inlineStr">
        <is>
          <t>الإدارة المركزية للإحصاء</t>
        </is>
      </c>
      <c r="C33" s="11" t="inlineStr">
        <is>
          <t>Eiman Ashkanani</t>
        </is>
      </c>
      <c r="D33" s="11" t="inlineStr">
        <is>
          <t>ممارسة رقم 2027/2026/5 - الإدارة المركزية للاحصاء (العدد 1810)</t>
        </is>
      </c>
      <c r="E33" s="11" t="inlineStr">
        <is>
          <t>أعمال وتوريدات ممارسة رقم 2027/2026/5 - الإدارة المركزية للاحصاء لصالح الإدارة المركزية للاحصاء وفقاً للشروط والمواصفات المعتمدة في وثائق الطرح.</t>
        </is>
      </c>
      <c r="F3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33" s="12" t="inlineStr">
        <is>
          <t>عام</t>
        </is>
      </c>
      <c r="H33" s="12" t="inlineStr">
        <is>
          <t>0.0%</t>
        </is>
      </c>
      <c r="I33" s="12" t="inlineStr">
        <is>
          <t>government</t>
        </is>
      </c>
      <c r="J33" s="12" t="inlineStr">
        <is>
          <t>2026-09-27</t>
        </is>
      </c>
      <c r="K33" s="12" t="inlineStr">
        <is>
          <t>-</t>
        </is>
      </c>
      <c r="L33" s="12" t="inlineStr">
        <is>
          <t>-</t>
        </is>
      </c>
      <c r="M33" s="12" t="inlineStr">
        <is>
          <t>75.0 KWD</t>
        </is>
      </c>
      <c r="N33" s="21" t="inlineStr">
        <is>
          <t>UPDATED</t>
        </is>
      </c>
      <c r="O33" s="12" t="inlineStr">
        <is>
          <t>غير متوافقة مع اختصاصات KBM</t>
        </is>
      </c>
      <c r="P33" s="23">
        <f>HYPERLINK("https://kuwaitalyawm.media.gov.kw/Online/ViewAdsHTML?id=171697&amp;no=1", "عرض المصدر")</f>
        <v/>
      </c>
    </row>
    <row r="34">
      <c r="A34" s="13" t="inlineStr">
        <is>
          <t>2026/35</t>
        </is>
      </c>
      <c r="B34" s="13" t="inlineStr">
        <is>
          <t>الجهاز المركزي لتكنولوجيا المعلومات</t>
        </is>
      </c>
      <c r="C34" s="13" t="inlineStr">
        <is>
          <t>Eiman Ashkanani</t>
        </is>
      </c>
      <c r="D34" s="13" t="inlineStr">
        <is>
          <t>ممارسة رقم 2026/35: إعلان طرح الممارسة رقم (35-2026/2027) توفير خدمة الدعم الفني والصيانة لعدد 4 وحدات إمداد الطاقة الكهربائية اللامنقطعة UPS والبطاريات الملحقة بها للجهاز المركزي لتكنولوجيا المعلومات</t>
        </is>
      </c>
      <c r="E34" s="13" t="inlineStr">
        <is>
          <t>تنفيذ أعمال إعلان طرح الممارسة رقم (35-2026/2027) توفير خدمة الدعم الفني والصيانة لعدد 4 وحدات إمداد الطاقة الكهربائية اللامنقطعة UPS والبطاريات الملحقة بها للجهاز المركزي لتكنولوجيا المعلومات، وتوفير كافة الأجهزة والمعدات والأنظمة وخدمات الدعم الفني والضمان وفقاً لكراسة الشروط والمواصفات الفنية.</t>
        </is>
      </c>
      <c r="F3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34" s="24" t="inlineStr">
        <is>
          <t>قطاع العمليات المدارة والدعم الفني متعدد الموردين</t>
        </is>
      </c>
      <c r="H34" s="14" t="inlineStr">
        <is>
          <t>85.0%</t>
        </is>
      </c>
      <c r="I34" s="14" t="inlineStr">
        <is>
          <t>government</t>
        </is>
      </c>
      <c r="J34" s="14" t="inlineStr">
        <is>
          <t>2026-09-27</t>
        </is>
      </c>
      <c r="K34" s="18" t="inlineStr">
        <is>
          <t>2026-10-15</t>
        </is>
      </c>
      <c r="L34" s="14" t="inlineStr">
        <is>
          <t>-</t>
        </is>
      </c>
      <c r="M34" s="14" t="inlineStr">
        <is>
          <t>75.0 KWD</t>
        </is>
      </c>
      <c r="N34" s="21" t="inlineStr">
        <is>
          <t>UPDATED</t>
        </is>
      </c>
      <c r="O34" s="14" t="inlineStr">
        <is>
          <t>فرصة استراتيجية رئيسية (موصى بالتقديم)</t>
        </is>
      </c>
      <c r="P34" s="22">
        <f>HYPERLINK("https://kuwaitalyawm.media.gov.kw/Online/ViewAdsHTML?id=171699&amp;no=1", "عرض المصدر")</f>
        <v/>
      </c>
    </row>
    <row r="35">
      <c r="A35" s="11" t="inlineStr">
        <is>
          <t>72-516</t>
        </is>
      </c>
      <c r="B35" s="11" t="inlineStr">
        <is>
          <t>جامعة الكويت</t>
        </is>
      </c>
      <c r="C35" s="11" t="inlineStr">
        <is>
          <t>Eiman Ashkanani</t>
        </is>
      </c>
      <c r="D35" s="11" t="inlineStr">
        <is>
          <t>ممارسة رقم 72/2026-2027: صيانة أجهزة التعرف على الوجه والأجهزة العلمية بمراكز عمل جامعة الكويت</t>
        </is>
      </c>
      <c r="E35" s="11" t="inlineStr">
        <is>
          <t>صيانة دورية ودعم فني لأجهزة التحقق البيومتري والتعرف على الوجه (Face Recognition Systems) والأجهزة التابعة لها بجامعة الكويت.</t>
        </is>
      </c>
      <c r="F35" s="11" t="inlineStr">
        <is>
          <t>• بيع الوثائق 75 د.ك، تأمين أولي 2% من قيمة العطاء، إغلاق 20/10/2026 بمقر الجامعة بالشدادية.</t>
        </is>
      </c>
      <c r="G35" s="24" t="inlineStr">
        <is>
          <t>قطاع الأمن السيبراني والدفاع الرقمي</t>
        </is>
      </c>
      <c r="H35" s="12" t="inlineStr">
        <is>
          <t>55.0%</t>
        </is>
      </c>
      <c r="I35" s="12" t="inlineStr">
        <is>
          <t>education_and_research</t>
        </is>
      </c>
      <c r="J35" s="12" t="inlineStr">
        <is>
          <t>2026-09-27</t>
        </is>
      </c>
      <c r="K35" s="18" t="inlineStr">
        <is>
          <t>2026-10-20</t>
        </is>
      </c>
      <c r="L35" s="12" t="inlineStr">
        <is>
          <t>2000.0 KWD</t>
        </is>
      </c>
      <c r="M35" s="12" t="inlineStr">
        <is>
          <t>75.0 KWD</t>
        </is>
      </c>
      <c r="N35" s="21" t="inlineStr">
        <is>
          <t>UPDATED</t>
        </is>
      </c>
      <c r="O35" s="12" t="inlineStr">
        <is>
          <t>فرصة محتملة</t>
        </is>
      </c>
      <c r="P35" s="23">
        <f>HYPERLINK("https://kuwaitalyawm.media.gov.kw/Online/ViewAdsHTML?id=171702&amp;no=1", "عرض المصدر")</f>
        <v/>
      </c>
    </row>
    <row r="36">
      <c r="A36" s="13" t="inlineStr">
        <is>
          <t>2027/2026/536</t>
        </is>
      </c>
      <c r="B36" s="13" t="inlineStr">
        <is>
          <t>جامعة الكويت</t>
        </is>
      </c>
      <c r="C36" s="13" t="inlineStr">
        <is>
          <t>Eiman Ashkanani</t>
        </is>
      </c>
      <c r="D36" s="13" t="inlineStr">
        <is>
          <t>ممارسة رقم 2027/2026/536 - جامعة الكويت (العدد 1810)</t>
        </is>
      </c>
      <c r="E36" s="13" t="inlineStr">
        <is>
          <t>أعمال وتوريدات ممارسة رقم 2027/2026/536 لصالح جامعة الكويت وفقاً للشروط والمواصفات المعتمدة في وثائق الطرح.</t>
        </is>
      </c>
      <c r="F3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36" s="24" t="inlineStr">
        <is>
          <t>عام</t>
        </is>
      </c>
      <c r="H36" s="14" t="inlineStr">
        <is>
          <t>15.0%</t>
        </is>
      </c>
      <c r="I36" s="14" t="inlineStr">
        <is>
          <t>education_and_research</t>
        </is>
      </c>
      <c r="J36" s="14" t="inlineStr">
        <is>
          <t>2026-09-27</t>
        </is>
      </c>
      <c r="K36" s="14" t="inlineStr">
        <is>
          <t>2026-10-27</t>
        </is>
      </c>
      <c r="L36" s="14" t="inlineStr">
        <is>
          <t>2.0 KWD</t>
        </is>
      </c>
      <c r="M36" s="14" t="inlineStr">
        <is>
          <t>75.0 KWD</t>
        </is>
      </c>
      <c r="N36" s="21" t="inlineStr">
        <is>
          <t>UPDATED</t>
        </is>
      </c>
      <c r="O36" s="14" t="inlineStr">
        <is>
          <t>غير متوافقة مع اختصاصات KBM</t>
        </is>
      </c>
      <c r="P36" s="22">
        <f>HYPERLINK("https://kuwaitalyawm.media.gov.kw/Online/ViewAdsHTML?id=171703&amp;no=1", "عرض المصدر")</f>
        <v/>
      </c>
    </row>
    <row r="37">
      <c r="A37" s="11" t="inlineStr">
        <is>
          <t>2027/2026/537</t>
        </is>
      </c>
      <c r="B37" s="11" t="inlineStr">
        <is>
          <t>جامعة الكويت</t>
        </is>
      </c>
      <c r="C37" s="11" t="inlineStr">
        <is>
          <t>Eiman Ashkanani</t>
        </is>
      </c>
      <c r="D37" s="11" t="inlineStr">
        <is>
          <t>ممارسة رقم 2027/2026/537 - جامعة الكويت (العدد 1810)</t>
        </is>
      </c>
      <c r="E37" s="11" t="inlineStr">
        <is>
          <t>أعمال وتوريدات ممارسة رقم 2027/2026/537 لصالح جامعة الكويت وفقاً للشروط والمواصفات المعتمدة في وثائق الطرح.</t>
        </is>
      </c>
      <c r="F3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37" s="24" t="inlineStr">
        <is>
          <t>عام</t>
        </is>
      </c>
      <c r="H37" s="12" t="inlineStr">
        <is>
          <t>15.0%</t>
        </is>
      </c>
      <c r="I37" s="12" t="inlineStr">
        <is>
          <t>education_and_research</t>
        </is>
      </c>
      <c r="J37" s="12" t="inlineStr">
        <is>
          <t>2026-09-27</t>
        </is>
      </c>
      <c r="K37" s="12" t="inlineStr">
        <is>
          <t>2026-10-27</t>
        </is>
      </c>
      <c r="L37" s="12" t="inlineStr">
        <is>
          <t>2000.0 KWD</t>
        </is>
      </c>
      <c r="M37" s="12" t="inlineStr">
        <is>
          <t>75.0 KWD</t>
        </is>
      </c>
      <c r="N37" s="21" t="inlineStr">
        <is>
          <t>UPDATED</t>
        </is>
      </c>
      <c r="O37" s="12" t="inlineStr">
        <is>
          <t>غير متوافقة مع اختصاصات KBM</t>
        </is>
      </c>
      <c r="P37" s="23">
        <f>HYPERLINK("https://kuwaitalyawm.media.gov.kw/Online/ViewAdsHTML?id=171704&amp;no=1", "عرض المصدر")</f>
        <v/>
      </c>
    </row>
    <row r="38">
      <c r="A38" s="13" t="inlineStr">
        <is>
          <t>2027/2026/12</t>
        </is>
      </c>
      <c r="B38" s="13" t="inlineStr">
        <is>
          <t>الرئاسة العامة للحرس الوطني</t>
        </is>
      </c>
      <c r="C38" s="13" t="inlineStr">
        <is>
          <t>Eiman Ashkanani</t>
        </is>
      </c>
      <c r="D38" s="13" t="inlineStr">
        <is>
          <t>ممارسة رقم 2027/2026/12: الخاصة بصيانة أجهزة توزيع أحمال الشبكة</t>
        </is>
      </c>
      <c r="E38" s="13" t="inlineStr">
        <is>
          <t>تنفيذ أعمال الخاصة بصيانة أجهزة توزيع أحمال الشبكة، وتوفير كافة الأجهزة والمعدات والأنظمة وخدمات الدعم الفني والضمان وفقاً لكراسة الشروط والمواصفات الفنية.</t>
        </is>
      </c>
      <c r="F3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38" s="24" t="inlineStr">
        <is>
          <t>قطاع العمليات المدارة والدعم الفني متعدد الموردين</t>
        </is>
      </c>
      <c r="H38" s="14" t="inlineStr">
        <is>
          <t>64.0%</t>
        </is>
      </c>
      <c r="I38" s="14" t="inlineStr">
        <is>
          <t>defense_and_security</t>
        </is>
      </c>
      <c r="J38" s="14" t="inlineStr">
        <is>
          <t>2026-09-27</t>
        </is>
      </c>
      <c r="K38" s="14" t="inlineStr">
        <is>
          <t>-</t>
        </is>
      </c>
      <c r="L38" s="14" t="inlineStr">
        <is>
          <t>-</t>
        </is>
      </c>
      <c r="M38" s="14" t="inlineStr">
        <is>
          <t>75.0 KWD</t>
        </is>
      </c>
      <c r="N38" s="21" t="inlineStr">
        <is>
          <t>UPDATED</t>
        </is>
      </c>
      <c r="O38" s="14" t="inlineStr">
        <is>
          <t>فرصة ICT متوافقة مع قدرات KBM</t>
        </is>
      </c>
      <c r="P38" s="22">
        <f>HYPERLINK("https://kuwaitalyawm.media.gov.kw/Online/ViewAdsHTML?id=171707&amp;no=1", "عرض المصدر")</f>
        <v/>
      </c>
    </row>
    <row r="39">
      <c r="A39" s="11" t="inlineStr">
        <is>
          <t>2027/2026/4</t>
        </is>
      </c>
      <c r="B39" s="11" t="inlineStr">
        <is>
          <t>مؤسسة الموانئ الكويتية</t>
        </is>
      </c>
      <c r="C39" s="11" t="inlineStr">
        <is>
          <t>Eiman Ashkanani</t>
        </is>
      </c>
      <c r="D39" s="11" t="inlineStr">
        <is>
          <t>ممارسة رقم 2027/2026/4: تمديد موعد الاقفال الممارسة رقم م م ك (/2026/4/2027) بشأن عمل مسح بحري للأرصفة والأحواض</t>
        </is>
      </c>
      <c r="E39" s="11" t="inlineStr">
        <is>
          <t>أعمال وتوريدات تمديد موعد الاقفال الممارسة رقم م م ك (/2026/4/2027) بشأن عمل مسح بحري للأرصفة والأحواض لصالح مؤسسة الموانئ الكويتية وفقاً للشروط والمواصفات المعتمدة في وثائق الطرح.</t>
        </is>
      </c>
      <c r="F3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39" s="12" t="inlineStr">
        <is>
          <t>عام</t>
        </is>
      </c>
      <c r="H39" s="12" t="inlineStr">
        <is>
          <t>0.0%</t>
        </is>
      </c>
      <c r="I39" s="12" t="inlineStr">
        <is>
          <t>government</t>
        </is>
      </c>
      <c r="J39" s="12" t="inlineStr">
        <is>
          <t>2026-09-27</t>
        </is>
      </c>
      <c r="K39" s="12" t="inlineStr">
        <is>
          <t>-</t>
        </is>
      </c>
      <c r="L39" s="12" t="inlineStr">
        <is>
          <t>-</t>
        </is>
      </c>
      <c r="M39" s="12" t="inlineStr">
        <is>
          <t>-</t>
        </is>
      </c>
      <c r="N39" s="21" t="inlineStr">
        <is>
          <t>UPDATED</t>
        </is>
      </c>
      <c r="O39" s="12" t="inlineStr">
        <is>
          <t>غير متوافقة مع اختصاصات KBM</t>
        </is>
      </c>
      <c r="P39" s="23">
        <f>HYPERLINK("https://kuwaitalyawm.media.gov.kw/Online/ViewAdsHTML?id=171716&amp;no=1", "عرض المصدر")</f>
        <v/>
      </c>
    </row>
    <row r="40">
      <c r="A40" s="13" t="inlineStr">
        <is>
          <t>2026/16</t>
        </is>
      </c>
      <c r="B40" s="13" t="inlineStr">
        <is>
          <t>بيت الزكاة</t>
        </is>
      </c>
      <c r="C40" s="13" t="inlineStr">
        <is>
          <t>Eiman Ashkanani</t>
        </is>
      </c>
      <c r="D40" s="13" t="inlineStr">
        <is>
          <t>ممارسة رقم 2026/16: توفير خدمات إنشاء وتطوير وصيانة أنظمة أوراكل</t>
        </is>
      </c>
      <c r="E40" s="13" t="inlineStr">
        <is>
          <t>تنفيذ أعمال توفير خدمات إنشاء وتطوير وصيانة أنظمة أوراكل، وتوفير كافة الأجهزة والمعدات والأنظمة وخدمات الدعم الفني والضمان وفقاً لكراسة الشروط والمواصفات الفنية.</t>
        </is>
      </c>
      <c r="F40" s="13" t="inlineStr">
        <is>
          <t>• https://www.zakathouse.org.kw/tender.aspx</t>
        </is>
      </c>
      <c r="G40" s="24" t="inlineStr">
        <is>
          <t>قطاع العمليات المدارة والدعم الفني متعدد الموردين</t>
        </is>
      </c>
      <c r="H40" s="14" t="inlineStr">
        <is>
          <t>84.0%</t>
        </is>
      </c>
      <c r="I40" s="14" t="inlineStr">
        <is>
          <t>government</t>
        </is>
      </c>
      <c r="J40" s="14" t="inlineStr">
        <is>
          <t>2026-09-27</t>
        </is>
      </c>
      <c r="K40" s="14" t="inlineStr">
        <is>
          <t>-</t>
        </is>
      </c>
      <c r="L40" s="14" t="inlineStr">
        <is>
          <t>-</t>
        </is>
      </c>
      <c r="M40" s="14" t="inlineStr">
        <is>
          <t>75.0 KWD</t>
        </is>
      </c>
      <c r="N40" s="21" t="inlineStr">
        <is>
          <t>UPDATED</t>
        </is>
      </c>
      <c r="O40" s="14" t="inlineStr">
        <is>
          <t>فرصة استراتيجية رئيسية (موصى بالتقديم)</t>
        </is>
      </c>
      <c r="P40" s="22">
        <f>HYPERLINK("https://kuwaitalyawm.media.gov.kw/Online/ViewAdsHTML?id=171714&amp;no=1", "عرض المصدر")</f>
        <v/>
      </c>
    </row>
    <row r="41">
      <c r="A41" s="11" t="inlineStr">
        <is>
          <t>2027/2026/84</t>
        </is>
      </c>
      <c r="B41" s="11" t="inlineStr">
        <is>
          <t>معهد الكويت للأبحاث العلمية</t>
        </is>
      </c>
      <c r="C41" s="11" t="inlineStr">
        <is>
          <t>Eiman Ashkanani</t>
        </is>
      </c>
      <c r="D41" s="11" t="inlineStr">
        <is>
          <t>ممارسة رقم 2027/2026/84: يعلن معهد الكويت للأبحـاث العلمية عن طـــرح الممارسة رقم 84-M-2026/2027 توريد جهاز تحليل دم آلي بيطري 6 أجزاء لعينات الدواجن والثديات، ويمكن الحصول على وثائق الممارسة من موقع المعهد التالي:</t>
        </is>
      </c>
      <c r="E41" s="11" t="inlineStr">
        <is>
          <t>أعمال وتوريدات يعلن معهد الكويت للأبحـاث العلمية عن طـــرح الممارسة رقم 84-M-2026/2027 توريد جهاز تحليل دم آلي بيطري 6 أجزاء لعينات الدواجن والثديات، ويمكن الحصول على وثائق الممارسة من موقع المعهد التالي: لصالح معهد الكـويت للابحاث العلمية وفقاً للشروط والمواصفات المعتمدة في وثائق الطرح.</t>
        </is>
      </c>
      <c r="F4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41" s="12" t="inlineStr">
        <is>
          <t>عام</t>
        </is>
      </c>
      <c r="H41" s="12" t="inlineStr">
        <is>
          <t>0.0%</t>
        </is>
      </c>
      <c r="I41" s="12" t="inlineStr">
        <is>
          <t>education_and_research</t>
        </is>
      </c>
      <c r="J41" s="12" t="inlineStr">
        <is>
          <t>2026-09-27</t>
        </is>
      </c>
      <c r="K41" s="12" t="inlineStr">
        <is>
          <t>-</t>
        </is>
      </c>
      <c r="L41" s="12" t="inlineStr">
        <is>
          <t>-</t>
        </is>
      </c>
      <c r="M41" s="12" t="inlineStr">
        <is>
          <t>75.0 KWD</t>
        </is>
      </c>
      <c r="N41" s="21" t="inlineStr">
        <is>
          <t>UPDATED</t>
        </is>
      </c>
      <c r="O41" s="12" t="inlineStr">
        <is>
          <t>غير متوافقة مع اختصاصات KBM</t>
        </is>
      </c>
      <c r="P41" s="23">
        <f>HYPERLINK("https://kuwaitalyawm.media.gov.kw/Online/ViewAdsHTML?id=171717&amp;no=1", "عرض المصدر")</f>
        <v/>
      </c>
    </row>
    <row r="42">
      <c r="A42" s="13" t="inlineStr">
        <is>
          <t>RFQ/1063554</t>
        </is>
      </c>
      <c r="B42" s="13" t="inlineStr">
        <is>
          <t>شركة البترول الوطنية الكويتية</t>
        </is>
      </c>
      <c r="C42" s="13" t="inlineStr">
        <is>
          <t>Abrar Al-Qallaf</t>
        </is>
      </c>
      <c r="D42" s="13" t="inlineStr">
        <is>
          <t>ممارسة رقم RFQ/1063554: توريد العوامل المساعدة لوحدة نزع الكبريت (OCR Catalyst for ARDS Unit-12 Tr-2 - MAB) - شركة البترول الوطنية الكويتية</t>
        </is>
      </c>
      <c r="E42" s="13" t="inlineStr">
        <is>
          <t>توريد مواد كيميائية وعوامل مساعدة تكريرية (Catalyst) لوحدة نزع الكبريت بمصفاة ميناء الأحمدي.</t>
        </is>
      </c>
      <c r="F42" s="13" t="inlineStr">
        <is>
          <t>وفقاً لشروط وإجراءات المناقصات والتوريد لدى شركة البترول الوطنية الكويتية (KNPC) عبر منصة K-Tendering.</t>
        </is>
      </c>
      <c r="G42" s="14" t="inlineStr">
        <is>
          <t>عام</t>
        </is>
      </c>
      <c r="H42" s="14" t="inlineStr">
        <is>
          <t>15.0%</t>
        </is>
      </c>
      <c r="I42" s="14" t="inlineStr">
        <is>
          <t>oil_and_gas</t>
        </is>
      </c>
      <c r="J42" s="14" t="inlineStr">
        <is>
          <t>2026-09-27</t>
        </is>
      </c>
      <c r="K42" s="14" t="inlineStr">
        <is>
          <t>2026-10-22</t>
        </is>
      </c>
      <c r="L42" s="14" t="inlineStr">
        <is>
          <t>50000.0 KWD</t>
        </is>
      </c>
      <c r="M42" s="14" t="inlineStr">
        <is>
          <t>500.0 KWD</t>
        </is>
      </c>
      <c r="N42" s="21" t="inlineStr">
        <is>
          <t>UPDATED</t>
        </is>
      </c>
      <c r="O42" s="14" t="inlineStr">
        <is>
          <t>غير متوافقة</t>
        </is>
      </c>
      <c r="P42" s="22">
        <f>HYPERLINK("https://kuwaitalyawm.media.gov.kw/Online/ViewAdsHTML?id=171724&amp;no=1", "عرض المصدر")</f>
        <v/>
      </c>
    </row>
    <row r="43">
      <c r="A43" s="11" t="inlineStr">
        <is>
          <t>RFQ/1063825</t>
        </is>
      </c>
      <c r="B43" s="11" t="inlineStr">
        <is>
          <t>شركة البترول الوطنية الكويتية</t>
        </is>
      </c>
      <c r="C43" s="11" t="inlineStr">
        <is>
          <t>Abrar Al-Qallaf</t>
        </is>
      </c>
      <c r="D43" s="11" t="inlineStr">
        <is>
          <t>ممارسة رقم RFQ/1063825: توريد قطع غيار أنظمة الاتصالات (Spares for the Telecommunication System - LBP) - شركة البترول الوطنية الكويتية</t>
        </is>
      </c>
      <c r="E43" s="11" t="inlineStr">
        <is>
          <t>توريد قطع غيار ومعدات شبكات الاتصالات وأنظمة التراسل السلكي واللاسلكي لمصفاة ميناء عبد الله (LBP).</t>
        </is>
      </c>
      <c r="F43" s="11" t="inlineStr">
        <is>
          <t>وفقاً لشروط وإجراءات المناقصات والتوريد لدى شركة البترول الوطنية الكويتية (KNPC) عبر منصة K-Tendering.</t>
        </is>
      </c>
      <c r="G43" s="24" t="inlineStr">
        <is>
          <t>قطاع العمليات المدارة والدعم الفني متعدد الموردين</t>
        </is>
      </c>
      <c r="H43" s="12" t="inlineStr">
        <is>
          <t>75.0%</t>
        </is>
      </c>
      <c r="I43" s="12" t="inlineStr">
        <is>
          <t>oil_and_gas</t>
        </is>
      </c>
      <c r="J43" s="12" t="inlineStr">
        <is>
          <t>2026-09-27</t>
        </is>
      </c>
      <c r="K43" s="12" t="inlineStr">
        <is>
          <t>2026-10-22</t>
        </is>
      </c>
      <c r="L43" s="12" t="inlineStr">
        <is>
          <t>1000.0 KWD</t>
        </is>
      </c>
      <c r="M43" s="12" t="inlineStr">
        <is>
          <t>-</t>
        </is>
      </c>
      <c r="N43" s="21" t="inlineStr">
        <is>
          <t>UPDATED</t>
        </is>
      </c>
      <c r="O43" s="12" t="inlineStr">
        <is>
          <t>موصى بالتقديم</t>
        </is>
      </c>
      <c r="P43" s="23">
        <f>HYPERLINK("https://kuwaitalyawm.media.gov.kw/Online/ViewAdsHTML?id=171725&amp;no=1", "عرض المصدر")</f>
        <v/>
      </c>
    </row>
    <row r="44">
      <c r="A44" s="13" t="inlineStr">
        <is>
          <t>RFQ/1064135</t>
        </is>
      </c>
      <c r="B44" s="13" t="inlineStr">
        <is>
          <t>شركة البترول الوطنية الكويتية</t>
        </is>
      </c>
      <c r="C44" s="13" t="inlineStr">
        <is>
          <t>Abrar Al-Qallaf</t>
        </is>
      </c>
      <c r="D44" s="13" t="inlineStr">
        <is>
          <t>ممارسة رقم RFQ/1064135: توريد مواد ومهمات تشغيلية لزوم شركة البترول الوطنية الكويتية - شركة البترول الوطنية الكويتية</t>
        </is>
      </c>
      <c r="E44" s="13" t="inlineStr">
        <is>
          <t>أعمال وتوريدات تخصصية لزوم شركة البترول الوطنية الكويتية حسب وثائق الممارسة رقم RFQ/1064135 عبر منصة K-Tendering.</t>
        </is>
      </c>
      <c r="F44" s="13" t="inlineStr">
        <is>
          <t>وفقاً لشروط وإجراءات المناقصات والتوريد لدى شركة البترول الوطنية الكويتية (KNPC) عبر منصة K-Tendering.</t>
        </is>
      </c>
      <c r="G44" s="14" t="inlineStr">
        <is>
          <t>عام</t>
        </is>
      </c>
      <c r="H44" s="14" t="inlineStr">
        <is>
          <t>15.0%</t>
        </is>
      </c>
      <c r="I44" s="14" t="inlineStr">
        <is>
          <t>oil_and_gas</t>
        </is>
      </c>
      <c r="J44" s="14" t="inlineStr">
        <is>
          <t>2026-09-27</t>
        </is>
      </c>
      <c r="K44" s="14" t="inlineStr">
        <is>
          <t>2026-10-22</t>
        </is>
      </c>
      <c r="L44" s="14" t="inlineStr">
        <is>
          <t>1000.0 KWD</t>
        </is>
      </c>
      <c r="M44" s="14" t="inlineStr">
        <is>
          <t>-</t>
        </is>
      </c>
      <c r="N44" s="21" t="inlineStr">
        <is>
          <t>UPDATED</t>
        </is>
      </c>
      <c r="O44" s="14" t="inlineStr">
        <is>
          <t>غير متوافقة</t>
        </is>
      </c>
      <c r="P44" s="22">
        <f>HYPERLINK("https://kuwaitalyawm.media.gov.kw/Online/ViewAdsHTML?id=171726&amp;no=1", "عرض المصدر")</f>
        <v/>
      </c>
    </row>
    <row r="45">
      <c r="A45" s="11" t="inlineStr">
        <is>
          <t>RFQ/1063478</t>
        </is>
      </c>
      <c r="B45" s="11" t="inlineStr">
        <is>
          <t>شركة البترول الوطنية الكويتية</t>
        </is>
      </c>
      <c r="C45" s="11" t="inlineStr">
        <is>
          <t>Abrar Al-Qallaf</t>
        </is>
      </c>
      <c r="D45" s="11" t="inlineStr">
        <is>
          <t>ممارسة رقم RFQ/1063478: توريد مواد ومهمات تشغيلية لزوم شركة البترول الوطنية الكويتية - شركة البترول الوطنية الكويتية</t>
        </is>
      </c>
      <c r="E45" s="11" t="inlineStr">
        <is>
          <t>أعمال وتوريدات تخصصية لزوم شركة البترول الوطنية الكويتية حسب وثائق الممارسة رقم RFQ/1063478 عبر منصة K-Tendering.</t>
        </is>
      </c>
      <c r="F45" s="11" t="inlineStr">
        <is>
          <t>وفقاً لشروط وإجراءات المناقصات والتوريد لدى شركة البترول الوطنية الكويتية (KNPC) عبر منصة K-Tendering.</t>
        </is>
      </c>
      <c r="G45" s="12" t="inlineStr">
        <is>
          <t>عام</t>
        </is>
      </c>
      <c r="H45" s="12" t="inlineStr">
        <is>
          <t>15.0%</t>
        </is>
      </c>
      <c r="I45" s="12" t="inlineStr">
        <is>
          <t>oil_and_gas</t>
        </is>
      </c>
      <c r="J45" s="12" t="inlineStr">
        <is>
          <t>2026-09-27</t>
        </is>
      </c>
      <c r="K45" s="12" t="inlineStr">
        <is>
          <t>2026-10-22</t>
        </is>
      </c>
      <c r="L45" s="12" t="inlineStr">
        <is>
          <t>1000.0 KWD</t>
        </is>
      </c>
      <c r="M45" s="12" t="inlineStr">
        <is>
          <t>-</t>
        </is>
      </c>
      <c r="N45" s="21" t="inlineStr">
        <is>
          <t>UPDATED</t>
        </is>
      </c>
      <c r="O45" s="12" t="inlineStr">
        <is>
          <t>غير متوافقة</t>
        </is>
      </c>
      <c r="P45" s="23">
        <f>HYPERLINK("https://kuwaitalyawm.media.gov.kw/Online/ViewAdsHTML?id=171727&amp;no=1", "عرض المصدر")</f>
        <v/>
      </c>
    </row>
    <row r="46">
      <c r="A46" s="13" t="inlineStr">
        <is>
          <t>CB/CPC/2564/CNSL</t>
        </is>
      </c>
      <c r="B46" s="13" t="inlineStr">
        <is>
          <t>شركة البترول الوطنية الكويتية</t>
        </is>
      </c>
      <c r="C46" s="13" t="inlineStr">
        <is>
          <t>Abrar Al-Qallaf</t>
        </is>
      </c>
      <c r="D46" s="13" t="inlineStr">
        <is>
          <t>ممارسة رقم CB/CPC/2564/CNSL: توريد مواد ومهمات تشغيلية لزوم شركة البترول الوطنية الكويتية - شركة البترول الوطنية الكويتية</t>
        </is>
      </c>
      <c r="E46" s="13" t="inlineStr">
        <is>
          <t>أعمال وتوريدات تخصصية لزوم شركة البترول الوطنية الكويتية حسب وثائق الممارسة رقم CB/CPC/2564/CNSL عبر منصة K-Tendering.</t>
        </is>
      </c>
      <c r="F46" s="13" t="inlineStr">
        <is>
          <t>وفقاً لشروط وإجراءات المناقصات والتوريد لدى شركة البترول الوطنية الكويتية (KNPC) عبر منصة K-Tendering.</t>
        </is>
      </c>
      <c r="G46" s="14" t="inlineStr">
        <is>
          <t>عام</t>
        </is>
      </c>
      <c r="H46" s="14" t="inlineStr">
        <is>
          <t>15.0%</t>
        </is>
      </c>
      <c r="I46" s="14" t="inlineStr">
        <is>
          <t>oil_and_gas</t>
        </is>
      </c>
      <c r="J46" s="14" t="inlineStr">
        <is>
          <t>2026-09-27</t>
        </is>
      </c>
      <c r="K46" s="14" t="inlineStr">
        <is>
          <t>-</t>
        </is>
      </c>
      <c r="L46" s="14" t="inlineStr">
        <is>
          <t>-</t>
        </is>
      </c>
      <c r="M46" s="14" t="inlineStr">
        <is>
          <t>-</t>
        </is>
      </c>
      <c r="N46" s="21" t="inlineStr">
        <is>
          <t>UPDATED</t>
        </is>
      </c>
      <c r="O46" s="14" t="inlineStr">
        <is>
          <t>غير متوافقة</t>
        </is>
      </c>
      <c r="P46" s="22">
        <f>HYPERLINK("https://kuwaitalyawm.media.gov.kw/Online/ViewAdsHTML?id=171728&amp;no=1", "عرض المصدر")</f>
        <v/>
      </c>
    </row>
    <row r="47">
      <c r="A47" s="11" t="inlineStr">
        <is>
          <t>RFQ/1063250</t>
        </is>
      </c>
      <c r="B47" s="11" t="inlineStr">
        <is>
          <t>شركة البترول الوطنية الكويتية</t>
        </is>
      </c>
      <c r="C47" s="11" t="inlineStr">
        <is>
          <t>Abrar Al-Qallaf</t>
        </is>
      </c>
      <c r="D47" s="11" t="inlineStr">
        <is>
          <t>ممارسة رقم RFQ/1063250: توريد مواد ومهمات تشغيلية لزوم شركة البترول الوطنية الكويتية - شركة البترول الوطنية الكويتية</t>
        </is>
      </c>
      <c r="E47" s="11" t="inlineStr">
        <is>
          <t>أعمال وتوريدات تخصصية لزوم شركة البترول الوطنية الكويتية حسب وثائق الممارسة رقم RFQ/1063250 عبر منصة K-Tendering.</t>
        </is>
      </c>
      <c r="F47" s="11" t="inlineStr">
        <is>
          <t>وفقاً لشروط وإجراءات المناقصات والتوريد لدى شركة البترول الوطنية الكويتية (KNPC) عبر منصة K-Tendering.</t>
        </is>
      </c>
      <c r="G47" s="12" t="inlineStr">
        <is>
          <t>عام</t>
        </is>
      </c>
      <c r="H47" s="12" t="inlineStr">
        <is>
          <t>15.0%</t>
        </is>
      </c>
      <c r="I47" s="12" t="inlineStr">
        <is>
          <t>oil_and_gas</t>
        </is>
      </c>
      <c r="J47" s="12" t="inlineStr">
        <is>
          <t>2026-09-27</t>
        </is>
      </c>
      <c r="K47" s="18" t="inlineStr">
        <is>
          <t>2026-10-15</t>
        </is>
      </c>
      <c r="L47" s="12" t="inlineStr">
        <is>
          <t>1000.0 KWD</t>
        </is>
      </c>
      <c r="M47" s="12" t="inlineStr">
        <is>
          <t>-</t>
        </is>
      </c>
      <c r="N47" s="21" t="inlineStr">
        <is>
          <t>UPDATED</t>
        </is>
      </c>
      <c r="O47" s="12" t="inlineStr">
        <is>
          <t>غير متوافقة</t>
        </is>
      </c>
      <c r="P47" s="23">
        <f>HYPERLINK("https://kuwaitalyawm.media.gov.kw/Online/ViewAdsHTML?id=171729&amp;no=1", "عرض المصدر")</f>
        <v/>
      </c>
    </row>
    <row r="48">
      <c r="A48" s="13" t="inlineStr">
        <is>
          <t>2414/105/19973/26</t>
        </is>
      </c>
      <c r="B48" s="13" t="inlineStr">
        <is>
          <t>وزارة الدفاع</t>
        </is>
      </c>
      <c r="C48" s="13" t="inlineStr">
        <is>
          <t>Eiman Ashkanani</t>
        </is>
      </c>
      <c r="D48" s="13" t="inlineStr">
        <is>
          <t>ممارسة رقم 2414/105/19973/26: طلب شراء مفروشات لزوم / وزارة الدفاع</t>
        </is>
      </c>
      <c r="E48" s="13" t="inlineStr">
        <is>
          <t>أعمال وتوريدات طلب شراء مفروشات لزوم / وزارة الدفاع لصالح وزارة الدفاع وفقاً للشروط والمواصفات المعتمدة في وثائق الطرح.</t>
        </is>
      </c>
      <c r="F48" s="13" t="inlineStr">
        <is>
          <t>• تقديم صورة عن كرت التسجيل لدى وزارة الدفاع / ادارة المشتريات والعقود المحلية لعام 2026.
• تقديم كتاب تفويض من الشركة بشـراء الوثائق.
• ان تكون الشركة متخصصة في هذا المجال ومصنفة لدى مراقبة تصنيف الشركات بالوزارة.
• تقديم صورة عن شهادة دعم العمالة الوطنية لدى الشركات غير الحكومية (السنوية
• تقديم كتاب رسمي لأية استفسارات يكون في خلال ( أسبوع واحـد ) من تاريخ نشـر الإعلان .
• سداد الرسوم المقررة لشراء وثائق الممارسة عن طريق (K. NET).</t>
        </is>
      </c>
      <c r="G48" s="14" t="inlineStr">
        <is>
          <t>عام</t>
        </is>
      </c>
      <c r="H48" s="14" t="inlineStr">
        <is>
          <t>15.0%</t>
        </is>
      </c>
      <c r="I48" s="14" t="inlineStr">
        <is>
          <t>defense_and_security</t>
        </is>
      </c>
      <c r="J48" s="14" t="inlineStr">
        <is>
          <t>2026-09-20</t>
        </is>
      </c>
      <c r="K48" s="18" t="inlineStr">
        <is>
          <t>2026-10-15</t>
        </is>
      </c>
      <c r="L48" s="14" t="inlineStr">
        <is>
          <t>2.0 KWD</t>
        </is>
      </c>
      <c r="M48" s="14" t="inlineStr">
        <is>
          <t>-</t>
        </is>
      </c>
      <c r="N48" s="21" t="inlineStr">
        <is>
          <t>UPDATED</t>
        </is>
      </c>
      <c r="O48" s="14" t="inlineStr">
        <is>
          <t>غير متوافقة مع اختصاصات KBM</t>
        </is>
      </c>
      <c r="P48" s="22">
        <f>HYPERLINK("https://kuwaitalyawm.media.gov.kw/Online/ViewAdsHTML?id=170977&amp;no=1", "عرض المصدر")</f>
        <v/>
      </c>
    </row>
    <row r="49">
      <c r="A49" s="11" t="inlineStr">
        <is>
          <t>16-5</t>
        </is>
      </c>
      <c r="B49" s="11" t="inlineStr">
        <is>
          <t>وزارة الصحة</t>
        </is>
      </c>
      <c r="C49" s="11" t="inlineStr">
        <is>
          <t>Jana Al-Obaid</t>
        </is>
      </c>
      <c r="D49" s="11" t="inlineStr">
        <is>
          <t>ممارسة رقم 16-5 - وزارة الصحة (العدد 1809)</t>
        </is>
      </c>
      <c r="E49" s="11" t="inlineStr">
        <is>
          <t>أعمال وتوريدات ممارسة رقم 16-5 لصالح وزارة الصحة وفقاً للشروط والمواصفات المعتمدة في وثائق الطرح.</t>
        </is>
      </c>
      <c r="F49" s="11" t="inlineStr">
        <is>
          <t>• 1- أن تكون مقصورة على الشركات المسجلة لدى إدارة الهندسة الطبية.
• 2- أن تكون الشركة متخصصة في هذا المجال مع احضار ما يفيد ذلك.
• 3- سداد الرسوم المقررة لشراء وثائق الممارسة إلكترونياً.
• 4- أن تقدم الشركات المشاركة شهادة دعم العمالة الوطنية.
• 5- يمكن الحصول على وثائق الممارسات من تاريخ النشر لغاية تاريخ الاغلاق.</t>
        </is>
      </c>
      <c r="G49" s="12" t="inlineStr">
        <is>
          <t>عام</t>
        </is>
      </c>
      <c r="H49" s="12" t="inlineStr">
        <is>
          <t>15.0%</t>
        </is>
      </c>
      <c r="I49" s="12" t="inlineStr">
        <is>
          <t>healthcare</t>
        </is>
      </c>
      <c r="J49" s="12" t="inlineStr">
        <is>
          <t>2026-09-20</t>
        </is>
      </c>
      <c r="K49" s="18" t="inlineStr">
        <is>
          <t>2026-10-14</t>
        </is>
      </c>
      <c r="L49" s="12" t="inlineStr">
        <is>
          <t>-</t>
        </is>
      </c>
      <c r="M49" s="12" t="inlineStr">
        <is>
          <t>300.0 KWD</t>
        </is>
      </c>
      <c r="N49" s="21" t="inlineStr">
        <is>
          <t>UPDATED</t>
        </is>
      </c>
      <c r="O49" s="12" t="inlineStr">
        <is>
          <t>غير متوافقة مع اختصاصات KBM</t>
        </is>
      </c>
      <c r="P49" s="23">
        <f>HYPERLINK("https://kuwaitalyawm.media.gov.kw/Online/ViewAdsHTML?id=170980&amp;no=1", "عرض المصدر")</f>
        <v/>
      </c>
    </row>
    <row r="50">
      <c r="A50" s="13" t="inlineStr">
        <is>
          <t>294-293</t>
        </is>
      </c>
      <c r="B50" s="13" t="inlineStr">
        <is>
          <t>وزارة الصحة</t>
        </is>
      </c>
      <c r="C50" s="13" t="inlineStr">
        <is>
          <t>Jana Al-Obaid</t>
        </is>
      </c>
      <c r="D50" s="13" t="inlineStr">
        <is>
          <t>ممارسة رقم 294-293 - وزارة الصحة (العدد 1809)</t>
        </is>
      </c>
      <c r="E50" s="13" t="inlineStr">
        <is>
          <t>أعمال وتوريدات ممارسة رقم 294-293 لصالح وزارة الصحة وفقاً للشروط والمواصفات المعتمدة في وثائق الطرح.</t>
        </is>
      </c>
      <c r="F50" s="13" t="inlineStr">
        <is>
          <t>• 1- أن تكون مقصورة على الشركات المسجلة لدى إدارة الهندسة الطبية.
• 2- أن تكون الشركة متخصصة في هذا المجال مع احضار ما يفيد ذلك.
• 3- سداد الرسوم المقررة لشراء وثائق الممارسة إلكترونياً.
• 4- أن تقدم الشركات المشاركة شهادة دعم العمالة الوطنية.
• 5- يمكن الحصول على وثائق الممارسات من تاريخ النشر لغاية تاريخ الاغلاق.</t>
        </is>
      </c>
      <c r="G50" s="14" t="inlineStr">
        <is>
          <t>عام</t>
        </is>
      </c>
      <c r="H50" s="14" t="inlineStr">
        <is>
          <t>15.0%</t>
        </is>
      </c>
      <c r="I50" s="14" t="inlineStr">
        <is>
          <t>healthcare</t>
        </is>
      </c>
      <c r="J50" s="14" t="inlineStr">
        <is>
          <t>2026-09-20</t>
        </is>
      </c>
      <c r="K50" s="18" t="inlineStr">
        <is>
          <t>2026-10-21</t>
        </is>
      </c>
      <c r="L50" s="14" t="inlineStr">
        <is>
          <t>-</t>
        </is>
      </c>
      <c r="M50" s="14" t="inlineStr">
        <is>
          <t>75.0 KWD</t>
        </is>
      </c>
      <c r="N50" s="21" t="inlineStr">
        <is>
          <t>UPDATED</t>
        </is>
      </c>
      <c r="O50" s="14" t="inlineStr">
        <is>
          <t>غير متوافقة مع اختصاصات KBM</t>
        </is>
      </c>
      <c r="P50" s="22">
        <f>HYPERLINK("https://kuwaitalyawm.media.gov.kw/Online/ViewAdsHTML?id=170983&amp;no=1", "عرض المصدر")</f>
        <v/>
      </c>
    </row>
    <row r="51">
      <c r="A51" s="11" t="inlineStr">
        <is>
          <t>61-16</t>
        </is>
      </c>
      <c r="B51" s="11" t="inlineStr">
        <is>
          <t>وزارة الصحة</t>
        </is>
      </c>
      <c r="C51" s="11" t="inlineStr">
        <is>
          <t>Jana Al-Obaid</t>
        </is>
      </c>
      <c r="D51" s="11" t="inlineStr">
        <is>
          <t>ممارسة رقم 61-16 - وزارة الصحة (العدد 1809)</t>
        </is>
      </c>
      <c r="E51" s="11" t="inlineStr">
        <is>
          <t>أعمال وتوريدات ممارسة رقم 61-16 لصالح وزارة الصحة وفقاً للشروط والمواصفات المعتمدة في وثائق الطرح.</t>
        </is>
      </c>
      <c r="F51" s="11" t="inlineStr">
        <is>
          <t>• 1- الشركة المحلية يجب أن تكون مسجلة لدى إدارة المستودعات الطبية بسجل الموردين
• 2- الشركة المحلية يجب أن تكون متخصصة في المجال الطبي وموثق بشهادة معتمدة من غرفة التجارة والصناعة
• 3- عند تقديم عرضين يجب شراء كراستين بوصلين مختلفين
• 4- ارفاق شهادة تسجيل للمنتج سارية المفعول من إدارة التسجيل ومراقبة الأدوية الطبية والنباتية أو ما يثبت بتقديم الشهادة ونسخة من تسجيل الشركة المصنعة والمادة في سجل الموردين بإدارة المستودعات الطبية ضمن محتويات العطاء المقدم فيه (خاص بمراقبة الأدوية)
• 5- تقديم عينات للمواد الجديدة سواءً كان منتج جديد يطلب لأول مرة أو من شركة مصنعة جديدة للمراقبة المختصة ( الأدوية – اللوازم الطبية)
• 6- ارفاق شهادة نسبة دعم العمالة الوطنية
• 7- يمكن الحصول على وثائق الممارسات في الموقع الإلكتروني الخاص بوزارة الصحة
• 8- يمكن دفع رسوم شراء الكراسة من الموقع الإلكتروني لإرفاقه مع وثائق الممارسة
• 9- تقديم عروض الأسعار بظرف مقفل شامل مع وثائق الممارسة حسب تاريخ الإقفال المحدد في الموقع الإلكتروني الخاص بوزارة الصحة</t>
        </is>
      </c>
      <c r="G51" s="12" t="inlineStr">
        <is>
          <t>عام</t>
        </is>
      </c>
      <c r="H51" s="12" t="inlineStr">
        <is>
          <t>0.0%</t>
        </is>
      </c>
      <c r="I51" s="12" t="inlineStr">
        <is>
          <t>healthcare</t>
        </is>
      </c>
      <c r="J51" s="12" t="inlineStr">
        <is>
          <t>2026-09-20</t>
        </is>
      </c>
      <c r="K51" s="18" t="inlineStr">
        <is>
          <t>2026-10-21</t>
        </is>
      </c>
      <c r="L51" s="12" t="inlineStr">
        <is>
          <t>-</t>
        </is>
      </c>
      <c r="M51" s="12" t="inlineStr">
        <is>
          <t>75.0 KWD</t>
        </is>
      </c>
      <c r="N51" s="21" t="inlineStr">
        <is>
          <t>UPDATED</t>
        </is>
      </c>
      <c r="O51" s="12" t="inlineStr">
        <is>
          <t>غير متوافقة مع اختصاصات KBM</t>
        </is>
      </c>
      <c r="P51" s="23">
        <f>HYPERLINK("https://kuwaitalyawm.media.gov.kw/Online/ViewAdsHTML?id=170988&amp;no=1", "عرض المصدر")</f>
        <v/>
      </c>
    </row>
    <row r="52">
      <c r="A52" s="13" t="inlineStr">
        <is>
          <t>4-6</t>
        </is>
      </c>
      <c r="B52" s="13" t="inlineStr">
        <is>
          <t>وزارة الصحة</t>
        </is>
      </c>
      <c r="C52" s="13" t="inlineStr">
        <is>
          <t>Jana Al-Obaid</t>
        </is>
      </c>
      <c r="D52" s="13" t="inlineStr">
        <is>
          <t>ممارسة رقم 4-6 - وزارة الصحة (العدد 1809)</t>
        </is>
      </c>
      <c r="E52" s="13" t="inlineStr">
        <is>
          <t>أعمال وتوريدات ممارسة رقم 4-6 لصالح وزارة الصحة وفقاً للشروط والمواصفات المعتمدة في وثائق الطرح.</t>
        </is>
      </c>
      <c r="F52" s="13" t="inlineStr">
        <is>
          <t>• 1- الشركة المحلية يجب أن تكون مسجلة لدى إدارة المستودعات الطبية بسجل الموردين
• 2- الشركة المحلية يجب أن تكون متخصصة في المجال الطبي وموثق بشهادة معتمدة من غرفة التجارة والصناعة
• 3- عند تقديم عرضين يجب شراء كراستين بوصلين مختلفين
• 4- ارفاق شهادة تسجيل للمنتج سارية المفعول من إدارة التسجيل ومراقبة الأدوية الطبية والنباتية أو ما يثبت بتقديم الشهادة ونسخة من تسجيل الشركة المصنعة والمادة في سجل الموردين بإدارة المستودعات الطبية ضمن محتويات العطاء المقدم فيه (خاص بمراقبة الأدوية)
• 5- تقديم عينات للمواد الجديدة سواءً كان منتج جديد يطلب لأول مرة أو من شركة مصنعة جديدة للمراقبة المختصة ( الأدوية – اللوازم الطبية)
• 6- ارفاق شهادة نسبة دعم العمالة الوطنية
• 7- يمكن الحصول على وثائق الممارسات في الموقع الإلكتروني الخاص بوزارة الصحة
• 8- يمكن دفع رسوم شراء الكراسة من الموقع الإلكتروني لإرفاقه مع وثائق الممارسة
• 9- تقديم عروض الأسعار بظرف مقفل شامل مع وثائق الممارسة حسب تاريخ الإقفال المحدد في الموقع الإلكتروني الخاص بوزارة ا لصحة</t>
        </is>
      </c>
      <c r="G52" s="14" t="inlineStr">
        <is>
          <t>عام</t>
        </is>
      </c>
      <c r="H52" s="14" t="inlineStr">
        <is>
          <t>0.0%</t>
        </is>
      </c>
      <c r="I52" s="14" t="inlineStr">
        <is>
          <t>healthcare</t>
        </is>
      </c>
      <c r="J52" s="14" t="inlineStr">
        <is>
          <t>2026-09-20</t>
        </is>
      </c>
      <c r="K52" s="18" t="inlineStr">
        <is>
          <t>2026-10-14</t>
        </is>
      </c>
      <c r="L52" s="14" t="inlineStr">
        <is>
          <t>-</t>
        </is>
      </c>
      <c r="M52" s="14" t="inlineStr">
        <is>
          <t>75.0 KWD</t>
        </is>
      </c>
      <c r="N52" s="21" t="inlineStr">
        <is>
          <t>UPDATED</t>
        </is>
      </c>
      <c r="O52" s="14" t="inlineStr">
        <is>
          <t>غير متوافقة مع اختصاصات KBM</t>
        </is>
      </c>
      <c r="P52" s="22">
        <f>HYPERLINK("https://kuwaitalyawm.media.gov.kw/Online/ViewAdsHTML?id=170990&amp;no=1", "عرض المصدر")</f>
        <v/>
      </c>
    </row>
    <row r="53">
      <c r="A53" s="11" t="inlineStr">
        <is>
          <t>2027/2026/72</t>
        </is>
      </c>
      <c r="B53" s="11" t="inlineStr">
        <is>
          <t>وزارة الصحة</t>
        </is>
      </c>
      <c r="C53" s="11" t="inlineStr">
        <is>
          <t>Jana Al-Obaid</t>
        </is>
      </c>
      <c r="D53" s="11" t="inlineStr">
        <is>
          <t>ممارسة رقم 2027/2026/72: تـعـلـن وزارة الصـحة عن طرح الممارسة : رقم ص / م س /72/2026/2027 توريد ثلاجات كهربائية ( احتياجات المراكز و المستشفيات ) بين الشركات المتخصصة في هذا المجال طبقا للشروط العامة والخاصة الموضحة في وثائق الممارسة التي يمكن الحصول عليها من موقع الوزارة (www.moh.gov.kw ) و ذلك مقابل دفع مبلغ ( 75 د . ك ) فقط مبلغ خمسة و سبعون دينار كويتي لا غير لا ترد .</t>
        </is>
      </c>
      <c r="E53" s="11" t="inlineStr">
        <is>
          <t>أعمال وتوريدات رقم ص / م س /72/2026/2027 توريد ثلاجات كهربائية ( احتياجات المراكز و المستشفيات ) بين الشركات المتخصصة في هذا المجال طبقا للشروط العامة والخاصة الموضحة في وثائق الممارسة التي يمكن الحصول عليها من موقع الوزارة (www.moh.gov.kw ) و ذلك مقابل دفع مبلغ ( 75 د . ك ) فقط مبلغ خمسة و سبعون دينار كويتي لا غير لا ترد . لصالح وزارة الصحة وفقاً للشروط والمواصفات المعتمدة في وثائق الطرح.</t>
        </is>
      </c>
      <c r="F5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53" s="12" t="inlineStr">
        <is>
          <t>عام</t>
        </is>
      </c>
      <c r="H53" s="12" t="inlineStr">
        <is>
          <t>15.0%</t>
        </is>
      </c>
      <c r="I53" s="12" t="inlineStr">
        <is>
          <t>healthcare</t>
        </is>
      </c>
      <c r="J53" s="12" t="inlineStr">
        <is>
          <t>2026-09-20</t>
        </is>
      </c>
      <c r="K53" s="12" t="inlineStr">
        <is>
          <t>-</t>
        </is>
      </c>
      <c r="L53" s="12" t="inlineStr">
        <is>
          <t>-</t>
        </is>
      </c>
      <c r="M53" s="12" t="inlineStr">
        <is>
          <t>-</t>
        </is>
      </c>
      <c r="N53" s="21" t="inlineStr">
        <is>
          <t>UPDATED</t>
        </is>
      </c>
      <c r="O53" s="12" t="inlineStr">
        <is>
          <t>غير متوافقة مع اختصاصات KBM</t>
        </is>
      </c>
      <c r="P53" s="23">
        <f>HYPERLINK("https://kuwaitalyawm.media.gov.kw/Online/ViewAdsHTML?id=170991&amp;no=1", "عرض المصدر")</f>
        <v/>
      </c>
    </row>
    <row r="54">
      <c r="A54" s="13" t="inlineStr">
        <is>
          <t>126-320</t>
        </is>
      </c>
      <c r="B54" s="13" t="inlineStr">
        <is>
          <t>وزارة الصحة</t>
        </is>
      </c>
      <c r="C54" s="13" t="inlineStr">
        <is>
          <t>Jana Al-Obaid</t>
        </is>
      </c>
      <c r="D54" s="13" t="inlineStr">
        <is>
          <t>ممارسة رقم 126-320 - وزارة الصحة (العدد 1808)</t>
        </is>
      </c>
      <c r="E54" s="13" t="inlineStr">
        <is>
          <t>أعمال وتوريدات ممارسة رقم 126-320 لصالح وزارة الصحة وفقاً للشروط والمواصفات المعتمدة في وثائق الطرح.</t>
        </is>
      </c>
      <c r="F54" s="13" t="inlineStr">
        <is>
          <t>• 1- أن تكون مقصورة على الشركات المسجلة لدى إدارة الهندسة الطبية.
• 2- أن تكون الشركة متخصصة في هذا المجال مع احضار ما يفيد ذلك.
• 3- سداد الرسوم المقررة لشراء وثائق الممارسة إلكترونياً.
• 4- أن تقدم الشركات المشاركة شهادة دعم العمالة الوطنية.
• 5- يمكن الحصول على وثائق الممارسات من تاريخ النشر لغاية تاريخ الاغلاق.</t>
        </is>
      </c>
      <c r="G54" s="14" t="inlineStr">
        <is>
          <t>عام</t>
        </is>
      </c>
      <c r="H54" s="14" t="inlineStr">
        <is>
          <t>15.0%</t>
        </is>
      </c>
      <c r="I54" s="14" t="inlineStr">
        <is>
          <t>healthcare</t>
        </is>
      </c>
      <c r="J54" s="14" t="inlineStr">
        <is>
          <t>2026-09-13</t>
        </is>
      </c>
      <c r="K54" s="18" t="inlineStr">
        <is>
          <t>2026-10-14</t>
        </is>
      </c>
      <c r="L54" s="14" t="inlineStr">
        <is>
          <t>-</t>
        </is>
      </c>
      <c r="M54" s="14" t="inlineStr">
        <is>
          <t>75.0 KWD</t>
        </is>
      </c>
      <c r="N54" s="21" t="inlineStr">
        <is>
          <t>UPDATED</t>
        </is>
      </c>
      <c r="O54" s="14" t="inlineStr">
        <is>
          <t>غير متوافقة مع اختصاصات KBM</t>
        </is>
      </c>
      <c r="P54" s="22">
        <f>HYPERLINK("https://kuwaitalyawm.media.gov.kw/Online/ViewAdsHTML?id=169860&amp;no=1", "عرض المصدر")</f>
        <v/>
      </c>
    </row>
    <row r="55">
      <c r="A55" s="11" t="inlineStr">
        <is>
          <t>703-280</t>
        </is>
      </c>
      <c r="B55" s="11" t="inlineStr">
        <is>
          <t>وزارة الصحة</t>
        </is>
      </c>
      <c r="C55" s="11" t="inlineStr">
        <is>
          <t>Jana Al-Obaid</t>
        </is>
      </c>
      <c r="D55" s="11" t="inlineStr">
        <is>
          <t>ممارسة رقم 703-280 - وزارة الصحة (العدد 1808)</t>
        </is>
      </c>
      <c r="E55" s="11" t="inlineStr">
        <is>
          <t>أعمال وتوريدات ممارسة رقم 703-280 لصالح وزارة الصحة وفقاً للشروط والمواصفات المعتمدة في وثائق الطرح.</t>
        </is>
      </c>
      <c r="F55" s="11" t="inlineStr">
        <is>
          <t>• 1- أن تكون مقصورة على الشركات المسجلة لدى إدارة الهندسة الطبية.
• 2- أن تكون الشركة متخصصة في هذا المجال مع احضار ما يفيد ذلك.
• 3- سداد الرسوم المقررة لشراء وثائق الممارسة إلكترونياً.
• 4- أن تقدم الشركات المشاركة شهادة دعم العمالة الوطنية.
• 5- يمكن الحصول على وثائق الممارسات من تاريخ النشر لغاية تاريخ الاغلاق.</t>
        </is>
      </c>
      <c r="G55" s="12" t="inlineStr">
        <is>
          <t>عام</t>
        </is>
      </c>
      <c r="H55" s="12" t="inlineStr">
        <is>
          <t>15.0%</t>
        </is>
      </c>
      <c r="I55" s="12" t="inlineStr">
        <is>
          <t>healthcare</t>
        </is>
      </c>
      <c r="J55" s="12" t="inlineStr">
        <is>
          <t>2026-09-13</t>
        </is>
      </c>
      <c r="K55" s="18" t="inlineStr">
        <is>
          <t>2026-10-14</t>
        </is>
      </c>
      <c r="L55" s="12" t="inlineStr">
        <is>
          <t>-</t>
        </is>
      </c>
      <c r="M55" s="12" t="inlineStr">
        <is>
          <t>75.0 KWD</t>
        </is>
      </c>
      <c r="N55" s="21" t="inlineStr">
        <is>
          <t>UPDATED</t>
        </is>
      </c>
      <c r="O55" s="12" t="inlineStr">
        <is>
          <t>غير متوافقة مع اختصاصات KBM</t>
        </is>
      </c>
      <c r="P55" s="23">
        <f>HYPERLINK("https://kuwaitalyawm.media.gov.kw/Online/ViewAdsHTML?id=169861&amp;no=1", "عرض المصدر")</f>
        <v/>
      </c>
    </row>
    <row r="56">
      <c r="A56" s="13" t="inlineStr">
        <is>
          <t>334-331</t>
        </is>
      </c>
      <c r="B56" s="13" t="inlineStr">
        <is>
          <t>وزارة الصحة</t>
        </is>
      </c>
      <c r="C56" s="13" t="inlineStr">
        <is>
          <t>Jana Al-Obaid</t>
        </is>
      </c>
      <c r="D56" s="13" t="inlineStr">
        <is>
          <t>ممارسة رقم 334-331 - وزارة الصحة (العدد 1808)</t>
        </is>
      </c>
      <c r="E56" s="13" t="inlineStr">
        <is>
          <t>أعمال وتوريدات ممارسة رقم 334-331 لصالح وزارة الصحة وفقاً للشروط والمواصفات المعتمدة في وثائق الطرح.</t>
        </is>
      </c>
      <c r="F56" s="13" t="inlineStr">
        <is>
          <t>• 1- الشركة المحلية يجب أن تكون مسجلة لدى إدارة المستودعات الطبية بسجل الموردين
• 2- الشركة المحلية يجب أن تكون متخصصة في المجال الطبي وموثق بشهادة معتمدة من غرفة التجارة والصناعة
• 3- عند تقديم عرضين يجب شراء كراستين بوصلين مختلفين
• 4- ارفاق شهادة تسجيل للمنتج سارية المفعول من إدارة التسجيل ومراقبة الأدوية الطبية والنباتية أو ما يثبت بتقديم الشهادة ونسخة من تسجيل الشركة المصنعة والمادة في سجل الموردين بإدارة المستودعات الطبية ضمن محتويات العطاء المقدم فيه (خاص بمراقبة الأدوية)
• 5- تقديم عينات للمواد الجديدة سواءً كان منتج جديد يطلب لأول مرة أو من شركة مصنعة جديدة للمراقبة المختصة ( الأدوية – اللوازم الطبية)
• 6- ارفاق شهادة نسبة دعم العمالة الوطنية
• 7- يمكن الحصول على وثائق الممارسات في الموقع الإلكتروني الخاص بوزارة الصحة
• 8- يمكن دفع رسوم شراء الكراسة من الموقع الإلكتروني لإرفاقه مع وثائق الممارسة
• 9- تقديم عروض الأسعار بظرف مقفل شامل مع وثائق الممارسة حسب تاريخ الإقفال المحدد في الموقع الإلكتروني الخاص بوزارة ا لصحة</t>
        </is>
      </c>
      <c r="G56" s="14" t="inlineStr">
        <is>
          <t>عام</t>
        </is>
      </c>
      <c r="H56" s="14" t="inlineStr">
        <is>
          <t>0.0%</t>
        </is>
      </c>
      <c r="I56" s="14" t="inlineStr">
        <is>
          <t>healthcare</t>
        </is>
      </c>
      <c r="J56" s="14" t="inlineStr">
        <is>
          <t>2026-09-13</t>
        </is>
      </c>
      <c r="K56" s="18" t="inlineStr">
        <is>
          <t>2026-10-14</t>
        </is>
      </c>
      <c r="L56" s="14" t="inlineStr">
        <is>
          <t>-</t>
        </is>
      </c>
      <c r="M56" s="14" t="inlineStr">
        <is>
          <t>75.0 KWD</t>
        </is>
      </c>
      <c r="N56" s="21" t="inlineStr">
        <is>
          <t>UPDATED</t>
        </is>
      </c>
      <c r="O56" s="14" t="inlineStr">
        <is>
          <t>غير متوافقة مع اختصاصات KBM</t>
        </is>
      </c>
      <c r="P56" s="22">
        <f>HYPERLINK("https://kuwaitalyawm.media.gov.kw/Online/ViewAdsHTML?id=169867&amp;no=1", "عرض المصدر")</f>
        <v/>
      </c>
    </row>
    <row r="57">
      <c r="A57" s="11" t="inlineStr">
        <is>
          <t>2026/2</t>
        </is>
      </c>
      <c r="B57" s="11" t="inlineStr">
        <is>
          <t>وزارة الأوقاف والشئون الإسلامية</t>
        </is>
      </c>
      <c r="C57" s="11" t="inlineStr">
        <is>
          <t>Eiman Ashkanani</t>
        </is>
      </c>
      <c r="D57" s="11" t="inlineStr">
        <is>
          <t>مناقصة رقم 2026/2: الخاصة بأعمال توريد وتركيب سجاد ولباد للمساجد التابعة</t>
        </is>
      </c>
      <c r="E57" s="11" t="inlineStr">
        <is>
          <t>أعمال وتوريدات الخاصة بأعمال توريد وتركيب سجاد ولباد للمساجد التابعة لصالح وزارة الأوقاف والشئون الإسلامية وفقاً للشروط والمواصفات المعتمدة في وثائق الطرح.</t>
        </is>
      </c>
      <c r="F5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57" s="12" t="inlineStr">
        <is>
          <t>عام</t>
        </is>
      </c>
      <c r="H57" s="12" t="inlineStr">
        <is>
          <t>15.0%</t>
        </is>
      </c>
      <c r="I57" s="12" t="inlineStr">
        <is>
          <t>government</t>
        </is>
      </c>
      <c r="J57" s="12" t="inlineStr">
        <is>
          <t>2026-09-27</t>
        </is>
      </c>
      <c r="K57" s="18" t="inlineStr">
        <is>
          <t>2026-10-15</t>
        </is>
      </c>
      <c r="L57" s="12" t="inlineStr">
        <is>
          <t>500.0</t>
        </is>
      </c>
      <c r="M57" s="12" t="inlineStr">
        <is>
          <t>500.0</t>
        </is>
      </c>
      <c r="N57" s="25" t="inlineStr">
        <is>
          <t>NEW</t>
        </is>
      </c>
      <c r="O57" s="12" t="inlineStr">
        <is>
          <t>غير متوافقة مع اختصاصات KBM</t>
        </is>
      </c>
      <c r="P57" s="23">
        <f>HYPERLINK("https://kuwaitalyawm.media.gov.kw/Online/ViewAdsHTML?id=171071&amp;no=1", "عرض المصدر")</f>
        <v/>
      </c>
    </row>
    <row r="58">
      <c r="A58" s="13" t="inlineStr">
        <is>
          <t>2027/2026/1443</t>
        </is>
      </c>
      <c r="B58" s="13" t="inlineStr">
        <is>
          <t>المؤسسة العامة للرعاية السكنية</t>
        </is>
      </c>
      <c r="C58" s="13" t="inlineStr">
        <is>
          <t>Eiman Ashkanani</t>
        </is>
      </c>
      <c r="D58" s="13" t="inlineStr">
        <is>
          <t>مناقصة رقم 2027/2026/1443 - المؤسسة العامة للرعاية السكنية</t>
        </is>
      </c>
      <c r="E58" s="13" t="inlineStr">
        <is>
          <t>أعمال وتوريدات مناقصة رقم 2027/2026/1443 لصالح المؤسسة العامة للرعاية السكنية وفقاً للشروط والمواصفات المعتمدة في وثائق الطرح.</t>
        </is>
      </c>
      <c r="F58" s="13" t="inlineStr">
        <is>
          <t>• 1. يجب أن يكون قد مضى على تأسيس الشركة أو ممارسة النشاط بالنسبة للأفراد أكثر من عشر سنوات.
• 2. يجب ألا تقل قيمة رأس المال للشركة أو الأصول المملوكة للفرد عن (5,000,000 د.ك) خمسة ملايين دينار كويتي. (أو ما يعادلها).
• - ورقتا صيغة العطاء وإجمالي قيمة العطاء (نسخاً أصلية) مستكملة البيانات ومختومة وموقعة.</t>
        </is>
      </c>
      <c r="G58" s="14" t="inlineStr">
        <is>
          <t>عام</t>
        </is>
      </c>
      <c r="H58" s="14" t="inlineStr">
        <is>
          <t>28.0%</t>
        </is>
      </c>
      <c r="I58" s="14" t="inlineStr">
        <is>
          <t>government</t>
        </is>
      </c>
      <c r="J58" s="14" t="inlineStr">
        <is>
          <t>2026-08-30</t>
        </is>
      </c>
      <c r="K58" s="14" t="inlineStr">
        <is>
          <t>2026-09-30</t>
        </is>
      </c>
      <c r="L58" s="14" t="inlineStr">
        <is>
          <t>500000.0</t>
        </is>
      </c>
      <c r="M58" s="14" t="inlineStr">
        <is>
          <t>3500.0</t>
        </is>
      </c>
      <c r="N58" s="25" t="inlineStr">
        <is>
          <t>NEW</t>
        </is>
      </c>
      <c r="O58" s="14" t="inlineStr">
        <is>
          <t>غير متوافقة مع اختصاصات KBM</t>
        </is>
      </c>
      <c r="P58" s="22">
        <f>HYPERLINK("https://kuwaitalyawm.media.gov.kw/Online/ViewAdsHTML?id=171709&amp;no=1", "عرض المصدر")</f>
        <v/>
      </c>
    </row>
    <row r="59">
      <c r="A59" s="11" t="inlineStr">
        <is>
          <t>2027/2026/1444</t>
        </is>
      </c>
      <c r="B59" s="11" t="inlineStr">
        <is>
          <t>المؤسسة العامة للرعاية السكنية</t>
        </is>
      </c>
      <c r="C59" s="11" t="inlineStr">
        <is>
          <t>Eiman Ashkanani</t>
        </is>
      </c>
      <c r="D59" s="11" t="inlineStr">
        <is>
          <t>مناقصة رقم 2027/2026/1444 - المؤسسة العامة للرعاية السكنية</t>
        </is>
      </c>
      <c r="E59" s="11" t="inlineStr">
        <is>
          <t>أعمال وتوريدات مناقصة رقم 2027/2026/1444 لصالح المؤسسة العامة للرعاية السكنية وفقاً للشروط والمواصفات المعتمدة في وثائق الطرح.</t>
        </is>
      </c>
      <c r="F59" s="11" t="inlineStr">
        <is>
          <t>• 1. يجب أن يكون قد مضى على تأسيس الشركة أو ممارسة النشاط بالنسبة للأفراد أكثر من عشر سنوات.
• 2. يجب ألا تقل قيمة رأس المال للشركة أو الأصول المملوكة للفرد عن (5,000,000 د.ك) خمسة ملايين دينار كويتي. (أو ما يعادلها).
• - ورقتا صيغة العطاء وإجمالي قيمة العطاء (نسخاً أصلية) مستكملة البيانات ومختومة وموقعة.</t>
        </is>
      </c>
      <c r="G59" s="12" t="inlineStr">
        <is>
          <t>عام</t>
        </is>
      </c>
      <c r="H59" s="12" t="inlineStr">
        <is>
          <t>28.0%</t>
        </is>
      </c>
      <c r="I59" s="12" t="inlineStr">
        <is>
          <t>government</t>
        </is>
      </c>
      <c r="J59" s="12" t="inlineStr">
        <is>
          <t>2026-08-30</t>
        </is>
      </c>
      <c r="K59" s="12" t="inlineStr">
        <is>
          <t>2026-09-30</t>
        </is>
      </c>
      <c r="L59" s="12" t="inlineStr">
        <is>
          <t>500000.0</t>
        </is>
      </c>
      <c r="M59" s="12" t="inlineStr">
        <is>
          <t>3500.0</t>
        </is>
      </c>
      <c r="N59" s="25" t="inlineStr">
        <is>
          <t>NEW</t>
        </is>
      </c>
      <c r="O59" s="12" t="inlineStr">
        <is>
          <t>غير متوافقة مع اختصاصات KBM</t>
        </is>
      </c>
      <c r="P59" s="23">
        <f>HYPERLINK("https://kuwaitalyawm.media.gov.kw/Online/ViewAdsHTML?id=171710&amp;no=1", "عرض المصدر")</f>
        <v/>
      </c>
    </row>
    <row r="60">
      <c r="A60" s="13" t="inlineStr">
        <is>
          <t>26/27-11</t>
        </is>
      </c>
      <c r="B60" s="13" t="inlineStr">
        <is>
          <t>الشركة الكويتية لتزويد الطائرات بالوقود</t>
        </is>
      </c>
      <c r="C60" s="13" t="inlineStr">
        <is>
          <t>Eiman Ashkanani</t>
        </is>
      </c>
      <c r="D60" s="13" t="inlineStr">
        <is>
          <t>مناقصة رقم 26/27-11 - الشركة الكويتية لتزويد الطائرات بالوقود</t>
        </is>
      </c>
      <c r="E60" s="13" t="inlineStr">
        <is>
          <t>أعمال وتوريدات مناقصة رقم 26/27-11 - الشركة الكويتية لتزويد الطائرات بالوقود لصالح الشركة الكويتية لتزويد الطائرات بالوقود وفقاً للشروط والمواصفات المعتمدة في وثائق الطرح.</t>
        </is>
      </c>
      <c r="F6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60" s="14" t="inlineStr">
        <is>
          <t>عام</t>
        </is>
      </c>
      <c r="H60" s="14" t="inlineStr">
        <is>
          <t>0.0%</t>
        </is>
      </c>
      <c r="I60" s="14" t="inlineStr">
        <is>
          <t>government</t>
        </is>
      </c>
      <c r="J60" s="14" t="inlineStr">
        <is>
          <t>2026-09-27</t>
        </is>
      </c>
      <c r="K60" s="14" t="inlineStr">
        <is>
          <t>-</t>
        </is>
      </c>
      <c r="L60" s="14" t="inlineStr">
        <is>
          <t>37400.0</t>
        </is>
      </c>
      <c r="M60" s="14" t="inlineStr">
        <is>
          <t>-</t>
        </is>
      </c>
      <c r="N60" s="25" t="inlineStr">
        <is>
          <t>NEW</t>
        </is>
      </c>
      <c r="O60" s="14" t="inlineStr">
        <is>
          <t>غير متوافقة مع اختصاصات KBM</t>
        </is>
      </c>
      <c r="P60" s="22">
        <f>HYPERLINK("https://kuwaitalyawm.media.gov.kw/Online/ViewAdsHTML?id=171719&amp;no=1", "عرض المصدر")</f>
        <v/>
      </c>
    </row>
    <row r="61">
      <c r="A61" s="11" t="inlineStr">
        <is>
          <t>25/26-38</t>
        </is>
      </c>
      <c r="B61" s="11" t="inlineStr">
        <is>
          <t>الشركة الكويتية لتزويد الطائرات بالوقود</t>
        </is>
      </c>
      <c r="C61" s="11" t="inlineStr">
        <is>
          <t>Eiman Ashkanani</t>
        </is>
      </c>
      <c r="D61" s="11" t="inlineStr">
        <is>
          <t>مناقصة رقم 25/26/38: تاريخ الاجتماع التمهيدي واخر موعد لشراء وثائق المناقصة</t>
        </is>
      </c>
      <c r="E61" s="11" t="inlineStr">
        <is>
          <t>أعمال وتوريدات تاريخ الاجتماع التمهيدي واخر موعد لشراء وثائق المناقصة لصالح الشركة الكويتية لتزويد الطائرات بالوقود وفقاً للشروط والمواصفات المعتمدة في وثائق الطرح.</t>
        </is>
      </c>
      <c r="F6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61" s="12" t="inlineStr">
        <is>
          <t>عام</t>
        </is>
      </c>
      <c r="H61" s="12" t="inlineStr">
        <is>
          <t>0.0%</t>
        </is>
      </c>
      <c r="I61" s="12" t="inlineStr">
        <is>
          <t>government</t>
        </is>
      </c>
      <c r="J61" s="12" t="inlineStr">
        <is>
          <t>2026-08-30</t>
        </is>
      </c>
      <c r="K61" s="12" t="inlineStr">
        <is>
          <t>2026-08-30</t>
        </is>
      </c>
      <c r="L61" s="12" t="inlineStr">
        <is>
          <t>1000.0</t>
        </is>
      </c>
      <c r="M61" s="12" t="inlineStr">
        <is>
          <t>100.0</t>
        </is>
      </c>
      <c r="N61" s="25" t="inlineStr">
        <is>
          <t>NEW</t>
        </is>
      </c>
      <c r="O61" s="12" t="inlineStr">
        <is>
          <t>غير متوافقة مع اختصاصات KBM</t>
        </is>
      </c>
      <c r="P61" s="23">
        <f>HYPERLINK("https://kuwaitalyawm.media.gov.kw/Online/ViewAdsHTML?id=171720&amp;no=1", "عرض المصدر")</f>
        <v/>
      </c>
    </row>
    <row r="62">
      <c r="A62" s="13" t="inlineStr">
        <is>
          <t>23/24-30</t>
        </is>
      </c>
      <c r="B62" s="13" t="inlineStr">
        <is>
          <t>الشركة الكويتية لتزويد الطائرات بالوقود</t>
        </is>
      </c>
      <c r="C62" s="13" t="inlineStr">
        <is>
          <t>Eiman Ashkanani</t>
        </is>
      </c>
      <c r="D62" s="13" t="inlineStr">
        <is>
          <t>مناقصة رقم 23/24/30: الحاقا الى الإعلان الصادر في الجريدة الرسمية (الكويت اليوم) العدد رقم (1804) الصفحة رقم (247 &amp; 248) بتاريخ 16/8/2026 بخصوص الموضوع اعلاه، تود لجنة الشراء العليا لمناقصات الشركة الكويتية لتزويد الطائرات بناء على طلب من الشركة الكويتية لتزويد الطائرات بالوقود، ان تسترعي انتباه السادة المناقصين / الشركات الى انه تم تمديد موعد الاغلاق للمناقصة الى يوم الثلاثاء الموافق 29/9/2026 بدلا من يوم الثلاثاء الموافق 15/9/2026</t>
        </is>
      </c>
      <c r="E62" s="13" t="inlineStr">
        <is>
          <t>أعمال وتوريدات الحاقا الى الإعلان الصادر في الجريدة الرسمية (الكويت اليوم) العدد رقم (1804) الصفحة رقم (247 &amp; 248) بتاريخ 16/8/2026 بخصوص الموضوع اعلاه، تود لجنة الشراء العليا لمناقصات الشركة الكويتية لتزويد الطائرات بناء على طلب من الشركة الكويتية لتزويد الطائرات بالوقود، ان تسترعي انتباه السادة المناقصين / الشركات الى انه تم تمديد موعد الاغلاق للمناقصة الى يوم الثلاثاء الموافق 29/9/2026 بدلا من يوم الثلاثاء الموافق 15/9/2026 لصالح الشركة الكويتية لتزويد الطائرات بالوقود وفقاً للشروط والمواصفات المعتمدة في وثائق الطرح.</t>
        </is>
      </c>
      <c r="F6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62" s="14" t="inlineStr">
        <is>
          <t>عام</t>
        </is>
      </c>
      <c r="H62" s="14" t="inlineStr">
        <is>
          <t>0.0%</t>
        </is>
      </c>
      <c r="I62" s="14" t="inlineStr">
        <is>
          <t>government</t>
        </is>
      </c>
      <c r="J62" s="14" t="inlineStr">
        <is>
          <t>2026-09-13</t>
        </is>
      </c>
      <c r="K62" s="14" t="inlineStr">
        <is>
          <t>2026-10-13</t>
        </is>
      </c>
      <c r="L62" s="14" t="inlineStr">
        <is>
          <t>-</t>
        </is>
      </c>
      <c r="M62" s="14" t="inlineStr">
        <is>
          <t>-</t>
        </is>
      </c>
      <c r="N62" s="25" t="inlineStr">
        <is>
          <t>NEW</t>
        </is>
      </c>
      <c r="O62" s="14" t="inlineStr">
        <is>
          <t>غير متوافقة مع اختصاصات KBM</t>
        </is>
      </c>
      <c r="P62" s="22">
        <f>HYPERLINK("https://kuwaitalyawm.media.gov.kw/Online/ViewAdsHTML?id=171721&amp;no=1", "عرض المصدر")</f>
        <v/>
      </c>
    </row>
    <row r="63">
      <c r="A63" s="11" t="inlineStr">
        <is>
          <t>26/25/33</t>
        </is>
      </c>
      <c r="B63" s="11" t="inlineStr">
        <is>
          <t>الشركة الكويتية لتزويد الطائرات بالوقود</t>
        </is>
      </c>
      <c r="C63" s="11" t="inlineStr">
        <is>
          <t>Eiman Ashkanani</t>
        </is>
      </c>
      <c r="D63" s="11" t="inlineStr">
        <is>
          <t>مناقصة رقم 26/25/33: الحاقا إلى الإعلان الصادر في الجريدة الرسمية ( الكويت اليوم ) العدد رقم (1806) الصفحة رقم (282 &amp; 283) بتاريخ 30/08/2026 بخصوص الموضوع اعلاه، تود لجنة الشراء العليا لمناقصات الشركة الكويتية لتزويد الطائرات بناء على طلب من الشركة الكويتية لتزويد الطائرات بالوقود شركة تابعة لشركة البترول الوطنية ، أن تسترعي انتباه السادة المناقصين / الشركات إلى أنه تم تمديد موعد الإغلاق للمناقصة إلى يوم الثلاثاء الموافق 22/9/2026 بدلا من يوم الثلاثاء الموافق 15/09/2026</t>
        </is>
      </c>
      <c r="E63" s="11" t="inlineStr">
        <is>
          <t>أعمال وتوريدات الحاقا إلى الإعلان الصادر في الجريدة الرسمية ( الكويت اليوم ) العدد رقم (1806) الصفحة رقم (282 &amp; 283) بتاريخ 30/08/2026 بخصوص الموضوع اعلاه، تود لجنة الشراء العليا لمناقصات الشركة الكويتية لتزويد الطائرات بناء على طلب من الشركة الكويتية لتزويد الطائرات بالوقود شركة تابعة لشركة البترول الوطنية ، أن تسترعي انتباه السادة المناقصين / الشركات إلى أنه تم تمديد موعد الإغلاق للمناقصة إلى يوم الثلاثاء الموافق 22/9/2026 بدلا من يوم الثلاثاء الموافق 15/09/2026 لصالح الشركة الكويتية لتزويد الطائرات بالوقود وفقاً للشروط والمواصفات المعتمدة في وثائق الطرح.</t>
        </is>
      </c>
      <c r="F6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63" s="12" t="inlineStr">
        <is>
          <t>عام</t>
        </is>
      </c>
      <c r="H63" s="12" t="inlineStr">
        <is>
          <t>0.0%</t>
        </is>
      </c>
      <c r="I63" s="12" t="inlineStr">
        <is>
          <t>government</t>
        </is>
      </c>
      <c r="J63" s="12" t="inlineStr">
        <is>
          <t>2026-09-27</t>
        </is>
      </c>
      <c r="K63" s="12" t="inlineStr">
        <is>
          <t>2026-09-22</t>
        </is>
      </c>
      <c r="L63" s="12" t="inlineStr">
        <is>
          <t>-</t>
        </is>
      </c>
      <c r="M63" s="12" t="inlineStr">
        <is>
          <t>-</t>
        </is>
      </c>
      <c r="N63" s="25" t="inlineStr">
        <is>
          <t>NEW</t>
        </is>
      </c>
      <c r="O63" s="12" t="inlineStr">
        <is>
          <t>غير متوافقة مع اختصاصات KBM</t>
        </is>
      </c>
      <c r="P63" s="23">
        <f>HYPERLINK("https://kuwaitalyawm.media.gov.kw/Online/ViewAdsHTML?id=171722&amp;no=1", "عرض المصدر")</f>
        <v/>
      </c>
    </row>
    <row r="64">
      <c r="A64" s="13" t="inlineStr">
        <is>
          <t>PR 901782</t>
        </is>
      </c>
      <c r="B64" s="13" t="inlineStr">
        <is>
          <t>شركة البترول الكويتية العالمية</t>
        </is>
      </c>
      <c r="C64" s="13" t="inlineStr">
        <is>
          <t>Eiman Ashkanani</t>
        </is>
      </c>
      <c r="D64" s="13" t="inlineStr">
        <is>
          <t>مناقصة رقم PR 901782 - شركة البترول الكويتية العالمية</t>
        </is>
      </c>
      <c r="E64" s="13" t="inlineStr">
        <is>
          <t>أعمال وتوريدات مناقصة رقم PR 901782 لصالح شركة البترول الكويتية العالمية وفقاً للشروط والمواصفات المعتمدة في وثائق الطرح.</t>
        </is>
      </c>
      <c r="F6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64" s="14" t="inlineStr">
        <is>
          <t>عام</t>
        </is>
      </c>
      <c r="H64" s="14" t="inlineStr">
        <is>
          <t>28.0%</t>
        </is>
      </c>
      <c r="I64" s="14" t="inlineStr">
        <is>
          <t>government</t>
        </is>
      </c>
      <c r="J64" s="14" t="inlineStr">
        <is>
          <t>2026-09-27</t>
        </is>
      </c>
      <c r="K64" s="14" t="inlineStr">
        <is>
          <t>2026-10-27</t>
        </is>
      </c>
      <c r="L64" s="14" t="inlineStr">
        <is>
          <t>15000.0</t>
        </is>
      </c>
      <c r="M64" s="14" t="inlineStr">
        <is>
          <t>-</t>
        </is>
      </c>
      <c r="N64" s="25" t="inlineStr">
        <is>
          <t>NEW</t>
        </is>
      </c>
      <c r="O64" s="14" t="inlineStr">
        <is>
          <t>غير متوافقة مع اختصاصات KBM</t>
        </is>
      </c>
      <c r="P64" s="22">
        <f>HYPERLINK("https://kuwaitalyawm.media.gov.kw/Online/ViewAdsHTML?id=171723&amp;no=1", "عرض المصدر")</f>
        <v/>
      </c>
    </row>
    <row r="65">
      <c r="A65" s="11" t="inlineStr">
        <is>
          <t>CA/CPC/0964</t>
        </is>
      </c>
      <c r="B65" s="11" t="inlineStr">
        <is>
          <t>شركة البترول الوطنية الكويتية</t>
        </is>
      </c>
      <c r="C65" s="11" t="inlineStr">
        <is>
          <t>Abrar Al-Qallaf</t>
        </is>
      </c>
      <c r="D65" s="11" t="inlineStr">
        <is>
          <t>ممارسة رقم CA/CPC/0964: توريد مواد ومهمات تشغيلية لزوم شركة البترول الوطنية الكويتية - شركة البترول الوطنية الكويتية</t>
        </is>
      </c>
      <c r="E65" s="11" t="inlineStr">
        <is>
          <t>أعمال وتوريدات تخصصية لزوم شركة البترول الوطنية الكويتية حسب وثائق الممارسة رقم CA/CPC/0964 عبر منصة K-Tendering.</t>
        </is>
      </c>
      <c r="F65" s="11" t="inlineStr">
        <is>
          <t>وفقاً لشروط وإجراءات المناقصات والتوريد لدى شركة البترول الوطنية الكويتية (KNPC) عبر منصة K-Tendering.</t>
        </is>
      </c>
      <c r="G65" s="12" t="inlineStr">
        <is>
          <t>عام</t>
        </is>
      </c>
      <c r="H65" s="12" t="inlineStr">
        <is>
          <t>15.0%</t>
        </is>
      </c>
      <c r="I65" s="12" t="inlineStr">
        <is>
          <t>oil_and_gas</t>
        </is>
      </c>
      <c r="J65" s="12" t="inlineStr">
        <is>
          <t>2026-09-06</t>
        </is>
      </c>
      <c r="K65" s="12" t="inlineStr">
        <is>
          <t>-</t>
        </is>
      </c>
      <c r="L65" s="12" t="inlineStr">
        <is>
          <t>-</t>
        </is>
      </c>
      <c r="M65" s="12" t="inlineStr">
        <is>
          <t>-</t>
        </is>
      </c>
      <c r="N65" s="25" t="inlineStr">
        <is>
          <t>NEW</t>
        </is>
      </c>
      <c r="O65" s="12" t="inlineStr">
        <is>
          <t>غير متوافقة</t>
        </is>
      </c>
      <c r="P65" s="23">
        <f>HYPERLINK("https://kuwaitalyawm.media.gov.kw/Online/ViewAdsHTML?id=171736&amp;no=1", "عرض المصدر")</f>
        <v/>
      </c>
    </row>
    <row r="66">
      <c r="A66" s="13" t="inlineStr">
        <is>
          <t>RFQ/2167273</t>
        </is>
      </c>
      <c r="B66" s="13" t="inlineStr">
        <is>
          <t>شركة البترول الوطنية الكويتية</t>
        </is>
      </c>
      <c r="C66" s="13" t="inlineStr">
        <is>
          <t>Abrar Al-Qallaf</t>
        </is>
      </c>
      <c r="D66" s="13" t="inlineStr">
        <is>
          <t>ممارسة رقم RFQ/2167273: توريد مواد ومهمات تشغيلية لزوم شركة البترول الوطنية الكويتية - شركة البترول الوطنية الكويتية</t>
        </is>
      </c>
      <c r="E66" s="13" t="inlineStr">
        <is>
          <t>أعمال وتوريدات تخصصية لزوم شركة البترول الوطنية الكويتية حسب وثائق الممارسة رقم RFQ/2167273 عبر منصة K-Tendering.</t>
        </is>
      </c>
      <c r="F66" s="13" t="inlineStr">
        <is>
          <t>وفقاً لشروط وإجراءات المناقصات والتوريد لدى شركة البترول الوطنية الكويتية (KNPC) عبر منصة K-Tendering.</t>
        </is>
      </c>
      <c r="G66" s="14" t="inlineStr">
        <is>
          <t>عام</t>
        </is>
      </c>
      <c r="H66" s="14" t="inlineStr">
        <is>
          <t>15.0%</t>
        </is>
      </c>
      <c r="I66" s="14" t="inlineStr">
        <is>
          <t>oil_and_gas</t>
        </is>
      </c>
      <c r="J66" s="14" t="inlineStr">
        <is>
          <t>2026-09-27</t>
        </is>
      </c>
      <c r="K66" s="14" t="inlineStr">
        <is>
          <t>2026-09-27</t>
        </is>
      </c>
      <c r="L66" s="14" t="inlineStr">
        <is>
          <t>5000.0</t>
        </is>
      </c>
      <c r="M66" s="14" t="inlineStr">
        <is>
          <t>-</t>
        </is>
      </c>
      <c r="N66" s="25" t="inlineStr">
        <is>
          <t>NEW</t>
        </is>
      </c>
      <c r="O66" s="14" t="inlineStr">
        <is>
          <t>غير متوافقة</t>
        </is>
      </c>
      <c r="P66" s="22">
        <f>HYPERLINK("https://kuwaitalyawm.media.gov.kw/Online/ViewAdsHTML?id=171743&amp;no=1", "عرض المصدر")</f>
        <v/>
      </c>
    </row>
    <row r="67">
      <c r="A67" s="11" t="inlineStr">
        <is>
          <t>RFQ/2167277</t>
        </is>
      </c>
      <c r="B67" s="11" t="inlineStr">
        <is>
          <t>شركة البترول الوطنية الكويتية</t>
        </is>
      </c>
      <c r="C67" s="11" t="inlineStr">
        <is>
          <t>Abrar Al-Qallaf</t>
        </is>
      </c>
      <c r="D67" s="11" t="inlineStr">
        <is>
          <t>ممارسة رقم RFQ/2167277: توريد مواد ومهمات تشغيلية لزوم شركة البترول الوطنية الكويتية - شركة البترول الوطنية الكويتية</t>
        </is>
      </c>
      <c r="E67" s="11" t="inlineStr">
        <is>
          <t>أعمال وتوريدات تخصصية لزوم شركة البترول الوطنية الكويتية حسب وثائق الممارسة رقم RFQ/2167277 عبر منصة K-Tendering.</t>
        </is>
      </c>
      <c r="F67" s="11" t="inlineStr">
        <is>
          <t>وفقاً لشروط وإجراءات المناقصات والتوريد لدى شركة البترول الوطنية الكويتية (KNPC) عبر منصة K-Tendering.</t>
        </is>
      </c>
      <c r="G67" s="12" t="inlineStr">
        <is>
          <t>عام</t>
        </is>
      </c>
      <c r="H67" s="12" t="inlineStr">
        <is>
          <t>15.0%</t>
        </is>
      </c>
      <c r="I67" s="12" t="inlineStr">
        <is>
          <t>oil_and_gas</t>
        </is>
      </c>
      <c r="J67" s="12" t="inlineStr">
        <is>
          <t>2026-09-27</t>
        </is>
      </c>
      <c r="K67" s="12" t="inlineStr">
        <is>
          <t>2026-12-28</t>
        </is>
      </c>
      <c r="L67" s="12" t="inlineStr">
        <is>
          <t>1000.0</t>
        </is>
      </c>
      <c r="M67" s="12" t="inlineStr">
        <is>
          <t>100.0</t>
        </is>
      </c>
      <c r="N67" s="25" t="inlineStr">
        <is>
          <t>NEW</t>
        </is>
      </c>
      <c r="O67" s="12" t="inlineStr">
        <is>
          <t>غير متوافقة</t>
        </is>
      </c>
      <c r="P67" s="23">
        <f>HYPERLINK("https://kuwaitalyawm.media.gov.kw/Online/ViewAdsHTML?id=171744&amp;no=1", "عرض المصدر")</f>
        <v/>
      </c>
    </row>
    <row r="68">
      <c r="A68" s="13" t="inlineStr">
        <is>
          <t>RFQ/2163705</t>
        </is>
      </c>
      <c r="B68" s="13" t="inlineStr">
        <is>
          <t>شركة البترول الوطنية الكويتية</t>
        </is>
      </c>
      <c r="C68" s="13" t="inlineStr">
        <is>
          <t>Abrar Al-Qallaf</t>
        </is>
      </c>
      <c r="D68" s="13" t="inlineStr">
        <is>
          <t>ممارسة رقم RFQ/2163705: توريد مواد ومهمات تشغيلية لزوم شركة البترول الوطنية الكويتية - شركة البترول الوطنية الكويتية</t>
        </is>
      </c>
      <c r="E68" s="13" t="inlineStr">
        <is>
          <t>أعمال وتوريدات تخصصية لزوم شركة البترول الوطنية الكويتية حسب وثائق الممارسة رقم RFQ/2163705 عبر منصة K-Tendering.</t>
        </is>
      </c>
      <c r="F68" s="13" t="inlineStr">
        <is>
          <t>وفقاً لشروط وإجراءات المناقصات والتوريد لدى شركة البترول الوطنية الكويتية (KNPC) عبر منصة K-Tendering.</t>
        </is>
      </c>
      <c r="G68" s="14" t="inlineStr">
        <is>
          <t>عام</t>
        </is>
      </c>
      <c r="H68" s="14" t="inlineStr">
        <is>
          <t>15.0%</t>
        </is>
      </c>
      <c r="I68" s="14" t="inlineStr">
        <is>
          <t>oil_and_gas</t>
        </is>
      </c>
      <c r="J68" s="14" t="inlineStr">
        <is>
          <t>2026-08-30</t>
        </is>
      </c>
      <c r="K68" s="14" t="inlineStr">
        <is>
          <t>2026-10-05</t>
        </is>
      </c>
      <c r="L68" s="14" t="inlineStr">
        <is>
          <t>-</t>
        </is>
      </c>
      <c r="M68" s="14" t="inlineStr">
        <is>
          <t>-</t>
        </is>
      </c>
      <c r="N68" s="25" t="inlineStr">
        <is>
          <t>NEW</t>
        </is>
      </c>
      <c r="O68" s="14" t="inlineStr">
        <is>
          <t>غير متوافقة</t>
        </is>
      </c>
      <c r="P68" s="22">
        <f>HYPERLINK("https://kuwaitalyawm.media.gov.kw/Online/ViewAdsHTML?id=171745&amp;no=1", "عرض المصدر")</f>
        <v/>
      </c>
    </row>
    <row r="69">
      <c r="A69" s="11" t="inlineStr">
        <is>
          <t>2027/2026/24</t>
        </is>
      </c>
      <c r="B69" s="11" t="inlineStr">
        <is>
          <t>وزارة الداخلية</t>
        </is>
      </c>
      <c r="C69" s="11" t="inlineStr">
        <is>
          <t>Khaled Alabdallah</t>
        </is>
      </c>
      <c r="D69" s="11" t="inlineStr">
        <is>
          <t>مناقصة رقم 2027/2026/24: توريد وتركيب وتشغيل وصيانة وضمان مع تنفيذ مشروع منظومة مركز اتصال العمليات (112) للإدارة العامة لهندسة الاتصالات.</t>
        </is>
      </c>
      <c r="E69" s="11" t="inlineStr">
        <is>
          <t>تنفيذ أعمال توريد وتركيب وتشغيل وصيانة وضمان مع تنفيذ مشروع منظومة مركز اتصال العمليات (112) للإدارة العامة لهندسة الاتصالات.، وتوفير كافة الأجهزة والمعدات والأنظمة وخدمات الدعم الفني والضمان وفقاً لكراسة الشروط والمواصفات الفنية.</t>
        </is>
      </c>
      <c r="F6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69" s="24" t="inlineStr">
        <is>
          <t>قطاع العمليات المدارة والدعم الفني متعدد الموردين</t>
        </is>
      </c>
      <c r="H69" s="12" t="inlineStr">
        <is>
          <t>85.0%</t>
        </is>
      </c>
      <c r="I69" s="12" t="inlineStr">
        <is>
          <t>government</t>
        </is>
      </c>
      <c r="J69" s="12" t="inlineStr">
        <is>
          <t>2026-09-20</t>
        </is>
      </c>
      <c r="K69" s="12" t="inlineStr">
        <is>
          <t>2026-11-11</t>
        </is>
      </c>
      <c r="L69" s="12" t="inlineStr">
        <is>
          <t>1000.0</t>
        </is>
      </c>
      <c r="M69" s="12" t="inlineStr">
        <is>
          <t>-</t>
        </is>
      </c>
      <c r="N69" s="25" t="inlineStr">
        <is>
          <t>NEW</t>
        </is>
      </c>
      <c r="O69" s="12" t="inlineStr">
        <is>
          <t>فرصة استراتيجية رئيسية (موصى بالتقديم)</t>
        </is>
      </c>
      <c r="P69" s="23">
        <f>HYPERLINK("https://kuwaitalyawm.media.gov.kw/Online/ViewAdsHTML?id=170975&amp;no=1", "عرض المصدر")</f>
        <v/>
      </c>
    </row>
    <row r="70">
      <c r="A70" s="13" t="inlineStr">
        <is>
          <t>241121234261</t>
        </is>
      </c>
      <c r="B70" s="13" t="inlineStr">
        <is>
          <t>وزارة الدفاع</t>
        </is>
      </c>
      <c r="C70" s="13" t="inlineStr">
        <is>
          <t>Eiman Ashkanani</t>
        </is>
      </c>
      <c r="D70" s="13" t="inlineStr">
        <is>
          <t>مناقصة رقم 241121234261: لتوريد إطارات للآليات العسكرية الثقيلة والخفيفة لمدة سنة</t>
        </is>
      </c>
      <c r="E70" s="13" t="inlineStr">
        <is>
          <t>أعمال وتوريدات لتوريد إطارات للآليات العسكرية الثقيلة والخفيفة لمدة سنة لصالح وزارة الدفاع وفقاً للشروط والمواصفات المعتمدة في وثائق الطرح.</t>
        </is>
      </c>
      <c r="F70" s="13" t="inlineStr">
        <is>
          <t>• 1/ تقديم كتاب تفويض من الشركة بشراء وثائق المناقصة.
• 2/ تقديم صورة عن شهادة دعم العمالة الوطنية لدى الشركات غير الحكومية ( السنوية).</t>
        </is>
      </c>
      <c r="G70" s="14" t="inlineStr">
        <is>
          <t>عام</t>
        </is>
      </c>
      <c r="H70" s="14" t="inlineStr">
        <is>
          <t>15.0%</t>
        </is>
      </c>
      <c r="I70" s="14" t="inlineStr">
        <is>
          <t>government</t>
        </is>
      </c>
      <c r="J70" s="14" t="inlineStr">
        <is>
          <t>2026-09-20</t>
        </is>
      </c>
      <c r="K70" s="14" t="inlineStr">
        <is>
          <t>-</t>
        </is>
      </c>
      <c r="L70" s="14" t="inlineStr">
        <is>
          <t>14000.0</t>
        </is>
      </c>
      <c r="M70" s="14" t="inlineStr">
        <is>
          <t>1000.0</t>
        </is>
      </c>
      <c r="N70" s="25" t="inlineStr">
        <is>
          <t>NEW</t>
        </is>
      </c>
      <c r="O70" s="14" t="inlineStr">
        <is>
          <t>غير متوافقة مع اختصاصات KBM</t>
        </is>
      </c>
      <c r="P70" s="22">
        <f>HYPERLINK("https://kuwaitalyawm.media.gov.kw/Online/ViewAdsHTML?id=170978&amp;no=1", "عرض المصدر")</f>
        <v/>
      </c>
    </row>
    <row r="71">
      <c r="A71" s="11" t="inlineStr">
        <is>
          <t>241113235253</t>
        </is>
      </c>
      <c r="B71" s="11" t="inlineStr">
        <is>
          <t>وزارة الدفاع</t>
        </is>
      </c>
      <c r="C71" s="11" t="inlineStr">
        <is>
          <t>Eiman Ashkanani</t>
        </is>
      </c>
      <c r="D71" s="11" t="inlineStr">
        <is>
          <t>مناقصة رقم 241113235253: لإصلاح وصيانة القاطرات والمقطورات</t>
        </is>
      </c>
      <c r="E71" s="11" t="inlineStr">
        <is>
          <t>أعمال وتوريدات لإصلاح وصيانة القاطرات والمقطورات لصالح وزارة الدفاع وفقاً للشروط والمواصفات المعتمدة في وثائق الطرح.</t>
        </is>
      </c>
      <c r="F71" s="11" t="inlineStr">
        <is>
          <t>• كتاب تفويض من الشركة / المؤسسة بشراء الوثائق .
• أن تكون الشركة / المؤسسة متخصصة فى هذا المجال مع تقديم الأوراق الدالة على نشاطه .
• تقديم صورة عن شهادة دعم العمالة الوطنية السنوية لدى الشركات غير الحكومية شريطة أن تكون سارية .
• سداد الرسوم المقررة لشراء وثائق المناقصة عن طريق (K-NET ) .</t>
        </is>
      </c>
      <c r="G71" s="12" t="inlineStr">
        <is>
          <t>عام</t>
        </is>
      </c>
      <c r="H71" s="12" t="inlineStr">
        <is>
          <t>15.0%</t>
        </is>
      </c>
      <c r="I71" s="12" t="inlineStr">
        <is>
          <t>government</t>
        </is>
      </c>
      <c r="J71" s="12" t="inlineStr">
        <is>
          <t>2026-09-20</t>
        </is>
      </c>
      <c r="K71" s="12" t="inlineStr">
        <is>
          <t>2026-10-04</t>
        </is>
      </c>
      <c r="L71" s="12" t="inlineStr">
        <is>
          <t>2.0</t>
        </is>
      </c>
      <c r="M71" s="12" t="inlineStr">
        <is>
          <t>1000.0</t>
        </is>
      </c>
      <c r="N71" s="25" t="inlineStr">
        <is>
          <t>NEW</t>
        </is>
      </c>
      <c r="O71" s="12" t="inlineStr">
        <is>
          <t>غير متوافقة مع اختصاصات KBM</t>
        </is>
      </c>
      <c r="P71" s="23">
        <f>HYPERLINK("https://kuwaitalyawm.media.gov.kw/Online/ViewAdsHTML?id=170979&amp;no=1", "عرض المصدر")</f>
        <v/>
      </c>
    </row>
    <row r="72">
      <c r="A72" s="13" t="inlineStr">
        <is>
          <t>2027/2026/18</t>
        </is>
      </c>
      <c r="B72" s="13" t="inlineStr">
        <is>
          <t>وزارة الداخلية</t>
        </is>
      </c>
      <c r="C72" s="13" t="inlineStr">
        <is>
          <t>Khaled Alabdallah</t>
        </is>
      </c>
      <c r="D72" s="13" t="inlineStr">
        <is>
          <t>مناقصة رقم 2027/2026/18: توريد المواد الكيميائية ـ الطلبية السنوية للسنة المالية</t>
        </is>
      </c>
      <c r="E72" s="13" t="inlineStr">
        <is>
          <t>أعمال وتوريدات توريد المواد الكيميائية ـ الطلبية السنوية للسنة المالية لصالح وزارة الداخلية وفقاً للشروط والمواصفات المعتمدة في وثائق الطرح.</t>
        </is>
      </c>
      <c r="F7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72" s="14" t="inlineStr">
        <is>
          <t>عام</t>
        </is>
      </c>
      <c r="H72" s="14" t="inlineStr">
        <is>
          <t>15.0%</t>
        </is>
      </c>
      <c r="I72" s="14" t="inlineStr">
        <is>
          <t>government</t>
        </is>
      </c>
      <c r="J72" s="14" t="inlineStr">
        <is>
          <t>2026-09-06</t>
        </is>
      </c>
      <c r="K72" s="14" t="inlineStr">
        <is>
          <t>2026-10-12</t>
        </is>
      </c>
      <c r="L72" s="14" t="inlineStr">
        <is>
          <t>-</t>
        </is>
      </c>
      <c r="M72" s="14" t="inlineStr">
        <is>
          <t>-</t>
        </is>
      </c>
      <c r="N72" s="25" t="inlineStr">
        <is>
          <t>NEW</t>
        </is>
      </c>
      <c r="O72" s="14" t="inlineStr">
        <is>
          <t>غير متوافقة مع اختصاصات KBM</t>
        </is>
      </c>
      <c r="P72" s="22">
        <f>HYPERLINK("https://kuwaitalyawm.media.gov.kw/Online/ViewAdsHTML?id=169855&amp;no=1", "عرض المصدر")</f>
        <v/>
      </c>
    </row>
    <row r="73">
      <c r="A73" s="11" t="inlineStr">
        <is>
          <t>2027/2026/33</t>
        </is>
      </c>
      <c r="B73" s="11" t="inlineStr">
        <is>
          <t>وزارة الداخلية</t>
        </is>
      </c>
      <c r="C73" s="11" t="inlineStr">
        <is>
          <t>Khaled Alabdallah</t>
        </is>
      </c>
      <c r="D73" s="11" t="inlineStr">
        <is>
          <t>مناقصة رقم 2027/2026/33 - وزارة الداخلية</t>
        </is>
      </c>
      <c r="E73" s="11" t="inlineStr">
        <is>
          <t>أعمال وتوريدات مناقصة رقم 2027/2026/33 لصالح وزارة الداخلية وفقاً للشروط والمواصفات المعتمدة في وثائق الطرح.</t>
        </is>
      </c>
      <c r="F7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73" s="12" t="inlineStr">
        <is>
          <t>عام</t>
        </is>
      </c>
      <c r="H73" s="12" t="inlineStr">
        <is>
          <t>15.0%</t>
        </is>
      </c>
      <c r="I73" s="12" t="inlineStr">
        <is>
          <t>government</t>
        </is>
      </c>
      <c r="J73" s="12" t="inlineStr">
        <is>
          <t>2026-09-13</t>
        </is>
      </c>
      <c r="K73" s="12" t="inlineStr">
        <is>
          <t>2026-11-09</t>
        </is>
      </c>
      <c r="L73" s="12" t="inlineStr">
        <is>
          <t>-</t>
        </is>
      </c>
      <c r="M73" s="12" t="inlineStr">
        <is>
          <t>75.0</t>
        </is>
      </c>
      <c r="N73" s="25" t="inlineStr">
        <is>
          <t>NEW</t>
        </is>
      </c>
      <c r="O73" s="12" t="inlineStr">
        <is>
          <t>غير متوافقة مع اختصاصات KBM</t>
        </is>
      </c>
      <c r="P73" s="23">
        <f>HYPERLINK("https://kuwaitalyawm.media.gov.kw/Online/ViewAdsHTML?id=169856&amp;no=1", "عرض المصدر")</f>
        <v/>
      </c>
    </row>
    <row r="74">
      <c r="A74" s="13" t="inlineStr">
        <is>
          <t>2027/2026/1529</t>
        </is>
      </c>
      <c r="B74" s="13" t="inlineStr">
        <is>
          <t>المؤسسة العامة للرعاية السكنية</t>
        </is>
      </c>
      <c r="C74" s="13" t="inlineStr">
        <is>
          <t>Eiman Ashkanani</t>
        </is>
      </c>
      <c r="D74" s="13" t="inlineStr">
        <is>
          <t>مناقصة رقم 2027/2026/1529 - المؤسسة العامة للرعاية السكنية</t>
        </is>
      </c>
      <c r="E74" s="13" t="inlineStr">
        <is>
          <t>أعمال وتوريدات مناقصة رقم 2027/2026/1529 لصالح المؤسسة العامة للرعاية السكنية وفقاً للشروط والمواصفات المعتمدة في وثائق الطرح.</t>
        </is>
      </c>
      <c r="F74" s="13" t="inlineStr">
        <is>
          <t>• - ورقتا صيغة العطاء وإجمالي قيمة العطاء (نسخاً أصلية) مستكملة البيانات ومختومة وموقعة.</t>
        </is>
      </c>
      <c r="G74" s="14" t="inlineStr">
        <is>
          <t>عام</t>
        </is>
      </c>
      <c r="H74" s="14" t="inlineStr">
        <is>
          <t>0.0%</t>
        </is>
      </c>
      <c r="I74" s="14" t="inlineStr">
        <is>
          <t>government</t>
        </is>
      </c>
      <c r="J74" s="14" t="inlineStr">
        <is>
          <t>2026-09-13</t>
        </is>
      </c>
      <c r="K74" s="14" t="inlineStr">
        <is>
          <t>-</t>
        </is>
      </c>
      <c r="L74" s="14" t="inlineStr">
        <is>
          <t>6000.0</t>
        </is>
      </c>
      <c r="M74" s="14" t="inlineStr">
        <is>
          <t>150.0</t>
        </is>
      </c>
      <c r="N74" s="25" t="inlineStr">
        <is>
          <t>NEW</t>
        </is>
      </c>
      <c r="O74" s="14" t="inlineStr">
        <is>
          <t>غير متوافقة مع اختصاصات KBM</t>
        </is>
      </c>
      <c r="P74" s="22">
        <f>HYPERLINK("https://kuwaitalyawm.media.gov.kw/Online/ViewAdsHTML?id=170492&amp;no=1", "عرض المصدر")</f>
        <v/>
      </c>
    </row>
    <row r="75">
      <c r="A75" s="11" t="inlineStr">
        <is>
          <t>2027/2026/1526</t>
        </is>
      </c>
      <c r="B75" s="11" t="inlineStr">
        <is>
          <t>المؤسسة العامة للرعاية السكنية</t>
        </is>
      </c>
      <c r="C75" s="11" t="inlineStr">
        <is>
          <t>Eiman Ashkanani</t>
        </is>
      </c>
      <c r="D75" s="11" t="inlineStr">
        <is>
          <t>مناقصة رقم 2027/2026/1526 - المؤسسة العامة للرعاية السكنية</t>
        </is>
      </c>
      <c r="E75" s="11" t="inlineStr">
        <is>
          <t>أعمال وتوريدات مناقصة رقم 2027/2026/1526 لصالح المؤسسة العامة للرعاية السكنية وفقاً للشروط والمواصفات المعتمدة في وثائق الطرح.</t>
        </is>
      </c>
      <c r="F75" s="11" t="inlineStr">
        <is>
          <t>• - ورقتا صيغة العطاء وإجمالي قيمة العطاء (نسخاً أصلية) مستكملة البيانات ومختومة وموقعة.
• - التأمين الأولي (الكفالة الأولية)
• - شهادة استيفاء نسبة العمالة الوطنية الصادرة من قبل الهيئة العامة للقوى العاملة سارية المفعول، علما بأنه سيتم استبعاد العطاءات التي لا تتضمن تلك الشهادة.
• ثالثا: مستندات التأهيل (الأسس والمعايير):
• المستندات الفنية المطلوبة: -
• (1) أن يكون لدى المناقص خبرة سابقة مشابهة لطبيعة أعمال المناقصة المطروحة وأنه نفذ أعمال خلال العشر سنوات الأخيرة في مجال الاختصاص عن طريق الجهاز المركزي للمناقصات العامة أو الجهات الحكومية أو المؤسسات التابعة للحكومة بدولة الكويت.
• - مشروع لا تقل قيمته عن (250,000) مئتان وخمسون الفاً دينار كويتي متضمنة:
•  نسخة موثقة من وثيقة المشروع المنفذ موضحا به قيمة العقد ومدته التنفيذية، وشهادة الإنجاز صادرة من قبل الجهة التي تم التعاقد معها لتنفيذ الاعمال لنفس المشروع.
• المستندات المالية:
• - يجب ألا تقل قيمة رأس مال الشركة عن (1,000,000) دينار كويتي أو ما يعادلها بالعملات الأخرى مدعمة بمستندات ثبوتية.
• - على الشركة تقديم البيانات المالية الكاملة (قائمة الدخل الميزانية العمومية، قائمة التدفق النقدي) للشركة عن آخر (3) سنوات معتمدة من مكتب تدقيق ومصدقة من وزارة التجارة والصناعة. وسيتم التقييم المالي للشركات المتقدمة / المناقصين بناء على ما ورد في في المستند رقم (6) بالوثيقة رقم( 4-7) الشروط والمتطلبات الواجب توافرها في مقدم العطاء (الوضع المالي) .
• - على الشركة تقديم شهادات من البنوك التي يتعامل معها المناقص تبين وضعه المالي ومدى استعداد البنوك لتقديم تسهيلات له وعلى ان تكون الشهادات سارية المفعول وصادره خلال سنة طرح المناقصة.
• رابعاً: القواعد والشروط: -
• 1. يجب على المناقص تقديم عدد (1) نسخة ورقية أصلية من جداول الكميات وعدد (3) نسخ الكترونية وبحيث تكون كل نسخة كاملة على فلاش ميموري .
• 2. يجب أن تكون جميع المستندات والبيانات المقدمة من قبل الشركات والمؤسسات واضحة ومتسلسلة.
• 3. يحق للمؤسسة العامة للرعاية السكنية طلب أي نسخة أصلية للتأكد من مطابقتها لنسخ المستندات المرفقة.
• 4. يجب على المناقص تقديم إقرار وتعهد على صحة المعلومات والبيانات المقدمة مع تقديم العطاء.
• 6. ستخضع جميع المستندات المالية والقانونية للدراسة والتحليل المالي لتقييم القدرة المالية للشركة ومدى قابليتها للمشاركة بالمناقصة، وللمؤسسة العامة للرعاية السكنية الحق في رفض أي طلب إذا لم يكن مستوفي لشروط المناقصة.
• يعتبر هذا الاعلان جزء لا يتجزأ من وثائق المناقصة.
• المدير العام</t>
        </is>
      </c>
      <c r="G75" s="12" t="inlineStr">
        <is>
          <t>عام</t>
        </is>
      </c>
      <c r="H75" s="12" t="inlineStr">
        <is>
          <t>28.0%</t>
        </is>
      </c>
      <c r="I75" s="12" t="inlineStr">
        <is>
          <t>government</t>
        </is>
      </c>
      <c r="J75" s="12" t="inlineStr">
        <is>
          <t>2026-09-13</t>
        </is>
      </c>
      <c r="K75" s="12" t="inlineStr">
        <is>
          <t>2026-10-11</t>
        </is>
      </c>
      <c r="L75" s="12" t="inlineStr">
        <is>
          <t>10000.0</t>
        </is>
      </c>
      <c r="M75" s="12" t="inlineStr">
        <is>
          <t>300.0</t>
        </is>
      </c>
      <c r="N75" s="25" t="inlineStr">
        <is>
          <t>NEW</t>
        </is>
      </c>
      <c r="O75" s="12" t="inlineStr">
        <is>
          <t>غير متوافقة مع اختصاصات KBM</t>
        </is>
      </c>
      <c r="P75" s="23">
        <f>HYPERLINK("https://kuwaitalyawm.media.gov.kw/Online/ViewAdsHTML?id=170493&amp;no=1", "عرض المصدر")</f>
        <v/>
      </c>
    </row>
    <row r="76">
      <c r="A76" s="13" t="inlineStr">
        <is>
          <t>2026/09/07</t>
        </is>
      </c>
      <c r="B76" s="13" t="inlineStr">
        <is>
          <t>شركة إدارة المرافق العمومية</t>
        </is>
      </c>
      <c r="C76" s="13" t="inlineStr">
        <is>
          <t>Eiman Ashkanani</t>
        </is>
      </c>
      <c r="D76" s="13" t="inlineStr">
        <is>
          <t>مناقصة رقم 2026/09/07: بخصـوص القيام بأعمال الصيانة والإصلاح وإعادة التأهيل</t>
        </is>
      </c>
      <c r="E76" s="13" t="inlineStr">
        <is>
          <t>أعمال وتوريدات بخصـوص القيام بأعمال الصيانة والإصلاح وإعادة التأهيل لصالح شركة إدارة المرافق العمومية وفقاً للشروط والمواصفات المعتمدة في وثائق الطرح.</t>
        </is>
      </c>
      <c r="F76" s="13" t="inlineStr">
        <is>
          <t>• علماً بأنه آخر موعد لتقديم العطاءات يوم الخميس الموافـق 08/10/2026 الساعة الواحدة ظهراً  وسيتم عقد اجتماع تمهيدي يوم الأحد الموافق 27/09/2026 الساعة 10:00 صباحاً بمقر الشركة.</t>
        </is>
      </c>
      <c r="G76" s="14" t="inlineStr">
        <is>
          <t>عام</t>
        </is>
      </c>
      <c r="H76" s="14" t="inlineStr">
        <is>
          <t>0.0%</t>
        </is>
      </c>
      <c r="I76" s="14" t="inlineStr">
        <is>
          <t>government</t>
        </is>
      </c>
      <c r="J76" s="14" t="inlineStr">
        <is>
          <t>2026-09-13</t>
        </is>
      </c>
      <c r="K76" s="14" t="inlineStr">
        <is>
          <t>2026-10-08</t>
        </is>
      </c>
      <c r="L76" s="14" t="inlineStr">
        <is>
          <t>1500.0</t>
        </is>
      </c>
      <c r="M76" s="14" t="inlineStr">
        <is>
          <t>150.0</t>
        </is>
      </c>
      <c r="N76" s="25" t="inlineStr">
        <is>
          <t>NEW</t>
        </is>
      </c>
      <c r="O76" s="14" t="inlineStr">
        <is>
          <t>غير متوافقة مع اختصاصات KBM</t>
        </is>
      </c>
      <c r="P76" s="22">
        <f>HYPERLINK("https://kuwaitalyawm.media.gov.kw/Online/ViewAdsHTML?id=170505&amp;no=1", "عرض المصدر")</f>
        <v/>
      </c>
    </row>
    <row r="77">
      <c r="A77" s="11" t="inlineStr">
        <is>
          <t>CA CPC 4780</t>
        </is>
      </c>
      <c r="B77" s="11" t="inlineStr">
        <is>
          <t>شركة البترول الوطنية الكويتية</t>
        </is>
      </c>
      <c r="C77" s="11" t="inlineStr">
        <is>
          <t>Abrar Al-Qallaf</t>
        </is>
      </c>
      <c r="D77" s="11" t="inlineStr">
        <is>
          <t>ممارسة رقم CA CPC 4780: توريد مواد ومهمات تشغيلية لزوم شركة البترول الوطنية الكويتية - شركة البترول الوطنية الكويتية</t>
        </is>
      </c>
      <c r="E77" s="11" t="inlineStr">
        <is>
          <t>أعمال وتوريدات تخصصية لزوم شركة البترول الوطنية الكويتية حسب وثائق الممارسة رقم CA CPC 4780 عبر منصة K-Tendering.</t>
        </is>
      </c>
      <c r="F77" s="11" t="inlineStr">
        <is>
          <t>وفقاً لشروط وإجراءات المناقصات والتوريد لدى شركة البترول الوطنية الكويتية (KNPC) عبر منصة K-Tendering.</t>
        </is>
      </c>
      <c r="G77" s="12" t="inlineStr">
        <is>
          <t>عام</t>
        </is>
      </c>
      <c r="H77" s="12" t="inlineStr">
        <is>
          <t>15.0%</t>
        </is>
      </c>
      <c r="I77" s="12" t="inlineStr">
        <is>
          <t>oil_and_gas</t>
        </is>
      </c>
      <c r="J77" s="12" t="inlineStr">
        <is>
          <t>2026-09-13</t>
        </is>
      </c>
      <c r="K77" s="12" t="inlineStr">
        <is>
          <t>2026-12-17</t>
        </is>
      </c>
      <c r="L77" s="12" t="inlineStr">
        <is>
          <t>50000.0</t>
        </is>
      </c>
      <c r="M77" s="12" t="inlineStr">
        <is>
          <t>500.0</t>
        </is>
      </c>
      <c r="N77" s="25" t="inlineStr">
        <is>
          <t>NEW</t>
        </is>
      </c>
      <c r="O77" s="12" t="inlineStr">
        <is>
          <t>غير متوافقة</t>
        </is>
      </c>
      <c r="P77" s="23">
        <f>HYPERLINK("https://kuwaitalyawm.media.gov.kw/Online/ViewAdsHTML?id=170511&amp;no=1", "عرض المصدر")</f>
        <v/>
      </c>
    </row>
    <row r="78">
      <c r="A78" s="13" t="inlineStr">
        <is>
          <t>RFQ 1060201</t>
        </is>
      </c>
      <c r="B78" s="13" t="inlineStr">
        <is>
          <t>شركة البترول الوطنية الكويتية</t>
        </is>
      </c>
      <c r="C78" s="13" t="inlineStr">
        <is>
          <t>Abrar Al-Qallaf</t>
        </is>
      </c>
      <c r="D78" s="13" t="inlineStr">
        <is>
          <t>ممارسة رقم RFQ 1060201: توريد مواد ومهمات تشغيلية لزوم شركة البترول الوطنية الكويتية - شركة البترول الوطنية الكويتية</t>
        </is>
      </c>
      <c r="E78" s="13" t="inlineStr">
        <is>
          <t>أعمال وتوريدات تخصصية لزوم شركة البترول الوطنية الكويتية حسب وثائق الممارسة رقم RFQ 1060201 عبر منصة K-Tendering.</t>
        </is>
      </c>
      <c r="F78" s="13" t="inlineStr">
        <is>
          <t>وفقاً لشروط وإجراءات المناقصات والتوريد لدى شركة البترول الوطنية الكويتية (KNPC) عبر منصة K-Tendering.</t>
        </is>
      </c>
      <c r="G78" s="14" t="inlineStr">
        <is>
          <t>عام</t>
        </is>
      </c>
      <c r="H78" s="14" t="inlineStr">
        <is>
          <t>15.0%</t>
        </is>
      </c>
      <c r="I78" s="14" t="inlineStr">
        <is>
          <t>oil_and_gas</t>
        </is>
      </c>
      <c r="J78" s="14" t="inlineStr">
        <is>
          <t>2026-09-13</t>
        </is>
      </c>
      <c r="K78" s="14" t="inlineStr">
        <is>
          <t>2026-12-17</t>
        </is>
      </c>
      <c r="L78" s="14" t="inlineStr">
        <is>
          <t>1000.0</t>
        </is>
      </c>
      <c r="M78" s="14" t="inlineStr">
        <is>
          <t>100.0</t>
        </is>
      </c>
      <c r="N78" s="25" t="inlineStr">
        <is>
          <t>NEW</t>
        </is>
      </c>
      <c r="O78" s="14" t="inlineStr">
        <is>
          <t>غير متوافقة</t>
        </is>
      </c>
      <c r="P78" s="22">
        <f>HYPERLINK("https://kuwaitalyawm.media.gov.kw/Online/ViewAdsHTML?id=170512&amp;no=1", "عرض المصدر")</f>
        <v/>
      </c>
    </row>
    <row r="79">
      <c r="A79" s="11" t="inlineStr">
        <is>
          <t>RFQ 1063791</t>
        </is>
      </c>
      <c r="B79" s="11" t="inlineStr">
        <is>
          <t>شركة البترول الوطنية الكويتية</t>
        </is>
      </c>
      <c r="C79" s="11" t="inlineStr">
        <is>
          <t>Abrar Al-Qallaf</t>
        </is>
      </c>
      <c r="D79" s="11" t="inlineStr">
        <is>
          <t>ممارسة رقم RFQ 1063791: توريد مواد ومهمات تشغيلية لزوم شركة البترول الوطنية الكويتية - شركة البترول الوطنية الكويتية</t>
        </is>
      </c>
      <c r="E79" s="11" t="inlineStr">
        <is>
          <t>أعمال وتوريدات تخصصية لزوم شركة البترول الوطنية الكويتية حسب وثائق الممارسة رقم RFQ 1063791 عبر منصة K-Tendering.</t>
        </is>
      </c>
      <c r="F79" s="11" t="inlineStr">
        <is>
          <t>وفقاً لشروط وإجراءات المناقصات والتوريد لدى شركة البترول الوطنية الكويتية (KNPC) عبر منصة K-Tendering.</t>
        </is>
      </c>
      <c r="G79" s="12" t="inlineStr">
        <is>
          <t>عام</t>
        </is>
      </c>
      <c r="H79" s="12" t="inlineStr">
        <is>
          <t>15.0%</t>
        </is>
      </c>
      <c r="I79" s="12" t="inlineStr">
        <is>
          <t>oil_and_gas</t>
        </is>
      </c>
      <c r="J79" s="12" t="inlineStr">
        <is>
          <t>2026-09-13</t>
        </is>
      </c>
      <c r="K79" s="12" t="inlineStr">
        <is>
          <t>2026-12-17</t>
        </is>
      </c>
      <c r="L79" s="12" t="inlineStr">
        <is>
          <t>1000.0</t>
        </is>
      </c>
      <c r="M79" s="12" t="inlineStr">
        <is>
          <t>100.0</t>
        </is>
      </c>
      <c r="N79" s="25" t="inlineStr">
        <is>
          <t>NEW</t>
        </is>
      </c>
      <c r="O79" s="12" t="inlineStr">
        <is>
          <t>غير متوافقة</t>
        </is>
      </c>
      <c r="P79" s="23">
        <f>HYPERLINK("https://kuwaitalyawm.media.gov.kw/Online/ViewAdsHTML?id=170513&amp;no=1", "عرض المصدر")</f>
        <v/>
      </c>
    </row>
    <row r="80">
      <c r="A80" s="13" t="inlineStr">
        <is>
          <t>2026/1</t>
        </is>
      </c>
      <c r="B80" s="13" t="inlineStr">
        <is>
          <t>شركة ناقلات النفط الكويتية</t>
        </is>
      </c>
      <c r="C80" s="13" t="inlineStr">
        <is>
          <t>Ahmed Habib</t>
        </is>
      </c>
      <c r="D80" s="13" t="inlineStr">
        <is>
          <t>مناقصة رقم 2026/1: إعلان طرح المناقصة الخاصة بتقديم خدمات الانترنت</t>
        </is>
      </c>
      <c r="E80" s="13" t="inlineStr">
        <is>
          <t>أعمال وتوريدات إعلان طرح المناقصة الخاصة بتقديم خدمات الانترنت لصالح شركة ناقلات النفط الكويتية وفقاً للشروط والمواصفات المعتمدة في وثائق الطرح.</t>
        </is>
      </c>
      <c r="F8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80" s="14" t="inlineStr">
        <is>
          <t>عام</t>
        </is>
      </c>
      <c r="H80" s="14" t="inlineStr">
        <is>
          <t>0.0%</t>
        </is>
      </c>
      <c r="I80" s="14" t="inlineStr">
        <is>
          <t>government</t>
        </is>
      </c>
      <c r="J80" s="14" t="inlineStr">
        <is>
          <t>2026-09-13</t>
        </is>
      </c>
      <c r="K80" s="18" t="inlineStr">
        <is>
          <t>2026-10-20</t>
        </is>
      </c>
      <c r="L80" s="14" t="inlineStr">
        <is>
          <t>2500.0</t>
        </is>
      </c>
      <c r="M80" s="14" t="inlineStr">
        <is>
          <t>100.0</t>
        </is>
      </c>
      <c r="N80" s="25" t="inlineStr">
        <is>
          <t>NEW</t>
        </is>
      </c>
      <c r="O80" s="14" t="inlineStr">
        <is>
          <t>غير متوافقة مع اختصاصات KBM</t>
        </is>
      </c>
      <c r="P80" s="22">
        <f>HYPERLINK("https://kuwaitalyawm.media.gov.kw/Online/ViewAdsHTML?id=170514&amp;no=1", "عرض المصدر")</f>
        <v/>
      </c>
    </row>
    <row r="81">
      <c r="A81" s="11" t="inlineStr">
        <is>
          <t>RFQ/2163185</t>
        </is>
      </c>
      <c r="B81" s="11" t="inlineStr">
        <is>
          <t>شركة البترول الوطنية الكويتية</t>
        </is>
      </c>
      <c r="C81" s="11" t="inlineStr">
        <is>
          <t>Abrar Al-Qallaf</t>
        </is>
      </c>
      <c r="D81" s="11" t="inlineStr">
        <is>
          <t>ممارسة رقم RFQ/2163185: توريد مواد ومهمات تشغيلية لزوم شركة البترول الوطنية الكويتية - شركة البترول الوطنية الكويتية</t>
        </is>
      </c>
      <c r="E81" s="11" t="inlineStr">
        <is>
          <t>أعمال وتوريدات تخصصية لزوم شركة البترول الوطنية الكويتية حسب وثائق الممارسة رقم RFQ/2163185 عبر منصة K-Tendering.</t>
        </is>
      </c>
      <c r="F81" s="11" t="inlineStr">
        <is>
          <t>وفقاً لشروط وإجراءات المناقصات والتوريد لدى شركة البترول الوطنية الكويتية (KNPC) عبر منصة K-Tendering.</t>
        </is>
      </c>
      <c r="G81" s="12" t="inlineStr">
        <is>
          <t>عام</t>
        </is>
      </c>
      <c r="H81" s="12" t="inlineStr">
        <is>
          <t>15.0%</t>
        </is>
      </c>
      <c r="I81" s="12" t="inlineStr">
        <is>
          <t>oil_and_gas</t>
        </is>
      </c>
      <c r="J81" s="12" t="inlineStr">
        <is>
          <t>2026-09-13</t>
        </is>
      </c>
      <c r="K81" s="12" t="inlineStr">
        <is>
          <t>-</t>
        </is>
      </c>
      <c r="L81" s="12" t="inlineStr">
        <is>
          <t>-</t>
        </is>
      </c>
      <c r="M81" s="12" t="inlineStr">
        <is>
          <t>-</t>
        </is>
      </c>
      <c r="N81" s="25" t="inlineStr">
        <is>
          <t>NEW</t>
        </is>
      </c>
      <c r="O81" s="12" t="inlineStr">
        <is>
          <t>غير متوافقة</t>
        </is>
      </c>
      <c r="P81" s="23">
        <f>HYPERLINK("https://kuwaitalyawm.media.gov.kw/Online/ViewAdsHTML?id=170525&amp;no=1", "عرض المصدر")</f>
        <v/>
      </c>
    </row>
    <row r="82">
      <c r="A82" s="13" t="inlineStr">
        <is>
          <t>RFQ/2163729</t>
        </is>
      </c>
      <c r="B82" s="13" t="inlineStr">
        <is>
          <t>شركة البترول الوطنية الكويتية</t>
        </is>
      </c>
      <c r="C82" s="13" t="inlineStr">
        <is>
          <t>Abrar Al-Qallaf</t>
        </is>
      </c>
      <c r="D82" s="13" t="inlineStr">
        <is>
          <t>ممارسة رقم RFQ/2163729: توريد مواد ومهمات تشغيلية لزوم شركة البترول الوطنية الكويتية - شركة البترول الوطنية الكويتية</t>
        </is>
      </c>
      <c r="E82" s="13" t="inlineStr">
        <is>
          <t>أعمال وتوريدات تخصصية لزوم شركة البترول الوطنية الكويتية حسب وثائق الممارسة رقم RFQ/2163729 عبر منصة K-Tendering.</t>
        </is>
      </c>
      <c r="F82" s="13" t="inlineStr">
        <is>
          <t>وفقاً لشروط وإجراءات المناقصات والتوريد لدى شركة البترول الوطنية الكويتية (KNPC) عبر منصة K-Tendering.</t>
        </is>
      </c>
      <c r="G82" s="14" t="inlineStr">
        <is>
          <t>عام</t>
        </is>
      </c>
      <c r="H82" s="14" t="inlineStr">
        <is>
          <t>15.0%</t>
        </is>
      </c>
      <c r="I82" s="14" t="inlineStr">
        <is>
          <t>oil_and_gas</t>
        </is>
      </c>
      <c r="J82" s="14" t="inlineStr">
        <is>
          <t>2026-09-13</t>
        </is>
      </c>
      <c r="K82" s="14" t="inlineStr">
        <is>
          <t>-</t>
        </is>
      </c>
      <c r="L82" s="14" t="inlineStr">
        <is>
          <t>-</t>
        </is>
      </c>
      <c r="M82" s="14" t="inlineStr">
        <is>
          <t>-</t>
        </is>
      </c>
      <c r="N82" s="25" t="inlineStr">
        <is>
          <t>NEW</t>
        </is>
      </c>
      <c r="O82" s="14" t="inlineStr">
        <is>
          <t>غير متوافقة</t>
        </is>
      </c>
      <c r="P82" s="22">
        <f>HYPERLINK("https://kuwaitalyawm.media.gov.kw/Online/ViewAdsHTML?id=170526&amp;no=1", "عرض المصدر")</f>
        <v/>
      </c>
    </row>
    <row r="83">
      <c r="A83" s="11" t="inlineStr">
        <is>
          <t>RFQ/2160171</t>
        </is>
      </c>
      <c r="B83" s="11" t="inlineStr">
        <is>
          <t>شركة البترول الوطنية الكويتية</t>
        </is>
      </c>
      <c r="C83" s="11" t="inlineStr">
        <is>
          <t>Abrar Al-Qallaf</t>
        </is>
      </c>
      <c r="D83" s="11" t="inlineStr">
        <is>
          <t>ممارسة رقم RFQ/2160171: توريد مواد ومهمات تشغيلية لزوم شركة البترول الوطنية الكويتية - شركة البترول الوطنية الكويتية</t>
        </is>
      </c>
      <c r="E83" s="11" t="inlineStr">
        <is>
          <t>أعمال وتوريدات تخصصية لزوم شركة البترول الوطنية الكويتية حسب وثائق الممارسة رقم RFQ/2160171 عبر منصة K-Tendering.</t>
        </is>
      </c>
      <c r="F83" s="11" t="inlineStr">
        <is>
          <t>وفقاً لشروط وإجراءات المناقصات والتوريد لدى شركة البترول الوطنية الكويتية (KNPC) عبر منصة K-Tendering.</t>
        </is>
      </c>
      <c r="G83" s="12" t="inlineStr">
        <is>
          <t>عام</t>
        </is>
      </c>
      <c r="H83" s="12" t="inlineStr">
        <is>
          <t>15.0%</t>
        </is>
      </c>
      <c r="I83" s="12" t="inlineStr">
        <is>
          <t>oil_and_gas</t>
        </is>
      </c>
      <c r="J83" s="12" t="inlineStr">
        <is>
          <t>2026-08-30</t>
        </is>
      </c>
      <c r="K83" s="12" t="inlineStr">
        <is>
          <t>2026-10-05</t>
        </is>
      </c>
      <c r="L83" s="12" t="inlineStr">
        <is>
          <t>-</t>
        </is>
      </c>
      <c r="M83" s="12" t="inlineStr">
        <is>
          <t>-</t>
        </is>
      </c>
      <c r="N83" s="25" t="inlineStr">
        <is>
          <t>NEW</t>
        </is>
      </c>
      <c r="O83" s="12" t="inlineStr">
        <is>
          <t>غير متوافقة</t>
        </is>
      </c>
      <c r="P83" s="23">
        <f>HYPERLINK("https://kuwaitalyawm.media.gov.kw/Online/ViewAdsHTML?id=170527&amp;no=1", "عرض المصدر")</f>
        <v/>
      </c>
    </row>
    <row r="84">
      <c r="A84" s="13" t="inlineStr">
        <is>
          <t>RFQ/2162788</t>
        </is>
      </c>
      <c r="B84" s="13" t="inlineStr">
        <is>
          <t>شركة البترول الوطنية الكويتية</t>
        </is>
      </c>
      <c r="C84" s="13" t="inlineStr">
        <is>
          <t>Abrar Al-Qallaf</t>
        </is>
      </c>
      <c r="D84" s="13" t="inlineStr">
        <is>
          <t>ممارسة رقم RFQ/2162788: توريد مواد ومهمات تشغيلية لزوم شركة البترول الوطنية الكويتية - شركة البترول الوطنية الكويتية</t>
        </is>
      </c>
      <c r="E84" s="13" t="inlineStr">
        <is>
          <t>أعمال وتوريدات تخصصية لزوم شركة البترول الوطنية الكويتية حسب وثائق الممارسة رقم RFQ/2162788 عبر منصة K-Tendering.</t>
        </is>
      </c>
      <c r="F84" s="13" t="inlineStr">
        <is>
          <t>وفقاً لشروط وإجراءات المناقصات والتوريد لدى شركة البترول الوطنية الكويتية (KNPC) عبر منصة K-Tendering.</t>
        </is>
      </c>
      <c r="G84" s="14" t="inlineStr">
        <is>
          <t>عام</t>
        </is>
      </c>
      <c r="H84" s="14" t="inlineStr">
        <is>
          <t>15.0%</t>
        </is>
      </c>
      <c r="I84" s="14" t="inlineStr">
        <is>
          <t>oil_and_gas</t>
        </is>
      </c>
      <c r="J84" s="14" t="inlineStr">
        <is>
          <t>2026-08-30</t>
        </is>
      </c>
      <c r="K84" s="14" t="inlineStr">
        <is>
          <t>-</t>
        </is>
      </c>
      <c r="L84" s="14" t="inlineStr">
        <is>
          <t>-</t>
        </is>
      </c>
      <c r="M84" s="14" t="inlineStr">
        <is>
          <t>-</t>
        </is>
      </c>
      <c r="N84" s="25" t="inlineStr">
        <is>
          <t>NEW</t>
        </is>
      </c>
      <c r="O84" s="14" t="inlineStr">
        <is>
          <t>غير متوافقة</t>
        </is>
      </c>
      <c r="P84" s="22">
        <f>HYPERLINK("https://kuwaitalyawm.media.gov.kw/Online/ViewAdsHTML?id=170528&amp;no=1", "عرض المصدر")</f>
        <v/>
      </c>
    </row>
    <row r="85">
      <c r="A85" s="11" t="inlineStr">
        <is>
          <t>RFQ/2161574</t>
        </is>
      </c>
      <c r="B85" s="11" t="inlineStr">
        <is>
          <t>شركة البترول الوطنية الكويتية</t>
        </is>
      </c>
      <c r="C85" s="11" t="inlineStr">
        <is>
          <t>Abrar Al-Qallaf</t>
        </is>
      </c>
      <c r="D85" s="11" t="inlineStr">
        <is>
          <t>ممارسة رقم RFQ/2161574: توريد مواد ومهمات تشغيلية لزوم شركة البترول الوطنية الكويتية - شركة البترول الوطنية الكويتية</t>
        </is>
      </c>
      <c r="E85" s="11" t="inlineStr">
        <is>
          <t>أعمال وتوريدات تخصصية لزوم شركة البترول الوطنية الكويتية حسب وثائق الممارسة رقم RFQ/2161574 عبر منصة K-Tendering.</t>
        </is>
      </c>
      <c r="F85" s="11" t="inlineStr">
        <is>
          <t>وفقاً لشروط وإجراءات المناقصات والتوريد لدى شركة البترول الوطنية الكويتية (KNPC) عبر منصة K-Tendering.</t>
        </is>
      </c>
      <c r="G85" s="12" t="inlineStr">
        <is>
          <t>عام</t>
        </is>
      </c>
      <c r="H85" s="12" t="inlineStr">
        <is>
          <t>15.0%</t>
        </is>
      </c>
      <c r="I85" s="12" t="inlineStr">
        <is>
          <t>oil_and_gas</t>
        </is>
      </c>
      <c r="J85" s="12" t="inlineStr">
        <is>
          <t>2026-09-13</t>
        </is>
      </c>
      <c r="K85" s="12" t="inlineStr">
        <is>
          <t>2026-09-14</t>
        </is>
      </c>
      <c r="L85" s="12" t="inlineStr">
        <is>
          <t>-</t>
        </is>
      </c>
      <c r="M85" s="12" t="inlineStr">
        <is>
          <t>-</t>
        </is>
      </c>
      <c r="N85" s="25" t="inlineStr">
        <is>
          <t>NEW</t>
        </is>
      </c>
      <c r="O85" s="12" t="inlineStr">
        <is>
          <t>غير متوافقة</t>
        </is>
      </c>
      <c r="P85" s="23">
        <f>HYPERLINK("https://kuwaitalyawm.media.gov.kw/Online/ViewAdsHTML?id=170529&amp;no=1", "عرض المصدر")</f>
        <v/>
      </c>
    </row>
    <row r="86">
      <c r="A86" s="13" t="inlineStr">
        <is>
          <t>RFQ/2163773</t>
        </is>
      </c>
      <c r="B86" s="13" t="inlineStr">
        <is>
          <t>شركة البترول الوطنية الكويتية</t>
        </is>
      </c>
      <c r="C86" s="13" t="inlineStr">
        <is>
          <t>Abrar Al-Qallaf</t>
        </is>
      </c>
      <c r="D86" s="13" t="inlineStr">
        <is>
          <t>ممارسة رقم RFQ/2163773: توريد مواد ومهمات تشغيلية لزوم شركة البترول الوطنية الكويتية - شركة البترول الوطنية الكويتية</t>
        </is>
      </c>
      <c r="E86" s="13" t="inlineStr">
        <is>
          <t>أعمال وتوريدات تخصصية لزوم شركة البترول الوطنية الكويتية حسب وثائق الممارسة رقم RFQ/2163773 عبر منصة K-Tendering.</t>
        </is>
      </c>
      <c r="F86" s="13" t="inlineStr">
        <is>
          <t>وفقاً لشروط وإجراءات المناقصات والتوريد لدى شركة البترول الوطنية الكويتية (KNPC) عبر منصة K-Tendering.</t>
        </is>
      </c>
      <c r="G86" s="14" t="inlineStr">
        <is>
          <t>عام</t>
        </is>
      </c>
      <c r="H86" s="14" t="inlineStr">
        <is>
          <t>15.0%</t>
        </is>
      </c>
      <c r="I86" s="14" t="inlineStr">
        <is>
          <t>oil_and_gas</t>
        </is>
      </c>
      <c r="J86" s="14" t="inlineStr">
        <is>
          <t>2026-09-13</t>
        </is>
      </c>
      <c r="K86" s="14" t="inlineStr">
        <is>
          <t>-</t>
        </is>
      </c>
      <c r="L86" s="14" t="inlineStr">
        <is>
          <t>-</t>
        </is>
      </c>
      <c r="M86" s="14" t="inlineStr">
        <is>
          <t>-</t>
        </is>
      </c>
      <c r="N86" s="25" t="inlineStr">
        <is>
          <t>NEW</t>
        </is>
      </c>
      <c r="O86" s="14" t="inlineStr">
        <is>
          <t>غير متوافقة</t>
        </is>
      </c>
      <c r="P86" s="22">
        <f>HYPERLINK("https://kuwaitalyawm.media.gov.kw/Online/ViewAdsHTML?id=170530&amp;no=1", "عرض المصدر")</f>
        <v/>
      </c>
    </row>
    <row r="87">
      <c r="A87" s="11" t="inlineStr">
        <is>
          <t>RFQ/2166412</t>
        </is>
      </c>
      <c r="B87" s="11" t="inlineStr">
        <is>
          <t>شركة البترول الوطنية الكويتية</t>
        </is>
      </c>
      <c r="C87" s="11" t="inlineStr">
        <is>
          <t>Abrar Al-Qallaf</t>
        </is>
      </c>
      <c r="D87" s="11" t="inlineStr">
        <is>
          <t>ممارسة رقم RFQ/2166412: توريد مواد ومهمات تشغيلية لزوم شركة البترول الوطنية الكويتية - شركة البترول الوطنية الكويتية</t>
        </is>
      </c>
      <c r="E87" s="11" t="inlineStr">
        <is>
          <t>أعمال وتوريدات تخصصية لزوم شركة البترول الوطنية الكويتية حسب وثائق الممارسة رقم RFQ/2166412 عبر منصة K-Tendering.</t>
        </is>
      </c>
      <c r="F87" s="11" t="inlineStr">
        <is>
          <t>وفقاً لشروط وإجراءات المناقصات والتوريد لدى شركة البترول الوطنية الكويتية (KNPC) عبر منصة K-Tendering.</t>
        </is>
      </c>
      <c r="G87" s="12" t="inlineStr">
        <is>
          <t>عام</t>
        </is>
      </c>
      <c r="H87" s="12" t="inlineStr">
        <is>
          <t>15.0%</t>
        </is>
      </c>
      <c r="I87" s="12" t="inlineStr">
        <is>
          <t>oil_and_gas</t>
        </is>
      </c>
      <c r="J87" s="12" t="inlineStr">
        <is>
          <t>2026-09-13</t>
        </is>
      </c>
      <c r="K87" s="12" t="inlineStr">
        <is>
          <t>2026-12-14</t>
        </is>
      </c>
      <c r="L87" s="12" t="inlineStr">
        <is>
          <t>15000.0</t>
        </is>
      </c>
      <c r="M87" s="12" t="inlineStr">
        <is>
          <t>-</t>
        </is>
      </c>
      <c r="N87" s="25" t="inlineStr">
        <is>
          <t>NEW</t>
        </is>
      </c>
      <c r="O87" s="12" t="inlineStr">
        <is>
          <t>غير متوافقة</t>
        </is>
      </c>
      <c r="P87" s="23">
        <f>HYPERLINK("https://kuwaitalyawm.media.gov.kw/Online/ViewAdsHTML?id=170531&amp;no=1", "عرض المصدر")</f>
        <v/>
      </c>
    </row>
    <row r="88">
      <c r="A88" s="13" t="inlineStr">
        <is>
          <t>RFQ/2167182</t>
        </is>
      </c>
      <c r="B88" s="13" t="inlineStr">
        <is>
          <t>شركة البترول الوطنية الكويتية</t>
        </is>
      </c>
      <c r="C88" s="13" t="inlineStr">
        <is>
          <t>Abrar Al-Qallaf</t>
        </is>
      </c>
      <c r="D88" s="13" t="inlineStr">
        <is>
          <t>ممارسة رقم RFQ/2167182: توريد مواد ومهمات تشغيلية لزوم شركة البترول الوطنية الكويتية - شركة البترول الوطنية الكويتية</t>
        </is>
      </c>
      <c r="E88" s="13" t="inlineStr">
        <is>
          <t>أعمال وتوريدات تخصصية لزوم شركة البترول الوطنية الكويتية حسب وثائق الممارسة رقم RFQ/2167182 عبر منصة K-Tendering.</t>
        </is>
      </c>
      <c r="F88" s="13" t="inlineStr">
        <is>
          <t>وفقاً لشروط وإجراءات المناقصات والتوريد لدى شركة البترول الوطنية الكويتية (KNPC) عبر منصة K-Tendering.</t>
        </is>
      </c>
      <c r="G88" s="14" t="inlineStr">
        <is>
          <t>عام</t>
        </is>
      </c>
      <c r="H88" s="14" t="inlineStr">
        <is>
          <t>15.0%</t>
        </is>
      </c>
      <c r="I88" s="14" t="inlineStr">
        <is>
          <t>oil_and_gas</t>
        </is>
      </c>
      <c r="J88" s="14" t="inlineStr">
        <is>
          <t>2026-09-13</t>
        </is>
      </c>
      <c r="K88" s="14" t="inlineStr">
        <is>
          <t>2026-12-21</t>
        </is>
      </c>
      <c r="L88" s="14" t="inlineStr">
        <is>
          <t>2500.0</t>
        </is>
      </c>
      <c r="M88" s="14" t="inlineStr">
        <is>
          <t>-</t>
        </is>
      </c>
      <c r="N88" s="25" t="inlineStr">
        <is>
          <t>NEW</t>
        </is>
      </c>
      <c r="O88" s="14" t="inlineStr">
        <is>
          <t>غير متوافقة</t>
        </is>
      </c>
      <c r="P88" s="22">
        <f>HYPERLINK("https://kuwaitalyawm.media.gov.kw/Online/ViewAdsHTML?id=170532&amp;no=1", "عرض المصدر")</f>
        <v/>
      </c>
    </row>
    <row r="89">
      <c r="A89" s="11" t="inlineStr">
        <is>
          <t>RFQ/2167044</t>
        </is>
      </c>
      <c r="B89" s="11" t="inlineStr">
        <is>
          <t>شركة البترول الوطنية الكويتية</t>
        </is>
      </c>
      <c r="C89" s="11" t="inlineStr">
        <is>
          <t>Abrar Al-Qallaf</t>
        </is>
      </c>
      <c r="D89" s="11" t="inlineStr">
        <is>
          <t>ممارسة رقم RFQ/2167044: توريد مواد ومهمات تشغيلية لزوم شركة البترول الوطنية الكويتية - شركة البترول الوطنية الكويتية</t>
        </is>
      </c>
      <c r="E89" s="11" t="inlineStr">
        <is>
          <t>أعمال وتوريدات تخصصية لزوم شركة البترول الوطنية الكويتية حسب وثائق الممارسة رقم RFQ/2167044 عبر منصة K-Tendering.</t>
        </is>
      </c>
      <c r="F89" s="11" t="inlineStr">
        <is>
          <t>وفقاً لشروط وإجراءات المناقصات والتوريد لدى شركة البترول الوطنية الكويتية (KNPC) عبر منصة K-Tendering.</t>
        </is>
      </c>
      <c r="G89" s="12" t="inlineStr">
        <is>
          <t>عام</t>
        </is>
      </c>
      <c r="H89" s="12" t="inlineStr">
        <is>
          <t>15.0%</t>
        </is>
      </c>
      <c r="I89" s="12" t="inlineStr">
        <is>
          <t>oil_and_gas</t>
        </is>
      </c>
      <c r="J89" s="12" t="inlineStr">
        <is>
          <t>2026-09-13</t>
        </is>
      </c>
      <c r="K89" s="12" t="inlineStr">
        <is>
          <t>2026-12-21</t>
        </is>
      </c>
      <c r="L89" s="12" t="inlineStr">
        <is>
          <t>1000.0</t>
        </is>
      </c>
      <c r="M89" s="12" t="inlineStr">
        <is>
          <t>100.0</t>
        </is>
      </c>
      <c r="N89" s="25" t="inlineStr">
        <is>
          <t>NEW</t>
        </is>
      </c>
      <c r="O89" s="12" t="inlineStr">
        <is>
          <t>غير متوافقة</t>
        </is>
      </c>
      <c r="P89" s="23">
        <f>HYPERLINK("https://kuwaitalyawm.media.gov.kw/Online/ViewAdsHTML?id=170533&amp;no=1", "عرض المصدر")</f>
        <v/>
      </c>
    </row>
    <row r="90">
      <c r="A90" s="13" t="inlineStr">
        <is>
          <t>RFQ/2163441</t>
        </is>
      </c>
      <c r="B90" s="13" t="inlineStr">
        <is>
          <t>شركة البترول الوطنية الكويتية</t>
        </is>
      </c>
      <c r="C90" s="13" t="inlineStr">
        <is>
          <t>Abrar Al-Qallaf</t>
        </is>
      </c>
      <c r="D90" s="13" t="inlineStr">
        <is>
          <t>ممارسة رقم RFQ/2163441: توريد مواد ومهمات تشغيلية لزوم شركة البترول الوطنية الكويتية - شركة البترول الوطنية الكويتية</t>
        </is>
      </c>
      <c r="E90" s="13" t="inlineStr">
        <is>
          <t>أعمال وتوريدات تخصصية لزوم شركة البترول الوطنية الكويتية حسب وثائق الممارسة رقم RFQ/2163441 عبر منصة K-Tendering.</t>
        </is>
      </c>
      <c r="F90" s="13" t="inlineStr">
        <is>
          <t>وفقاً لشروط وإجراءات المناقصات والتوريد لدى شركة البترول الوطنية الكويتية (KNPC) عبر منصة K-Tendering.</t>
        </is>
      </c>
      <c r="G90" s="14" t="inlineStr">
        <is>
          <t>عام</t>
        </is>
      </c>
      <c r="H90" s="14" t="inlineStr">
        <is>
          <t>15.0%</t>
        </is>
      </c>
      <c r="I90" s="14" t="inlineStr">
        <is>
          <t>oil_and_gas</t>
        </is>
      </c>
      <c r="J90" s="14" t="inlineStr">
        <is>
          <t>2026-09-13</t>
        </is>
      </c>
      <c r="K90" s="14" t="inlineStr">
        <is>
          <t>2026-12-14</t>
        </is>
      </c>
      <c r="L90" s="14" t="inlineStr">
        <is>
          <t>1000.0</t>
        </is>
      </c>
      <c r="M90" s="14" t="inlineStr">
        <is>
          <t>100.0</t>
        </is>
      </c>
      <c r="N90" s="25" t="inlineStr">
        <is>
          <t>NEW</t>
        </is>
      </c>
      <c r="O90" s="14" t="inlineStr">
        <is>
          <t>غير متوافقة</t>
        </is>
      </c>
      <c r="P90" s="22">
        <f>HYPERLINK("https://kuwaitalyawm.media.gov.kw/Online/ViewAdsHTML?id=170534&amp;no=1", "عرض المصدر")</f>
        <v/>
      </c>
    </row>
    <row r="91">
      <c r="A91" s="11" t="inlineStr">
        <is>
          <t>RFP/2161845</t>
        </is>
      </c>
      <c r="B91" s="11" t="inlineStr">
        <is>
          <t>شركة البترول الوطنية الكويتية</t>
        </is>
      </c>
      <c r="C91" s="11" t="inlineStr">
        <is>
          <t>Abrar Al-Qallaf</t>
        </is>
      </c>
      <c r="D91" s="11" t="inlineStr">
        <is>
          <t>ممارسة رقم RFP/2161845: توريد مواد ومهمات تشغيلية لزوم شركة البترول الوطنية الكويتية - شركة البترول الوطنية الكويتية</t>
        </is>
      </c>
      <c r="E91" s="11" t="inlineStr">
        <is>
          <t>أعمال وتوريدات تخصصية لزوم شركة البترول الوطنية الكويتية حسب وثائق الممارسة رقم RFP/2161845 عبر منصة K-Tendering.</t>
        </is>
      </c>
      <c r="F91" s="11" t="inlineStr">
        <is>
          <t>وفقاً لشروط وإجراءات المناقصات والتوريد لدى شركة البترول الوطنية الكويتية (KNPC) عبر منصة K-Tendering.</t>
        </is>
      </c>
      <c r="G91" s="12" t="inlineStr">
        <is>
          <t>عام</t>
        </is>
      </c>
      <c r="H91" s="12" t="inlineStr">
        <is>
          <t>15.0%</t>
        </is>
      </c>
      <c r="I91" s="12" t="inlineStr">
        <is>
          <t>oil_and_gas</t>
        </is>
      </c>
      <c r="J91" s="12" t="inlineStr">
        <is>
          <t>2026-09-13</t>
        </is>
      </c>
      <c r="K91" s="12" t="inlineStr">
        <is>
          <t>2026-10-12</t>
        </is>
      </c>
      <c r="L91" s="12" t="inlineStr">
        <is>
          <t>30000.0</t>
        </is>
      </c>
      <c r="M91" s="12" t="inlineStr">
        <is>
          <t>-</t>
        </is>
      </c>
      <c r="N91" s="25" t="inlineStr">
        <is>
          <t>NEW</t>
        </is>
      </c>
      <c r="O91" s="12" t="inlineStr">
        <is>
          <t>غير متوافقة</t>
        </is>
      </c>
      <c r="P91" s="23">
        <f>HYPERLINK("https://kuwaitalyawm.media.gov.kw/Online/ViewAdsHTML?id=170535&amp;no=1", "عرض المصدر")</f>
        <v/>
      </c>
    </row>
    <row r="92">
      <c r="A92" s="13" t="inlineStr">
        <is>
          <t>RFP/2161888</t>
        </is>
      </c>
      <c r="B92" s="13" t="inlineStr">
        <is>
          <t>شركة البترول الوطنية الكويتية</t>
        </is>
      </c>
      <c r="C92" s="13" t="inlineStr">
        <is>
          <t>Abrar Al-Qallaf</t>
        </is>
      </c>
      <c r="D92" s="13" t="inlineStr">
        <is>
          <t>ممارسة رقم RFP/2161888: توريد مواد ومهمات تشغيلية لزوم شركة البترول الوطنية الكويتية - شركة البترول الوطنية الكويتية</t>
        </is>
      </c>
      <c r="E92" s="13" t="inlineStr">
        <is>
          <t>أعمال وتوريدات تخصصية لزوم شركة البترول الوطنية الكويتية حسب وثائق الممارسة رقم RFP/2161888 عبر منصة K-Tendering.</t>
        </is>
      </c>
      <c r="F92" s="13" t="inlineStr">
        <is>
          <t>وفقاً لشروط وإجراءات المناقصات والتوريد لدى شركة البترول الوطنية الكويتية (KNPC) عبر منصة K-Tendering.</t>
        </is>
      </c>
      <c r="G92" s="14" t="inlineStr">
        <is>
          <t>عام</t>
        </is>
      </c>
      <c r="H92" s="14" t="inlineStr">
        <is>
          <t>15.0%</t>
        </is>
      </c>
      <c r="I92" s="14" t="inlineStr">
        <is>
          <t>oil_and_gas</t>
        </is>
      </c>
      <c r="J92" s="14" t="inlineStr">
        <is>
          <t>2026-09-13</t>
        </is>
      </c>
      <c r="K92" s="14" t="inlineStr">
        <is>
          <t>-</t>
        </is>
      </c>
      <c r="L92" s="14" t="inlineStr">
        <is>
          <t>-</t>
        </is>
      </c>
      <c r="M92" s="14" t="inlineStr">
        <is>
          <t>250.0</t>
        </is>
      </c>
      <c r="N92" s="25" t="inlineStr">
        <is>
          <t>NEW</t>
        </is>
      </c>
      <c r="O92" s="14" t="inlineStr">
        <is>
          <t>غير متوافقة</t>
        </is>
      </c>
      <c r="P92" s="22">
        <f>HYPERLINK("https://kuwaitalyawm.media.gov.kw/Online/ViewAdsHTML?id=170536&amp;no=1", "عرض المصدر")</f>
        <v/>
      </c>
    </row>
    <row r="93">
      <c r="A93" s="11" t="inlineStr">
        <is>
          <t>CATEGORY KS 01.21</t>
        </is>
      </c>
      <c r="B93" s="11" t="inlineStr">
        <is>
          <t>شركة نفط الكويت</t>
        </is>
      </c>
      <c r="C93" s="11" t="inlineStr">
        <is>
          <t>Ahmed Habib</t>
        </is>
      </c>
      <c r="D93" s="11" t="inlineStr">
        <is>
          <t>مناقصة رقم CATEGORY KS 01.21 - شركة نفط الكويت</t>
        </is>
      </c>
      <c r="E93" s="11" t="inlineStr">
        <is>
          <t>أعمال وتوريدات مناقصة رقم CATEGORY KS 01.21 لصالح شركة نفط الكويت وفقاً للشروط والمواصفات المعتمدة في وثائق الطرح.</t>
        </is>
      </c>
      <c r="F9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93" s="12" t="inlineStr">
        <is>
          <t>عام</t>
        </is>
      </c>
      <c r="H93" s="12" t="inlineStr">
        <is>
          <t>15.0%</t>
        </is>
      </c>
      <c r="I93" s="12" t="inlineStr">
        <is>
          <t>government</t>
        </is>
      </c>
      <c r="J93" s="12" t="inlineStr">
        <is>
          <t>2026-09-13</t>
        </is>
      </c>
      <c r="K93" s="12" t="inlineStr">
        <is>
          <t>-</t>
        </is>
      </c>
      <c r="L93" s="12" t="inlineStr">
        <is>
          <t>-</t>
        </is>
      </c>
      <c r="M93" s="12" t="inlineStr">
        <is>
          <t>-</t>
        </is>
      </c>
      <c r="N93" s="25" t="inlineStr">
        <is>
          <t>NEW</t>
        </is>
      </c>
      <c r="O93" s="12" t="inlineStr">
        <is>
          <t>غير متوافقة مع اختصاصات KBM</t>
        </is>
      </c>
      <c r="P93" s="23">
        <f>HYPERLINK("https://kuwaitalyawm.media.gov.kw/Online/ViewAdsHTML?id=170537&amp;no=1", "عرض المصدر")</f>
        <v/>
      </c>
    </row>
    <row r="94">
      <c r="A94" s="13" t="inlineStr">
        <is>
          <t>24114235253</t>
        </is>
      </c>
      <c r="B94" s="13" t="inlineStr">
        <is>
          <t>وزارة الدفاع</t>
        </is>
      </c>
      <c r="C94" s="13" t="inlineStr">
        <is>
          <t>Eiman Ashkanani</t>
        </is>
      </c>
      <c r="D94" s="13" t="inlineStr">
        <is>
          <t>مناقصة رقم 24114235253: لإصلاح وصيانة القاطرات والمقطورات والآليات المتوسطة شامل</t>
        </is>
      </c>
      <c r="E94" s="13" t="inlineStr">
        <is>
          <t>أعمال وتوريدات لإصلاح وصيانة القاطرات والمقطورات والآليات المتوسطة شامل لصالح وزارة الدفاع وفقاً للشروط والمواصفات المعتمدة في وثائق الطرح.</t>
        </is>
      </c>
      <c r="F94" s="13" t="inlineStr">
        <is>
          <t>• 1- كتاب تفويض من الشركة / المؤسسة بشراء الوثائق .
• 2- أن تكون الشركة / المؤسسة متخصصة فى هذا المجال مع تقديم الأوراق الدالة على نشاطه .
• 3- تقديم صورة عن شهادة دعم العمالة الوطنية السنوية لدى الشركات غير الحكومية شريطة أن تكون سارية .
• 4- سداد الرسوم المقررة لشراء وثائق المناقصة عن طريق (K-NET ) .</t>
        </is>
      </c>
      <c r="G94" s="14" t="inlineStr">
        <is>
          <t>عام</t>
        </is>
      </c>
      <c r="H94" s="14" t="inlineStr">
        <is>
          <t>15.0%</t>
        </is>
      </c>
      <c r="I94" s="14" t="inlineStr">
        <is>
          <t>government</t>
        </is>
      </c>
      <c r="J94" s="14" t="inlineStr">
        <is>
          <t>2026-09-06</t>
        </is>
      </c>
      <c r="K94" s="14" t="inlineStr">
        <is>
          <t>2026-10-04</t>
        </is>
      </c>
      <c r="L94" s="14" t="inlineStr">
        <is>
          <t>2.0</t>
        </is>
      </c>
      <c r="M94" s="14" t="inlineStr">
        <is>
          <t>1000.0</t>
        </is>
      </c>
      <c r="N94" s="25" t="inlineStr">
        <is>
          <t>NEW</t>
        </is>
      </c>
      <c r="O94" s="14" t="inlineStr">
        <is>
          <t>غير متوافقة مع اختصاصات KBM</t>
        </is>
      </c>
      <c r="P94" s="22">
        <f>HYPERLINK("https://kuwaitalyawm.media.gov.kw/Online/ViewAdsHTML?id=169152&amp;no=1", "عرض المصدر")</f>
        <v/>
      </c>
    </row>
    <row r="95">
      <c r="A95" s="11" t="inlineStr">
        <is>
          <t>2027/2026/1532</t>
        </is>
      </c>
      <c r="B95" s="11" t="inlineStr">
        <is>
          <t>المؤسسة العامة للرعاية السكنية</t>
        </is>
      </c>
      <c r="C95" s="11" t="inlineStr">
        <is>
          <t>Eiman Ashkanani</t>
        </is>
      </c>
      <c r="D95" s="11" t="inlineStr">
        <is>
          <t>مناقصة رقم 2027/2026/1532: تاريخ الإقفال وتقديم العطاءات: 24/9/2026 بدلا من 6/9/2026م.</t>
        </is>
      </c>
      <c r="E95" s="11" t="inlineStr">
        <is>
          <t>أعمال وتوريدات 24/9/2026 بدلا من 6/9/2026م. لصالح المؤسسة العامة للرعاية السكنية وفقاً للشروط والمواصفات المعتمدة في وثائق الطرح.</t>
        </is>
      </c>
      <c r="F9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95" s="12" t="inlineStr">
        <is>
          <t>عام</t>
        </is>
      </c>
      <c r="H95" s="12" t="inlineStr">
        <is>
          <t>28.0%</t>
        </is>
      </c>
      <c r="I95" s="12" t="inlineStr">
        <is>
          <t>government</t>
        </is>
      </c>
      <c r="J95" s="12" t="inlineStr">
        <is>
          <t>2026-09-06</t>
        </is>
      </c>
      <c r="K95" s="12" t="inlineStr">
        <is>
          <t>2026-09-24</t>
        </is>
      </c>
      <c r="L95" s="12" t="inlineStr">
        <is>
          <t>-</t>
        </is>
      </c>
      <c r="M95" s="12" t="inlineStr">
        <is>
          <t>-</t>
        </is>
      </c>
      <c r="N95" s="25" t="inlineStr">
        <is>
          <t>NEW</t>
        </is>
      </c>
      <c r="O95" s="12" t="inlineStr">
        <is>
          <t>غير متوافقة مع اختصاصات KBM</t>
        </is>
      </c>
      <c r="P95" s="23">
        <f>HYPERLINK("https://kuwaitalyawm.media.gov.kw/Online/ViewAdsHTML?id=169402&amp;no=1", "عرض المصدر")</f>
        <v/>
      </c>
    </row>
    <row r="96">
      <c r="A96" s="13" t="inlineStr">
        <is>
          <t>507</t>
        </is>
      </c>
      <c r="B96" s="13" t="inlineStr">
        <is>
          <t>مؤسسة البترول الكويتية</t>
        </is>
      </c>
      <c r="C96" s="13" t="inlineStr">
        <is>
          <t>Eiman Ashkanani</t>
        </is>
      </c>
      <c r="D96" s="13" t="inlineStr">
        <is>
          <t>مناقصة رقم 507: استئجار آلات تصوير مستندات</t>
        </is>
      </c>
      <c r="E96" s="13" t="inlineStr">
        <is>
          <t>أعمال وتوريدات استئجار آلات تصوير مستندات لصالح مؤسسة البترول الكويتية وفقاً للشروط والمواصفات المعتمدة في وثائق الطرح.</t>
        </is>
      </c>
      <c r="F9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96" s="14" t="inlineStr">
        <is>
          <t>عام</t>
        </is>
      </c>
      <c r="H96" s="14" t="inlineStr">
        <is>
          <t>0.0%</t>
        </is>
      </c>
      <c r="I96" s="14" t="inlineStr">
        <is>
          <t>government</t>
        </is>
      </c>
      <c r="J96" s="14" t="inlineStr">
        <is>
          <t>2026-09-06</t>
        </is>
      </c>
      <c r="K96" s="14" t="inlineStr">
        <is>
          <t>2026-10-13</t>
        </is>
      </c>
      <c r="L96" s="14" t="inlineStr">
        <is>
          <t>2500.0</t>
        </is>
      </c>
      <c r="M96" s="14" t="inlineStr">
        <is>
          <t>100.0</t>
        </is>
      </c>
      <c r="N96" s="25" t="inlineStr">
        <is>
          <t>NEW</t>
        </is>
      </c>
      <c r="O96" s="14" t="inlineStr">
        <is>
          <t>غير متوافقة مع اختصاصات KBM</t>
        </is>
      </c>
      <c r="P96" s="22">
        <f>HYPERLINK("https://kuwaitalyawm.media.gov.kw/Online/ViewAdsHTML?id=169407&amp;no=1", "عرض المصدر")</f>
        <v/>
      </c>
    </row>
    <row r="97">
      <c r="A97" s="11" t="inlineStr">
        <is>
          <t>CB CPC 2551</t>
        </is>
      </c>
      <c r="B97" s="11" t="inlineStr">
        <is>
          <t>شركة البترول الوطنية الكويتية</t>
        </is>
      </c>
      <c r="C97" s="11" t="inlineStr">
        <is>
          <t>Abrar Al-Qallaf</t>
        </is>
      </c>
      <c r="D97" s="11" t="inlineStr">
        <is>
          <t>ممارسة رقم CB CPC 2551: توريد مواد ومهمات تشغيلية لزوم شركة البترول الوطنية الكويتية - شركة البترول الوطنية الكويتية</t>
        </is>
      </c>
      <c r="E97" s="11" t="inlineStr">
        <is>
          <t>أعمال وتوريدات تخصصية لزوم شركة البترول الوطنية الكويتية حسب وثائق الممارسة رقم CB CPC 2551 عبر منصة K-Tendering.</t>
        </is>
      </c>
      <c r="F97" s="11" t="inlineStr">
        <is>
          <t>وفقاً لشروط وإجراءات المناقصات والتوريد لدى شركة البترول الوطنية الكويتية (KNPC) عبر منصة K-Tendering.</t>
        </is>
      </c>
      <c r="G97" s="12" t="inlineStr">
        <is>
          <t>عام</t>
        </is>
      </c>
      <c r="H97" s="12" t="inlineStr">
        <is>
          <t>15.0%</t>
        </is>
      </c>
      <c r="I97" s="12" t="inlineStr">
        <is>
          <t>oil_and_gas</t>
        </is>
      </c>
      <c r="J97" s="12" t="inlineStr">
        <is>
          <t>2026-09-06</t>
        </is>
      </c>
      <c r="K97" s="12" t="inlineStr">
        <is>
          <t>-</t>
        </is>
      </c>
      <c r="L97" s="12" t="inlineStr">
        <is>
          <t>-</t>
        </is>
      </c>
      <c r="M97" s="12" t="inlineStr">
        <is>
          <t>-</t>
        </is>
      </c>
      <c r="N97" s="25" t="inlineStr">
        <is>
          <t>NEW</t>
        </is>
      </c>
      <c r="O97" s="12" t="inlineStr">
        <is>
          <t>غير متوافقة</t>
        </is>
      </c>
      <c r="P97" s="23">
        <f>HYPERLINK("https://kuwaitalyawm.media.gov.kw/Online/ViewAdsHTML?id=169420&amp;no=1", "عرض المصدر")</f>
        <v/>
      </c>
    </row>
    <row r="98">
      <c r="A98" s="13" t="inlineStr">
        <is>
          <t>RFQ 1061885</t>
        </is>
      </c>
      <c r="B98" s="13" t="inlineStr">
        <is>
          <t>شركة البترول الوطنية الكويتية</t>
        </is>
      </c>
      <c r="C98" s="13" t="inlineStr">
        <is>
          <t>Abrar Al-Qallaf</t>
        </is>
      </c>
      <c r="D98" s="13" t="inlineStr">
        <is>
          <t>ممارسة رقم RFQ 1061885: توريد مواد ومهمات تشغيلية لزوم شركة البترول الوطنية الكويتية - شركة البترول الوطنية الكويتية</t>
        </is>
      </c>
      <c r="E98" s="13" t="inlineStr">
        <is>
          <t>أعمال وتوريدات تخصصية لزوم شركة البترول الوطنية الكويتية حسب وثائق الممارسة رقم RFQ 1061885 عبر منصة K-Tendering.</t>
        </is>
      </c>
      <c r="F98" s="13" t="inlineStr">
        <is>
          <t>وفقاً لشروط وإجراءات المناقصات والتوريد لدى شركة البترول الوطنية الكويتية (KNPC) عبر منصة K-Tendering.</t>
        </is>
      </c>
      <c r="G98" s="14" t="inlineStr">
        <is>
          <t>عام</t>
        </is>
      </c>
      <c r="H98" s="14" t="inlineStr">
        <is>
          <t>15.0%</t>
        </is>
      </c>
      <c r="I98" s="14" t="inlineStr">
        <is>
          <t>oil_and_gas</t>
        </is>
      </c>
      <c r="J98" s="14" t="inlineStr">
        <is>
          <t>2026-09-06</t>
        </is>
      </c>
      <c r="K98" s="14" t="inlineStr">
        <is>
          <t>-</t>
        </is>
      </c>
      <c r="L98" s="14" t="inlineStr">
        <is>
          <t>-</t>
        </is>
      </c>
      <c r="M98" s="14" t="inlineStr">
        <is>
          <t>-</t>
        </is>
      </c>
      <c r="N98" s="25" t="inlineStr">
        <is>
          <t>NEW</t>
        </is>
      </c>
      <c r="O98" s="14" t="inlineStr">
        <is>
          <t>غير متوافقة</t>
        </is>
      </c>
      <c r="P98" s="22">
        <f>HYPERLINK("https://kuwaitalyawm.media.gov.kw/Online/ViewAdsHTML?id=169422&amp;no=1", "عرض المصدر")</f>
        <v/>
      </c>
    </row>
    <row r="99">
      <c r="A99" s="11" t="inlineStr">
        <is>
          <t>MNA-14-2026</t>
        </is>
      </c>
      <c r="B99" s="11" t="inlineStr">
        <is>
          <t>شركة صناعة الكيماويات البترولية</t>
        </is>
      </c>
      <c r="C99" s="11" t="inlineStr">
        <is>
          <t>Abrar Al-Qallaf</t>
        </is>
      </c>
      <c r="D99" s="11" t="inlineStr">
        <is>
          <t>مناقصة رقم MNA-14-2026 - شركة صناعة الكيماويات البترولية</t>
        </is>
      </c>
      <c r="E99" s="11" t="inlineStr">
        <is>
          <t>أعمال وتوريدات مناقصة رقم MNA-14-2026 لصالح شركة صناعة الكيماويات البترولية وفقاً للشروط والمواصفات المعتمدة في وثائق الطرح.</t>
        </is>
      </c>
      <c r="F9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99" s="12" t="inlineStr">
        <is>
          <t>عام</t>
        </is>
      </c>
      <c r="H99" s="12" t="inlineStr">
        <is>
          <t>15.0%</t>
        </is>
      </c>
      <c r="I99" s="12" t="inlineStr">
        <is>
          <t>government</t>
        </is>
      </c>
      <c r="J99" s="12" t="inlineStr">
        <is>
          <t>2026-09-06</t>
        </is>
      </c>
      <c r="K99" s="12" t="inlineStr">
        <is>
          <t>2026-10-11</t>
        </is>
      </c>
      <c r="L99" s="12" t="inlineStr">
        <is>
          <t>750.0</t>
        </is>
      </c>
      <c r="M99" s="12" t="inlineStr">
        <is>
          <t>-</t>
        </is>
      </c>
      <c r="N99" s="25" t="inlineStr">
        <is>
          <t>NEW</t>
        </is>
      </c>
      <c r="O99" s="12" t="inlineStr">
        <is>
          <t>غير متوافقة مع اختصاصات KBM</t>
        </is>
      </c>
      <c r="P99" s="23">
        <f>HYPERLINK("https://kuwaitalyawm.media.gov.kw/Online/ViewAdsHTML?id=169423&amp;no=1", "عرض المصدر")</f>
        <v/>
      </c>
    </row>
    <row r="100">
      <c r="A100" s="13" t="inlineStr">
        <is>
          <t>MNA-19-2026</t>
        </is>
      </c>
      <c r="B100" s="13" t="inlineStr">
        <is>
          <t>شركة صناعة الكيماويات البترولية</t>
        </is>
      </c>
      <c r="C100" s="13" t="inlineStr">
        <is>
          <t>Abrar Al-Qallaf</t>
        </is>
      </c>
      <c r="D100" s="13" t="inlineStr">
        <is>
          <t>مناقصة رقم MNA-19-2026: Network Maintenance and Managed Network Support Services (صيانة الشبكات والدعم المدار) - شركة صناعة الكيماويات البترولية</t>
        </is>
      </c>
      <c r="E100" s="13" t="inlineStr">
        <is>
          <t>تقديم خدمات صيانة الشبكات والدعم الفني المدار (Managed Network Support Services)، دعم وإدارة أجهزة وسويتشات سيسكو (Cisco Switches &amp; Routers)، أجهزة أمن وحماية الشبكات، ودعم فني مدار على مدار الساعة 24x7 لشركة PIC.</t>
        </is>
      </c>
      <c r="F100" s="13" t="inlineStr">
        <is>
          <t>• The Bidder MUST hold valid certifications covering:
  - Cisco Managed Services Providers Certificate
  - Cisco Preferred Networking Partner Certificate
  - Cisco Preferred Security Partner Certificate
  - Cisco Collaboration Partner Certificate
• Must be an established Kuwaiti Company with local offices and local staff.
• Must have at least five (5) years of experience in providing Managed Services.
• Must be Certified ISO 20000 IT Service Management (ITSM).
• The Managed Services Centers must be ISO 27001 and ISO 27017 certified.
• Must be ISO 22301 (Business Continuity Management) certified.
• Must have at least 2 similar Managed Services projects in Kuwait (min KWD 100,000 each past 10 years).
• All submitted Cisco certificates must have minimum validity of 6 months.
• موعد إقفال المناقصة: 06/10/2026 الساعة 01:00 ظهراً عبر منصة K-Tendering.
• تأمين أولي: 15,000 د.ك صالح لمدة 90 يوماً | رسوم الوثيقة: 500 د.ك.</t>
        </is>
      </c>
      <c r="G100" s="24" t="inlineStr">
        <is>
          <t>قطاع العمليات المدارة والدعم الفني متعدد الموردين</t>
        </is>
      </c>
      <c r="H100" s="14" t="inlineStr">
        <is>
          <t>95.0%</t>
        </is>
      </c>
      <c r="I100" s="14" t="inlineStr">
        <is>
          <t>oil_and_gas</t>
        </is>
      </c>
      <c r="J100" s="14" t="inlineStr">
        <is>
          <t>2026-09-06</t>
        </is>
      </c>
      <c r="K100" s="14" t="inlineStr">
        <is>
          <t>2026-10-06</t>
        </is>
      </c>
      <c r="L100" s="14" t="inlineStr">
        <is>
          <t>15000.0</t>
        </is>
      </c>
      <c r="M100" s="14" t="inlineStr">
        <is>
          <t>-</t>
        </is>
      </c>
      <c r="N100" s="25" t="inlineStr">
        <is>
          <t>NEW</t>
        </is>
      </c>
      <c r="O100" s="14" t="inlineStr">
        <is>
          <t>موصى بالتقديم</t>
        </is>
      </c>
      <c r="P100" s="22">
        <f>HYPERLINK("https://kuwaitalyawm.media.gov.kw/Online/ViewAdsHTML?id=169424&amp;no=1", "عرض المصدر")</f>
        <v/>
      </c>
    </row>
    <row r="101">
      <c r="A101" s="11" t="inlineStr">
        <is>
          <t>MNA-24-2026</t>
        </is>
      </c>
      <c r="B101" s="11" t="inlineStr">
        <is>
          <t>شركة صناعة الكيماويات البترولية</t>
        </is>
      </c>
      <c r="C101" s="11" t="inlineStr">
        <is>
          <t>Abrar Al-Qallaf</t>
        </is>
      </c>
      <c r="D101" s="11" t="inlineStr">
        <is>
          <t>مناقصة رقم MNA-24-2026: IBM Maximo Application Suite (MAS) MAS-IT (ICD) License Renewal and Support Services - شركة صناعة الكيماويات البترولية</t>
        </is>
      </c>
      <c r="E101" s="11" t="inlineStr">
        <is>
          <t>تجديد تراخيص ودعم برمجيات IBM Maximo Application Suite (MAS) و MAS-IT (نظام إدارة خدمات تكنولوجيا المعلومات سابقاً ICD) لشركة PIC لضمان استمرارية الأعمال ودعم مبادرات التحول الرقمي والذكاء الاصطناعي وتحديث العمليات.</t>
        </is>
      </c>
      <c r="F101" s="11" t="inlineStr">
        <is>
          <t>• The bidder must be an authorized IBM partner/reseller in Kuwait as per IBM online partner directory under VAR/Reseller/Solution Provider category.
• Official partnership letter should be provided (failing to meet these qualifications will lead to disqualification).
• موعد إقفال المناقصة: 06/10/2026 الساعة 01:00 ظهراً عبر منصة K-Tendering.
• تأمين أولي: 15,000 د.ك صالح لمدة 90 يوماً | رسوم الوثيقة: 500 د.ك.
• موعد الاجتماع التمهيدي الافتراضي: 14/09/2026 الساعة 10:00 صباحاً.</t>
        </is>
      </c>
      <c r="G101" s="24" t="inlineStr">
        <is>
          <t>قطاع برمجيات IBM وحلول الذكاء الاصطناعي وRed Hat</t>
        </is>
      </c>
      <c r="H101" s="12" t="inlineStr">
        <is>
          <t>95.0%</t>
        </is>
      </c>
      <c r="I101" s="12" t="inlineStr">
        <is>
          <t>oil_and_gas</t>
        </is>
      </c>
      <c r="J101" s="12" t="inlineStr">
        <is>
          <t>2026-09-06</t>
        </is>
      </c>
      <c r="K101" s="12" t="inlineStr">
        <is>
          <t>2026-10-06</t>
        </is>
      </c>
      <c r="L101" s="12" t="inlineStr">
        <is>
          <t>15000.0</t>
        </is>
      </c>
      <c r="M101" s="12" t="inlineStr">
        <is>
          <t>-</t>
        </is>
      </c>
      <c r="N101" s="25" t="inlineStr">
        <is>
          <t>NEW</t>
        </is>
      </c>
      <c r="O101" s="12" t="inlineStr">
        <is>
          <t>موصى بالتقديم</t>
        </is>
      </c>
      <c r="P101" s="23">
        <f>HYPERLINK("https://kuwaitalyawm.media.gov.kw/Online/ViewAdsHTML?id=169425&amp;no=1", "عرض المصدر")</f>
        <v/>
      </c>
    </row>
    <row r="102">
      <c r="A102" s="13" t="inlineStr">
        <is>
          <t>RFP 2165609</t>
        </is>
      </c>
      <c r="B102" s="13" t="inlineStr">
        <is>
          <t>شركة البترول الوطنية الكويتية</t>
        </is>
      </c>
      <c r="C102" s="13" t="inlineStr">
        <is>
          <t>Abrar Al-Qallaf</t>
        </is>
      </c>
      <c r="D102" s="13" t="inlineStr">
        <is>
          <t>ممارسة رقم RFP 2165609: توريد مواد ومهمات تشغيلية لزوم شركة البترول الوطنية الكويتية - شركة البترول الوطنية الكويتية</t>
        </is>
      </c>
      <c r="E102" s="13" t="inlineStr">
        <is>
          <t>أعمال وتوريدات تخصصية لزوم شركة البترول الوطنية الكويتية حسب وثائق الممارسة رقم RFP 2165609 عبر منصة K-Tendering.</t>
        </is>
      </c>
      <c r="F102" s="13" t="inlineStr">
        <is>
          <t>وفقاً لشروط وإجراءات المناقصات والتوريد لدى شركة البترول الوطنية الكويتية (KNPC) عبر منصة K-Tendering.</t>
        </is>
      </c>
      <c r="G102" s="14" t="inlineStr">
        <is>
          <t>عام</t>
        </is>
      </c>
      <c r="H102" s="14" t="inlineStr">
        <is>
          <t>15.0%</t>
        </is>
      </c>
      <c r="I102" s="14" t="inlineStr">
        <is>
          <t>oil_and_gas</t>
        </is>
      </c>
      <c r="J102" s="14" t="inlineStr">
        <is>
          <t>2026-09-06</t>
        </is>
      </c>
      <c r="K102" s="14" t="inlineStr">
        <is>
          <t>2026-12-07</t>
        </is>
      </c>
      <c r="L102" s="14" t="inlineStr">
        <is>
          <t>2500.0</t>
        </is>
      </c>
      <c r="M102" s="14" t="inlineStr">
        <is>
          <t>-</t>
        </is>
      </c>
      <c r="N102" s="25" t="inlineStr">
        <is>
          <t>NEW</t>
        </is>
      </c>
      <c r="O102" s="14" t="inlineStr">
        <is>
          <t>غير متوافقة</t>
        </is>
      </c>
      <c r="P102" s="22">
        <f>HYPERLINK("https://kuwaitalyawm.media.gov.kw/Online/ViewAdsHTML?id=169428&amp;no=1", "عرض المصدر")</f>
        <v/>
      </c>
    </row>
    <row r="103">
      <c r="A103" s="11" t="inlineStr">
        <is>
          <t>RFP 2156844</t>
        </is>
      </c>
      <c r="B103" s="11" t="inlineStr">
        <is>
          <t>شركة البترول الوطنية الكويتية</t>
        </is>
      </c>
      <c r="C103" s="11" t="inlineStr">
        <is>
          <t>Abrar Al-Qallaf</t>
        </is>
      </c>
      <c r="D103" s="11" t="inlineStr">
        <is>
          <t>ممارسة رقم RFP 2156844: توريد مواد ومهمات تشغيلية لزوم شركة البترول الوطنية الكويتية - شركة البترول الوطنية الكويتية</t>
        </is>
      </c>
      <c r="E103" s="11" t="inlineStr">
        <is>
          <t>أعمال وتوريدات تخصصية لزوم شركة البترول الوطنية الكويتية حسب وثائق الممارسة رقم RFP 2156844 عبر منصة K-Tendering.</t>
        </is>
      </c>
      <c r="F103" s="11" t="inlineStr">
        <is>
          <t>وفقاً لشروط وإجراءات المناقصات والتوريد لدى شركة البترول الوطنية الكويتية (KNPC) عبر منصة K-Tendering.</t>
        </is>
      </c>
      <c r="G103" s="12" t="inlineStr">
        <is>
          <t>عام</t>
        </is>
      </c>
      <c r="H103" s="12" t="inlineStr">
        <is>
          <t>15.0%</t>
        </is>
      </c>
      <c r="I103" s="12" t="inlineStr">
        <is>
          <t>oil_and_gas</t>
        </is>
      </c>
      <c r="J103" s="12" t="inlineStr">
        <is>
          <t>2026-09-06</t>
        </is>
      </c>
      <c r="K103" s="12" t="inlineStr">
        <is>
          <t>2026-10-12</t>
        </is>
      </c>
      <c r="L103" s="12" t="inlineStr">
        <is>
          <t>30000.0</t>
        </is>
      </c>
      <c r="M103" s="12" t="inlineStr">
        <is>
          <t>-</t>
        </is>
      </c>
      <c r="N103" s="25" t="inlineStr">
        <is>
          <t>NEW</t>
        </is>
      </c>
      <c r="O103" s="12" t="inlineStr">
        <is>
          <t>غير متوافقة</t>
        </is>
      </c>
      <c r="P103" s="23">
        <f>HYPERLINK("https://kuwaitalyawm.media.gov.kw/Online/ViewAdsHTML?id=169429&amp;no=1", "عرض المصدر")</f>
        <v/>
      </c>
    </row>
    <row r="104">
      <c r="A104" s="13" t="inlineStr">
        <is>
          <t>2026/2025/37</t>
        </is>
      </c>
      <c r="B104" s="13" t="inlineStr">
        <is>
          <t>وزارة الداخلية</t>
        </is>
      </c>
      <c r="C104" s="13" t="inlineStr">
        <is>
          <t>Khaled Alabdallah</t>
        </is>
      </c>
      <c r="D104" s="13" t="inlineStr">
        <is>
          <t>مناقصة رقم 2026/2025/37: تطوير أنظمة الإدارة والمراقبة وتوفير خدمات تشغيلية لمراكز البيانات</t>
        </is>
      </c>
      <c r="E104" s="13" t="inlineStr">
        <is>
          <t>تنفيذ أعمال تطوير أنظمة الإدارة والمراقبة وتوفير خدمات تشغيلية لمراكز البيانات، وتوفير كافة الأجهزة والمعدات والأنظمة وخدمات الدعم الفني والضمان وفقاً لكراسة الشروط والمواصفات الفنية.</t>
        </is>
      </c>
      <c r="F10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04" s="14" t="inlineStr">
        <is>
          <t>عام</t>
        </is>
      </c>
      <c r="H104" s="14" t="inlineStr">
        <is>
          <t>15.0%</t>
        </is>
      </c>
      <c r="I104" s="14" t="inlineStr">
        <is>
          <t>government</t>
        </is>
      </c>
      <c r="J104" s="14" t="inlineStr">
        <is>
          <t>2026-08-30</t>
        </is>
      </c>
      <c r="K104" s="14" t="inlineStr">
        <is>
          <t>2026-09-23</t>
        </is>
      </c>
      <c r="L104" s="14" t="inlineStr">
        <is>
          <t>-</t>
        </is>
      </c>
      <c r="M104" s="14" t="inlineStr">
        <is>
          <t>-</t>
        </is>
      </c>
      <c r="N104" s="25" t="inlineStr">
        <is>
          <t>NEW</t>
        </is>
      </c>
      <c r="O104" s="14" t="inlineStr">
        <is>
          <t>غير متوافقة مع اختصاصات KBM</t>
        </is>
      </c>
      <c r="P104" s="22">
        <f>HYPERLINK("https://kuwaitalyawm.media.gov.kw/Online/ViewAdsHTML?id=168277&amp;no=1", "عرض المصدر")</f>
        <v/>
      </c>
    </row>
    <row r="105">
      <c r="A105" s="11" t="inlineStr">
        <is>
          <t>1092925</t>
        </is>
      </c>
      <c r="B105" s="11" t="inlineStr">
        <is>
          <t>وزارة الدفاع</t>
        </is>
      </c>
      <c r="C105" s="11" t="inlineStr">
        <is>
          <t>Eiman Ashkanani</t>
        </is>
      </c>
      <c r="D105" s="11" t="inlineStr">
        <is>
          <t>مناقصة رقم 1092925: أعمال صيانة شاملة للمعسكرات التابعة لمراقبة لواء مبارك 15</t>
        </is>
      </c>
      <c r="E105" s="11" t="inlineStr">
        <is>
          <t>أعمال وتوريدات أعمال صيانة شاملة للمعسكرات التابعة لمراقبة لواء مبارك 15 لصالح وزارة الدفاع وفقاً للشروط والمواصفات المعتمدة في وثائق الطرح.</t>
        </is>
      </c>
      <c r="F10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05" s="12" t="inlineStr">
        <is>
          <t>عام</t>
        </is>
      </c>
      <c r="H105" s="12" t="inlineStr">
        <is>
          <t>15.0%</t>
        </is>
      </c>
      <c r="I105" s="12" t="inlineStr">
        <is>
          <t>government</t>
        </is>
      </c>
      <c r="J105" s="12" t="inlineStr">
        <is>
          <t>2026-08-30</t>
        </is>
      </c>
      <c r="K105" s="12" t="inlineStr">
        <is>
          <t>-</t>
        </is>
      </c>
      <c r="L105" s="12" t="inlineStr">
        <is>
          <t>23000.0</t>
        </is>
      </c>
      <c r="M105" s="12" t="inlineStr">
        <is>
          <t>1000.0</t>
        </is>
      </c>
      <c r="N105" s="25" t="inlineStr">
        <is>
          <t>NEW</t>
        </is>
      </c>
      <c r="O105" s="12" t="inlineStr">
        <is>
          <t>غير متوافقة مع اختصاصات KBM</t>
        </is>
      </c>
      <c r="P105" s="23">
        <f>HYPERLINK("https://kuwaitalyawm.media.gov.kw/Online/ViewAdsHTML?id=168278&amp;no=1", "عرض المصدر")</f>
        <v/>
      </c>
    </row>
    <row r="106">
      <c r="A106" s="13" t="inlineStr">
        <is>
          <t>1042826</t>
        </is>
      </c>
      <c r="B106" s="13" t="inlineStr">
        <is>
          <t>وزارة الدفاع</t>
        </is>
      </c>
      <c r="C106" s="13" t="inlineStr">
        <is>
          <t>Eiman Ashkanani</t>
        </is>
      </c>
      <c r="D106" s="13" t="inlineStr">
        <is>
          <t>مناقصة رقم 1042826: تشغيل وصيانة وإصلاح لمحطات الوقود بمعسكرات</t>
        </is>
      </c>
      <c r="E106" s="13" t="inlineStr">
        <is>
          <t>أعمال وتوريدات تشغيل وصيانة وإصلاح لمحطات الوقود بمعسكرات لصالح وزارة الدفاع وفقاً للشروط والمواصفات المعتمدة في وثائق الطرح.</t>
        </is>
      </c>
      <c r="F10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06" s="24" t="inlineStr">
        <is>
          <t>قطاع العمليات المدارة والدعم الفني متعدد الموردين</t>
        </is>
      </c>
      <c r="H106" s="14" t="inlineStr">
        <is>
          <t>64.0%</t>
        </is>
      </c>
      <c r="I106" s="14" t="inlineStr">
        <is>
          <t>government</t>
        </is>
      </c>
      <c r="J106" s="14" t="inlineStr">
        <is>
          <t>2026-08-30</t>
        </is>
      </c>
      <c r="K106" s="14" t="inlineStr">
        <is>
          <t>2026-10-27</t>
        </is>
      </c>
      <c r="L106" s="14" t="inlineStr">
        <is>
          <t>15000.0</t>
        </is>
      </c>
      <c r="M106" s="14" t="inlineStr">
        <is>
          <t>1000.0</t>
        </is>
      </c>
      <c r="N106" s="25" t="inlineStr">
        <is>
          <t>NEW</t>
        </is>
      </c>
      <c r="O106" s="14" t="inlineStr">
        <is>
          <t>فرصة ICT متوافقة مع قدرات KBM</t>
        </is>
      </c>
      <c r="P106" s="22">
        <f>HYPERLINK("https://kuwaitalyawm.media.gov.kw/Online/ViewAdsHTML?id=168279&amp;no=1", "عرض المصدر")</f>
        <v/>
      </c>
    </row>
    <row r="107">
      <c r="A107" s="11" t="inlineStr">
        <is>
          <t>2026/504</t>
        </is>
      </c>
      <c r="B107" s="11" t="inlineStr">
        <is>
          <t>مؤسسة البترول الكويتية</t>
        </is>
      </c>
      <c r="C107" s="11" t="inlineStr">
        <is>
          <t>Eiman Ashkanani</t>
        </is>
      </c>
      <c r="D107" s="11" t="inlineStr">
        <is>
          <t>مناقصة رقم 2026/504: توريد مواد تموينية غذائية</t>
        </is>
      </c>
      <c r="E107" s="11" t="inlineStr">
        <is>
          <t>أعمال وتوريدات توريد مواد تموينية غذائية لصالح مؤسسة البترول الكويتية وفقاً للشروط والمواصفات المعتمدة في وثائق الطرح.</t>
        </is>
      </c>
      <c r="F10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07" s="12" t="inlineStr">
        <is>
          <t>عام</t>
        </is>
      </c>
      <c r="H107" s="12" t="inlineStr">
        <is>
          <t>0.0%</t>
        </is>
      </c>
      <c r="I107" s="12" t="inlineStr">
        <is>
          <t>government</t>
        </is>
      </c>
      <c r="J107" s="12" t="inlineStr">
        <is>
          <t>2026-08-30</t>
        </is>
      </c>
      <c r="K107" s="12" t="inlineStr">
        <is>
          <t>-</t>
        </is>
      </c>
      <c r="L107" s="12" t="inlineStr">
        <is>
          <t>-</t>
        </is>
      </c>
      <c r="M107" s="12" t="inlineStr">
        <is>
          <t>-</t>
        </is>
      </c>
      <c r="N107" s="25" t="inlineStr">
        <is>
          <t>NEW</t>
        </is>
      </c>
      <c r="O107" s="12" t="inlineStr">
        <is>
          <t>غير متوافقة مع اختصاصات KBM</t>
        </is>
      </c>
      <c r="P107" s="23">
        <f>HYPERLINK("https://kuwaitalyawm.media.gov.kw/Online/ViewAdsHTML?id=168747&amp;no=1", "عرض المصدر")</f>
        <v/>
      </c>
    </row>
    <row r="108">
      <c r="A108" s="13" t="inlineStr">
        <is>
          <t>2026/2025/33</t>
        </is>
      </c>
      <c r="B108" s="13" t="inlineStr">
        <is>
          <t>الشركة الكويتية لتزويد الطائرات بالوقود</t>
        </is>
      </c>
      <c r="C108" s="13" t="inlineStr">
        <is>
          <t>Eiman Ashkanani</t>
        </is>
      </c>
      <c r="D108" s="13" t="inlineStr">
        <is>
          <t>مناقصة رقم 2026/2025/33: الحاقا إلى الإعلان الصادر في الجريدة الرسمية ( الكويت اليوم ) العدد رقم (1802) الصفحة رقم (258, 259 &amp; 260) بتاريخ 02/08/2026 بخصوص الموضوع اعلاه ، تود لجنة الشراء العليا لمناقصات الشركة الكويتية لتزويد الطائرات بناء على طلب من الشركة الكويتية لتزويد الطائرات بالوقود شركة تابعة لشركة البترول الوطنية ، أن تسترعي انتباه السادة المناقصين / الشركات إلى أنه تم تمديد موعد الإغلاق للمناقصة إلى يوم الثلاثاء الموافق 15/09/2026 بدلا من يوم الثلاثاء الموافق 01/09/2026</t>
        </is>
      </c>
      <c r="E108" s="13" t="inlineStr">
        <is>
          <t>أعمال وتوريدات الحاقا إلى الإعلان الصادر في الجريدة الرسمية ( الكويت اليوم ) العدد رقم (1802) الصفحة رقم (258, 259 &amp; 260) بتاريخ 02/08/2026 بخصوص الموضوع اعلاه ، تود لجنة الشراء العليا لمناقصات الشركة الكويتية لتزويد الطائرات بناء على طلب من الشركة الكويتية لتزويد الطائرات بالوقود شركة تابعة لشركة البترول الوطنية ، أن تسترعي انتباه السادة المناقصين / الشركات إلى أنه تم تمديد موعد الإغلاق للمناقصة إلى يوم الثلاثاء الموافق 15/09/2026 بدلا من يوم الثلاثاء الموافق 01/09/2026 لصالح الشركة الكويتية لتزويد الطائرات بالوقود وفقاً للشروط والمواصفات المعتمدة في وثائق الطرح.</t>
        </is>
      </c>
      <c r="F10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08" s="14" t="inlineStr">
        <is>
          <t>عام</t>
        </is>
      </c>
      <c r="H108" s="14" t="inlineStr">
        <is>
          <t>0.0%</t>
        </is>
      </c>
      <c r="I108" s="14" t="inlineStr">
        <is>
          <t>government</t>
        </is>
      </c>
      <c r="J108" s="14" t="inlineStr">
        <is>
          <t>2026-08-30</t>
        </is>
      </c>
      <c r="K108" s="14" t="inlineStr">
        <is>
          <t>2026-09-15</t>
        </is>
      </c>
      <c r="L108" s="14" t="inlineStr">
        <is>
          <t>-</t>
        </is>
      </c>
      <c r="M108" s="14" t="inlineStr">
        <is>
          <t>-</t>
        </is>
      </c>
      <c r="N108" s="25" t="inlineStr">
        <is>
          <t>NEW</t>
        </is>
      </c>
      <c r="O108" s="14" t="inlineStr">
        <is>
          <t>غير متوافقة مع اختصاصات KBM</t>
        </is>
      </c>
      <c r="P108" s="22">
        <f>HYPERLINK("https://kuwaitalyawm.media.gov.kw/Online/ViewAdsHTML?id=168756&amp;no=1", "عرض المصدر")</f>
        <v/>
      </c>
    </row>
    <row r="109">
      <c r="A109" s="11" t="inlineStr">
        <is>
          <t>HO/CC066-R0/SV26</t>
        </is>
      </c>
      <c r="B109" s="11" t="inlineStr">
        <is>
          <t>الشركة الكويتية لنفط الخليج</t>
        </is>
      </c>
      <c r="C109" s="11" t="inlineStr">
        <is>
          <t>Eiman Ashkanani</t>
        </is>
      </c>
      <c r="D109" s="11" t="inlineStr">
        <is>
          <t>مناقصة رقم HO/CC066-R0/SV26 - الشركة الكويتية لنفط الخليج</t>
        </is>
      </c>
      <c r="E109" s="11" t="inlineStr">
        <is>
          <t>أعمال وتوريدات مناقصة رقم HO/CC066-R0/SV26 - الشركة الكويتية لنفط الخليج لصالح الشركة الكويتية لنفط الخليج وفقاً للشروط والمواصفات المعتمدة في وثائق الطرح.</t>
        </is>
      </c>
      <c r="F10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09" s="12" t="inlineStr">
        <is>
          <t>عام</t>
        </is>
      </c>
      <c r="H109" s="12" t="inlineStr">
        <is>
          <t>0.0%</t>
        </is>
      </c>
      <c r="I109" s="12" t="inlineStr">
        <is>
          <t>government</t>
        </is>
      </c>
      <c r="J109" s="12" t="inlineStr">
        <is>
          <t>2026-08-30</t>
        </is>
      </c>
      <c r="K109" s="12" t="inlineStr">
        <is>
          <t>2026-12-01</t>
        </is>
      </c>
      <c r="L109" s="12" t="inlineStr">
        <is>
          <t>50000.0</t>
        </is>
      </c>
      <c r="M109" s="12" t="inlineStr">
        <is>
          <t>-</t>
        </is>
      </c>
      <c r="N109" s="25" t="inlineStr">
        <is>
          <t>NEW</t>
        </is>
      </c>
      <c r="O109" s="12" t="inlineStr">
        <is>
          <t>غير متوافقة مع اختصاصات KBM</t>
        </is>
      </c>
      <c r="P109" s="23">
        <f>HYPERLINK("https://kuwaitalyawm.media.gov.kw/Online/ViewAdsHTML?id=168757&amp;no=1", "عرض المصدر")</f>
        <v/>
      </c>
    </row>
    <row r="110">
      <c r="A110" s="13" t="inlineStr">
        <is>
          <t>2026/8/10</t>
        </is>
      </c>
      <c r="B110" s="13" t="inlineStr">
        <is>
          <t>شركة إدارة المرافق العمومية</t>
        </is>
      </c>
      <c r="C110" s="13" t="inlineStr">
        <is>
          <t>Eiman Ashkanani</t>
        </is>
      </c>
      <c r="D110" s="13" t="inlineStr">
        <is>
          <t>مناقصة رقم 2026/8/10: بخصـوص القيام بأعمـال تعديل وصيانة وإعادة توزيع مكاتب مقر شركة إدارة المرافق العمومية - بموقف الأحمدية متعدد الأدوار</t>
        </is>
      </c>
      <c r="E110" s="13" t="inlineStr">
        <is>
          <t>أعمال وتوريدات بخصـوص القيام بأعمـال تعديل وصيانة وإعادة توزيع مكاتب مقر شركة إدارة المرافق العمومية - بموقف الأحمدية متعدد الأدوار لصالح شركة إدارة المرافق العمومية وفقاً للشروط والمواصفات المعتمدة في وثائق الطرح.</t>
        </is>
      </c>
      <c r="F110" s="13" t="inlineStr">
        <is>
          <t>• علماً بأنه آخر موعد لتقديم العطاءات يوم الخميس الموافـق 10/09/2026 الساعة 01:00 ظهراً
• وسيتم عقد اجتماع تمهيدي يوم الاثنين الموافق 31/08/2026 الساعة 10:00 صباحا بمقر الشركة.</t>
        </is>
      </c>
      <c r="G110" s="14" t="inlineStr">
        <is>
          <t>عام</t>
        </is>
      </c>
      <c r="H110" s="14" t="inlineStr">
        <is>
          <t>0.0%</t>
        </is>
      </c>
      <c r="I110" s="14" t="inlineStr">
        <is>
          <t>government</t>
        </is>
      </c>
      <c r="J110" s="14" t="inlineStr">
        <is>
          <t>2026-08-30</t>
        </is>
      </c>
      <c r="K110" s="14" t="inlineStr">
        <is>
          <t>2026-09-10</t>
        </is>
      </c>
      <c r="L110" s="14" t="inlineStr">
        <is>
          <t>2000.0</t>
        </is>
      </c>
      <c r="M110" s="14" t="inlineStr">
        <is>
          <t>150.0</t>
        </is>
      </c>
      <c r="N110" s="25" t="inlineStr">
        <is>
          <t>NEW</t>
        </is>
      </c>
      <c r="O110" s="14" t="inlineStr">
        <is>
          <t>غير متوافقة مع اختصاصات KBM</t>
        </is>
      </c>
      <c r="P110" s="22">
        <f>HYPERLINK("https://kuwaitalyawm.media.gov.kw/Online/ViewAdsHTML?id=168758&amp;no=1", "عرض المصدر")</f>
        <v/>
      </c>
    </row>
    <row r="111">
      <c r="A111" s="11" t="inlineStr">
        <is>
          <t>601750</t>
        </is>
      </c>
      <c r="B111" s="11" t="inlineStr">
        <is>
          <t>شركة البترول الكويتية العالمية</t>
        </is>
      </c>
      <c r="C111" s="11" t="inlineStr">
        <is>
          <t>Eiman Ashkanani</t>
        </is>
      </c>
      <c r="D111" s="11" t="inlineStr">
        <is>
          <t>مناقصة رقم 601750 - شركة البترول الكويتية العالمية</t>
        </is>
      </c>
      <c r="E111" s="11" t="inlineStr">
        <is>
          <t>أعمال وتوريدات مناقصة رقم 601750 لصالح شركة البترول الكويتية العالمية وفقاً للشروط والمواصفات المعتمدة في وثائق الطرح.</t>
        </is>
      </c>
      <c r="F11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11" s="12" t="inlineStr">
        <is>
          <t>عام</t>
        </is>
      </c>
      <c r="H111" s="12" t="inlineStr">
        <is>
          <t>0.0%</t>
        </is>
      </c>
      <c r="I111" s="12" t="inlineStr">
        <is>
          <t>government</t>
        </is>
      </c>
      <c r="J111" s="12" t="inlineStr">
        <is>
          <t>2026-08-30</t>
        </is>
      </c>
      <c r="K111" s="12" t="inlineStr">
        <is>
          <t>2026-09-29</t>
        </is>
      </c>
      <c r="L111" s="12" t="inlineStr">
        <is>
          <t>2500.0</t>
        </is>
      </c>
      <c r="M111" s="12" t="inlineStr">
        <is>
          <t>-</t>
        </is>
      </c>
      <c r="N111" s="25" t="inlineStr">
        <is>
          <t>NEW</t>
        </is>
      </c>
      <c r="O111" s="12" t="inlineStr">
        <is>
          <t>غير متوافقة مع اختصاصات KBM</t>
        </is>
      </c>
      <c r="P111" s="23">
        <f>HYPERLINK("https://kuwaitalyawm.media.gov.kw/Online/ViewAdsHTML?id=168759&amp;no=1", "عرض المصدر")</f>
        <v/>
      </c>
    </row>
    <row r="112">
      <c r="A112" s="13" t="inlineStr">
        <is>
          <t>CC CMS 6104</t>
        </is>
      </c>
      <c r="B112" s="13" t="inlineStr">
        <is>
          <t>شركة البترول الوطنية الكويتية</t>
        </is>
      </c>
      <c r="C112" s="13" t="inlineStr">
        <is>
          <t>Abrar Al-Qallaf</t>
        </is>
      </c>
      <c r="D112" s="13" t="inlineStr">
        <is>
          <t>ممارسة رقم CC CMS 6104: توريد مواد ومهمات تشغيلية لزوم شركة البترول الوطنية الكويتية - شركة البترول الوطنية الكويتية</t>
        </is>
      </c>
      <c r="E112" s="13" t="inlineStr">
        <is>
          <t>أعمال وتوريدات تخصصية لزوم شركة البترول الوطنية الكويتية حسب وثائق الممارسة رقم CC CMS 6104 عبر منصة K-Tendering.</t>
        </is>
      </c>
      <c r="F112" s="13" t="inlineStr">
        <is>
          <t>وفقاً لشروط وإجراءات المناقصات والتوريد لدى شركة البترول الوطنية الكويتية (KNPC) عبر منصة K-Tendering.</t>
        </is>
      </c>
      <c r="G112" s="14" t="inlineStr">
        <is>
          <t>عام</t>
        </is>
      </c>
      <c r="H112" s="14" t="inlineStr">
        <is>
          <t>15.0%</t>
        </is>
      </c>
      <c r="I112" s="14" t="inlineStr">
        <is>
          <t>oil_and_gas</t>
        </is>
      </c>
      <c r="J112" s="14" t="inlineStr">
        <is>
          <t>2026-08-30</t>
        </is>
      </c>
      <c r="K112" s="14" t="inlineStr">
        <is>
          <t>2026-10-01</t>
        </is>
      </c>
      <c r="L112" s="14" t="inlineStr">
        <is>
          <t>50000.0</t>
        </is>
      </c>
      <c r="M112" s="14" t="inlineStr">
        <is>
          <t>500.0</t>
        </is>
      </c>
      <c r="N112" s="25" t="inlineStr">
        <is>
          <t>NEW</t>
        </is>
      </c>
      <c r="O112" s="14" t="inlineStr">
        <is>
          <t>غير متوافقة</t>
        </is>
      </c>
      <c r="P112" s="22">
        <f>HYPERLINK("https://kuwaitalyawm.media.gov.kw/Online/ViewAdsHTML?id=168768&amp;no=1", "عرض المصدر")</f>
        <v/>
      </c>
    </row>
    <row r="113">
      <c r="A113" s="11" t="inlineStr">
        <is>
          <t>126</t>
        </is>
      </c>
      <c r="B113" s="11" t="inlineStr">
        <is>
          <t>شركة البترول الوطنية الكويتية</t>
        </is>
      </c>
      <c r="C113" s="11" t="inlineStr">
        <is>
          <t>Abrar Al-Qallaf</t>
        </is>
      </c>
      <c r="D113" s="11" t="inlineStr">
        <is>
          <t>ممارسة رقم 126: توريد مواد ومهمات تشغيلية لزوم شركة البترول الوطنية الكويتية - شركة البترول الوطنية الكويتية</t>
        </is>
      </c>
      <c r="E113" s="11" t="inlineStr">
        <is>
          <t>أعمال وتوريدات تخصصية لزوم شركة البترول الوطنية الكويتية حسب وثائق الممارسة رقم 126 عبر منصة K-Tendering.</t>
        </is>
      </c>
      <c r="F113" s="11" t="inlineStr">
        <is>
          <t>وفقاً لشروط وإجراءات المناقصات والتوريد لدى شركة البترول الوطنية الكويتية (KNPC) عبر منصة K-Tendering.</t>
        </is>
      </c>
      <c r="G113" s="12" t="inlineStr">
        <is>
          <t>عام</t>
        </is>
      </c>
      <c r="H113" s="12" t="inlineStr">
        <is>
          <t>15.0%</t>
        </is>
      </c>
      <c r="I113" s="12" t="inlineStr">
        <is>
          <t>oil_and_gas</t>
        </is>
      </c>
      <c r="J113" s="12" t="inlineStr">
        <is>
          <t>2026-08-30</t>
        </is>
      </c>
      <c r="K113" s="12" t="inlineStr">
        <is>
          <t>-</t>
        </is>
      </c>
      <c r="L113" s="12" t="inlineStr">
        <is>
          <t>-</t>
        </is>
      </c>
      <c r="M113" s="12" t="inlineStr">
        <is>
          <t>-</t>
        </is>
      </c>
      <c r="N113" s="25" t="inlineStr">
        <is>
          <t>NEW</t>
        </is>
      </c>
      <c r="O113" s="12" t="inlineStr">
        <is>
          <t>غير متوافقة</t>
        </is>
      </c>
      <c r="P113" s="23">
        <f>HYPERLINK("https://kuwaitalyawm.media.gov.kw/Online/ViewAdsHTML?id=168769&amp;no=1", "عرض المصدر")</f>
        <v/>
      </c>
    </row>
    <row r="114">
      <c r="A114" s="13" t="inlineStr">
        <is>
          <t>2026/4</t>
        </is>
      </c>
      <c r="B114" s="13" t="inlineStr">
        <is>
          <t>شركة ناقلات النفط الكويتية</t>
        </is>
      </c>
      <c r="C114" s="13" t="inlineStr">
        <is>
          <t>Ahmed Habib</t>
        </is>
      </c>
      <c r="D114" s="13" t="inlineStr">
        <is>
          <t>مناقصة رقم 2026/4: إعلان طرح المناقصة الخاصة بتقديم خدمات النظافة والمناولة لشركة ناقلات النفط الكويتية</t>
        </is>
      </c>
      <c r="E114" s="13" t="inlineStr">
        <is>
          <t>توفير خدمات وأعمال النظافة العامة والشاملة للمباني والمرافق وتوفير العمالة والمعدات والمستهلكات اللازمة.</t>
        </is>
      </c>
      <c r="F11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14" s="14" t="inlineStr">
        <is>
          <t>عام</t>
        </is>
      </c>
      <c r="H114" s="14" t="inlineStr">
        <is>
          <t>0.0%</t>
        </is>
      </c>
      <c r="I114" s="14" t="inlineStr">
        <is>
          <t>government</t>
        </is>
      </c>
      <c r="J114" s="14" t="inlineStr">
        <is>
          <t>2026-08-30</t>
        </is>
      </c>
      <c r="K114" s="14" t="inlineStr">
        <is>
          <t>2026-10-13</t>
        </is>
      </c>
      <c r="L114" s="14" t="inlineStr">
        <is>
          <t>15000.0</t>
        </is>
      </c>
      <c r="M114" s="14" t="inlineStr">
        <is>
          <t>-</t>
        </is>
      </c>
      <c r="N114" s="25" t="inlineStr">
        <is>
          <t>NEW</t>
        </is>
      </c>
      <c r="O114" s="14" t="inlineStr">
        <is>
          <t>غير متوافقة مع اختصاصات KBM</t>
        </is>
      </c>
      <c r="P114" s="22">
        <f>HYPERLINK("https://kuwaitalyawm.media.gov.kw/Online/ViewAdsHTML?id=168772&amp;no=1", "عرض المصدر")</f>
        <v/>
      </c>
    </row>
    <row r="115">
      <c r="A115" s="11" t="inlineStr">
        <is>
          <t>RFQ 2163800</t>
        </is>
      </c>
      <c r="B115" s="11" t="inlineStr">
        <is>
          <t>شركة البترول الوطنية الكويتية</t>
        </is>
      </c>
      <c r="C115" s="11" t="inlineStr">
        <is>
          <t>Abrar Al-Qallaf</t>
        </is>
      </c>
      <c r="D115" s="11" t="inlineStr">
        <is>
          <t>ممارسة رقم RFQ 2163800: توريد مواد ومهمات تشغيلية لزوم شركة البترول الوطنية الكويتية - شركة البترول الوطنية الكويتية</t>
        </is>
      </c>
      <c r="E115" s="11" t="inlineStr">
        <is>
          <t>أعمال وتوريدات تخصصية لزوم شركة البترول الوطنية الكويتية حسب وثائق الممارسة رقم RFQ 2163800 عبر منصة K-Tendering.</t>
        </is>
      </c>
      <c r="F115" s="11" t="inlineStr">
        <is>
          <t>وفقاً لشروط وإجراءات المناقصات والتوريد لدى شركة البترول الوطنية الكويتية (KNPC) عبر منصة K-Tendering.</t>
        </is>
      </c>
      <c r="G115" s="12" t="inlineStr">
        <is>
          <t>عام</t>
        </is>
      </c>
      <c r="H115" s="12" t="inlineStr">
        <is>
          <t>15.0%</t>
        </is>
      </c>
      <c r="I115" s="12" t="inlineStr">
        <is>
          <t>oil_and_gas</t>
        </is>
      </c>
      <c r="J115" s="12" t="inlineStr">
        <is>
          <t>2026-08-30</t>
        </is>
      </c>
      <c r="K115" s="12" t="inlineStr">
        <is>
          <t>-</t>
        </is>
      </c>
      <c r="L115" s="12" t="inlineStr">
        <is>
          <t>-</t>
        </is>
      </c>
      <c r="M115" s="12" t="inlineStr">
        <is>
          <t>-</t>
        </is>
      </c>
      <c r="N115" s="25" t="inlineStr">
        <is>
          <t>NEW</t>
        </is>
      </c>
      <c r="O115" s="12" t="inlineStr">
        <is>
          <t>غير متوافقة</t>
        </is>
      </c>
      <c r="P115" s="23">
        <f>HYPERLINK("https://kuwaitalyawm.media.gov.kw/Online/ViewAdsHTML?id=168778&amp;no=1", "عرض المصدر")</f>
        <v/>
      </c>
    </row>
    <row r="116">
      <c r="A116" s="13" t="inlineStr">
        <is>
          <t>RFQ 2161955</t>
        </is>
      </c>
      <c r="B116" s="13" t="inlineStr">
        <is>
          <t>شركة البترول الوطنية الكويتية</t>
        </is>
      </c>
      <c r="C116" s="13" t="inlineStr">
        <is>
          <t>Abrar Al-Qallaf</t>
        </is>
      </c>
      <c r="D116" s="13" t="inlineStr">
        <is>
          <t>ممارسة رقم RFQ 2161955: توريد مواد ومهمات تشغيلية لزوم شركة البترول الوطنية الكويتية - شركة البترول الوطنية الكويتية</t>
        </is>
      </c>
      <c r="E116" s="13" t="inlineStr">
        <is>
          <t>أعمال وتوريدات تخصصية لزوم شركة البترول الوطنية الكويتية حسب وثائق الممارسة رقم RFQ 2161955 عبر منصة K-Tendering.</t>
        </is>
      </c>
      <c r="F116" s="13" t="inlineStr">
        <is>
          <t>وفقاً لشروط وإجراءات المناقصات والتوريد لدى شركة البترول الوطنية الكويتية (KNPC) عبر منصة K-Tendering.</t>
        </is>
      </c>
      <c r="G116" s="14" t="inlineStr">
        <is>
          <t>عام</t>
        </is>
      </c>
      <c r="H116" s="14" t="inlineStr">
        <is>
          <t>15.0%</t>
        </is>
      </c>
      <c r="I116" s="14" t="inlineStr">
        <is>
          <t>oil_and_gas</t>
        </is>
      </c>
      <c r="J116" s="14" t="inlineStr">
        <is>
          <t>2026-08-30</t>
        </is>
      </c>
      <c r="K116" s="14" t="inlineStr">
        <is>
          <t>-</t>
        </is>
      </c>
      <c r="L116" s="14" t="inlineStr">
        <is>
          <t>-</t>
        </is>
      </c>
      <c r="M116" s="14" t="inlineStr">
        <is>
          <t>-</t>
        </is>
      </c>
      <c r="N116" s="25" t="inlineStr">
        <is>
          <t>NEW</t>
        </is>
      </c>
      <c r="O116" s="14" t="inlineStr">
        <is>
          <t>غير متوافقة</t>
        </is>
      </c>
      <c r="P116" s="22">
        <f>HYPERLINK("https://kuwaitalyawm.media.gov.kw/Online/ViewAdsHTML?id=168779&amp;no=1", "عرض المصدر")</f>
        <v/>
      </c>
    </row>
    <row r="117">
      <c r="A117" s="11" t="inlineStr">
        <is>
          <t>RFQ 2151259</t>
        </is>
      </c>
      <c r="B117" s="11" t="inlineStr">
        <is>
          <t>شركة البترول الوطنية الكويتية</t>
        </is>
      </c>
      <c r="C117" s="11" t="inlineStr">
        <is>
          <t>Abrar Al-Qallaf</t>
        </is>
      </c>
      <c r="D117" s="11" t="inlineStr">
        <is>
          <t>ممارسة رقم RFQ 2151259: توريد مواد ومهمات تشغيلية لزوم شركة البترول الوطنية الكويتية - شركة البترول الوطنية الكويتية</t>
        </is>
      </c>
      <c r="E117" s="11" t="inlineStr">
        <is>
          <t>أعمال وتوريدات تخصصية لزوم شركة البترول الوطنية الكويتية حسب وثائق الممارسة رقم RFQ 2151259 عبر منصة K-Tendering.</t>
        </is>
      </c>
      <c r="F117" s="11" t="inlineStr">
        <is>
          <t>وفقاً لشروط وإجراءات المناقصات والتوريد لدى شركة البترول الوطنية الكويتية (KNPC) عبر منصة K-Tendering.</t>
        </is>
      </c>
      <c r="G117" s="12" t="inlineStr">
        <is>
          <t>عام</t>
        </is>
      </c>
      <c r="H117" s="12" t="inlineStr">
        <is>
          <t>15.0%</t>
        </is>
      </c>
      <c r="I117" s="12" t="inlineStr">
        <is>
          <t>oil_and_gas</t>
        </is>
      </c>
      <c r="J117" s="12" t="inlineStr">
        <is>
          <t>2026-08-30</t>
        </is>
      </c>
      <c r="K117" s="12" t="inlineStr">
        <is>
          <t>-</t>
        </is>
      </c>
      <c r="L117" s="12" t="inlineStr">
        <is>
          <t>-</t>
        </is>
      </c>
      <c r="M117" s="12" t="inlineStr">
        <is>
          <t>-</t>
        </is>
      </c>
      <c r="N117" s="25" t="inlineStr">
        <is>
          <t>NEW</t>
        </is>
      </c>
      <c r="O117" s="12" t="inlineStr">
        <is>
          <t>غير متوافقة</t>
        </is>
      </c>
      <c r="P117" s="23">
        <f>HYPERLINK("https://kuwaitalyawm.media.gov.kw/Online/ViewAdsHTML?id=168780&amp;no=1", "عرض المصدر")</f>
        <v/>
      </c>
    </row>
    <row r="118">
      <c r="A118" s="13" t="inlineStr">
        <is>
          <t>RFQ 2160432</t>
        </is>
      </c>
      <c r="B118" s="13" t="inlineStr">
        <is>
          <t>شركة البترول الوطنية الكويتية</t>
        </is>
      </c>
      <c r="C118" s="13" t="inlineStr">
        <is>
          <t>Abrar Al-Qallaf</t>
        </is>
      </c>
      <c r="D118" s="13" t="inlineStr">
        <is>
          <t>ممارسة رقم RFQ 2160432: توريد مواد ومهمات تشغيلية لزوم شركة البترول الوطنية الكويتية - شركة البترول الوطنية الكويتية</t>
        </is>
      </c>
      <c r="E118" s="13" t="inlineStr">
        <is>
          <t>أعمال وتوريدات تخصصية لزوم شركة البترول الوطنية الكويتية حسب وثائق الممارسة رقم RFQ 2160432 عبر منصة K-Tendering.</t>
        </is>
      </c>
      <c r="F118" s="13" t="inlineStr">
        <is>
          <t>وفقاً لشروط وإجراءات المناقصات والتوريد لدى شركة البترول الوطنية الكويتية (KNPC) عبر منصة K-Tendering.</t>
        </is>
      </c>
      <c r="G118" s="14" t="inlineStr">
        <is>
          <t>عام</t>
        </is>
      </c>
      <c r="H118" s="14" t="inlineStr">
        <is>
          <t>15.0%</t>
        </is>
      </c>
      <c r="I118" s="14" t="inlineStr">
        <is>
          <t>oil_and_gas</t>
        </is>
      </c>
      <c r="J118" s="14" t="inlineStr">
        <is>
          <t>2026-08-30</t>
        </is>
      </c>
      <c r="K118" s="14" t="inlineStr">
        <is>
          <t>-</t>
        </is>
      </c>
      <c r="L118" s="14" t="inlineStr">
        <is>
          <t>-</t>
        </is>
      </c>
      <c r="M118" s="14" t="inlineStr">
        <is>
          <t>-</t>
        </is>
      </c>
      <c r="N118" s="25" t="inlineStr">
        <is>
          <t>NEW</t>
        </is>
      </c>
      <c r="O118" s="14" t="inlineStr">
        <is>
          <t>غير متوافقة</t>
        </is>
      </c>
      <c r="P118" s="22">
        <f>HYPERLINK("https://kuwaitalyawm.media.gov.kw/Online/ViewAdsHTML?id=168781&amp;no=1", "عرض المصدر")</f>
        <v/>
      </c>
    </row>
    <row r="119">
      <c r="A119" s="11" t="inlineStr">
        <is>
          <t>RFQ 2164511</t>
        </is>
      </c>
      <c r="B119" s="11" t="inlineStr">
        <is>
          <t>شركة البترول الوطنية الكويتية</t>
        </is>
      </c>
      <c r="C119" s="11" t="inlineStr">
        <is>
          <t>Abrar Al-Qallaf</t>
        </is>
      </c>
      <c r="D119" s="11" t="inlineStr">
        <is>
          <t>ممارسة رقم RFQ 2164511: توريد مواد ومهمات تشغيلية لزوم شركة البترول الوطنية الكويتية - شركة البترول الوطنية الكويتية</t>
        </is>
      </c>
      <c r="E119" s="11" t="inlineStr">
        <is>
          <t>أعمال وتوريدات تخصصية لزوم شركة البترول الوطنية الكويتية حسب وثائق الممارسة رقم RFQ 2164511 عبر منصة K-Tendering.</t>
        </is>
      </c>
      <c r="F119" s="11" t="inlineStr">
        <is>
          <t>وفقاً لشروط وإجراءات المناقصات والتوريد لدى شركة البترول الوطنية الكويتية (KNPC) عبر منصة K-Tendering.</t>
        </is>
      </c>
      <c r="G119" s="12" t="inlineStr">
        <is>
          <t>عام</t>
        </is>
      </c>
      <c r="H119" s="12" t="inlineStr">
        <is>
          <t>15.0%</t>
        </is>
      </c>
      <c r="I119" s="12" t="inlineStr">
        <is>
          <t>oil_and_gas</t>
        </is>
      </c>
      <c r="J119" s="12" t="inlineStr">
        <is>
          <t>2026-08-30</t>
        </is>
      </c>
      <c r="K119" s="12" t="inlineStr">
        <is>
          <t>2026-12-07</t>
        </is>
      </c>
      <c r="L119" s="12" t="inlineStr">
        <is>
          <t>5000.0</t>
        </is>
      </c>
      <c r="M119" s="12" t="inlineStr">
        <is>
          <t>-</t>
        </is>
      </c>
      <c r="N119" s="25" t="inlineStr">
        <is>
          <t>NEW</t>
        </is>
      </c>
      <c r="O119" s="12" t="inlineStr">
        <is>
          <t>غير متوافقة</t>
        </is>
      </c>
      <c r="P119" s="23">
        <f>HYPERLINK("https://kuwaitalyawm.media.gov.kw/Online/ViewAdsHTML?id=168784&amp;no=1", "عرض المصدر")</f>
        <v/>
      </c>
    </row>
    <row r="120">
      <c r="A120" s="13" t="inlineStr">
        <is>
          <t>RFQ 2166316</t>
        </is>
      </c>
      <c r="B120" s="13" t="inlineStr">
        <is>
          <t>شركة البترول الوطنية الكويتية</t>
        </is>
      </c>
      <c r="C120" s="13" t="inlineStr">
        <is>
          <t>Abrar Al-Qallaf</t>
        </is>
      </c>
      <c r="D120" s="13" t="inlineStr">
        <is>
          <t>ممارسة رقم RFQ 2166316: توريد مواد ومهمات تشغيلية لزوم شركة البترول الوطنية الكويتية - شركة البترول الوطنية الكويتية</t>
        </is>
      </c>
      <c r="E120" s="13" t="inlineStr">
        <is>
          <t>أعمال وتوريدات تخصصية لزوم شركة البترول الوطنية الكويتية حسب وثائق الممارسة رقم RFQ 2166316 عبر منصة K-Tendering.</t>
        </is>
      </c>
      <c r="F120" s="13" t="inlineStr">
        <is>
          <t>وفقاً لشروط وإجراءات المناقصات والتوريد لدى شركة البترول الوطنية الكويتية (KNPC) عبر منصة K-Tendering.</t>
        </is>
      </c>
      <c r="G120" s="14" t="inlineStr">
        <is>
          <t>عام</t>
        </is>
      </c>
      <c r="H120" s="14" t="inlineStr">
        <is>
          <t>15.0%</t>
        </is>
      </c>
      <c r="I120" s="14" t="inlineStr">
        <is>
          <t>oil_and_gas</t>
        </is>
      </c>
      <c r="J120" s="14" t="inlineStr">
        <is>
          <t>2026-08-30</t>
        </is>
      </c>
      <c r="K120" s="14" t="inlineStr">
        <is>
          <t>2026-11-30</t>
        </is>
      </c>
      <c r="L120" s="14" t="inlineStr">
        <is>
          <t>150000.0</t>
        </is>
      </c>
      <c r="M120" s="14" t="inlineStr">
        <is>
          <t>-</t>
        </is>
      </c>
      <c r="N120" s="25" t="inlineStr">
        <is>
          <t>NEW</t>
        </is>
      </c>
      <c r="O120" s="14" t="inlineStr">
        <is>
          <t>غير متوافقة</t>
        </is>
      </c>
      <c r="P120" s="22">
        <f>HYPERLINK("https://kuwaitalyawm.media.gov.kw/Online/ViewAdsHTML?id=168785&amp;no=1", "عرض المصدر")</f>
        <v/>
      </c>
    </row>
    <row r="121">
      <c r="A121" s="11" t="inlineStr">
        <is>
          <t>RFP 2162824</t>
        </is>
      </c>
      <c r="B121" s="11" t="inlineStr">
        <is>
          <t>شركة البترول الوطنية الكويتية</t>
        </is>
      </c>
      <c r="C121" s="11" t="inlineStr">
        <is>
          <t>Abrar Al-Qallaf</t>
        </is>
      </c>
      <c r="D121" s="11" t="inlineStr">
        <is>
          <t>ممارسة رقم RFP 2162824: توريد مواد ومهمات تشغيلية لزوم شركة البترول الوطنية الكويتية - شركة البترول الوطنية الكويتية</t>
        </is>
      </c>
      <c r="E121" s="11" t="inlineStr">
        <is>
          <t>أعمال وتوريدات تخصصية لزوم شركة البترول الوطنية الكويتية حسب وثائق الممارسة رقم RFP 2162824 عبر منصة K-Tendering.</t>
        </is>
      </c>
      <c r="F121" s="11" t="inlineStr">
        <is>
          <t>وفقاً لشروط وإجراءات المناقصات والتوريد لدى شركة البترول الوطنية الكويتية (KNPC) عبر منصة K-Tendering.</t>
        </is>
      </c>
      <c r="G121" s="12" t="inlineStr">
        <is>
          <t>عام</t>
        </is>
      </c>
      <c r="H121" s="12" t="inlineStr">
        <is>
          <t>15.0%</t>
        </is>
      </c>
      <c r="I121" s="12" t="inlineStr">
        <is>
          <t>oil_and_gas</t>
        </is>
      </c>
      <c r="J121" s="12" t="inlineStr">
        <is>
          <t>2026-08-30</t>
        </is>
      </c>
      <c r="K121" s="12" t="inlineStr">
        <is>
          <t>2026-11-30</t>
        </is>
      </c>
      <c r="L121" s="12" t="inlineStr">
        <is>
          <t>50000.0</t>
        </is>
      </c>
      <c r="M121" s="12" t="inlineStr">
        <is>
          <t>-</t>
        </is>
      </c>
      <c r="N121" s="25" t="inlineStr">
        <is>
          <t>NEW</t>
        </is>
      </c>
      <c r="O121" s="12" t="inlineStr">
        <is>
          <t>غير متوافقة</t>
        </is>
      </c>
      <c r="P121" s="23">
        <f>HYPERLINK("https://kuwaitalyawm.media.gov.kw/Online/ViewAdsHTML?id=168786&amp;no=1", "عرض المصدر")</f>
        <v/>
      </c>
    </row>
    <row r="122">
      <c r="A122" s="13" t="inlineStr">
        <is>
          <t>2026/2025/41</t>
        </is>
      </c>
      <c r="B122" s="13" t="inlineStr">
        <is>
          <t>وزارة الداخلية</t>
        </is>
      </c>
      <c r="C122" s="13" t="inlineStr">
        <is>
          <t>Khaled Alabdallah</t>
        </is>
      </c>
      <c r="D122" s="13" t="inlineStr">
        <is>
          <t>مناقصة رقم 2026/2025/41: يرجـى العلم بأنه تم تعديل قيمة التأمين الأولي بشأن المناقصة المذكورة أعــــــلاه ليصبح مبلغ (-/12,000 د.ك) فقط إثنى عشر ألف دينار كويتي لا غير.</t>
        </is>
      </c>
      <c r="E122" s="13" t="inlineStr">
        <is>
          <t>أعمال وتوريدات يرجـى العلم بأنه تم تعديل قيمة التأمين الأولي بشأن المناقصة المذكورة أعــــــلاه ليصبح مبلغ (-/12,000 د.ك) فقط إثنى عشر ألف دينار كويتي لا غير. لصالح وزارة الداخلية وفقاً للشروط والمواصفات المعتمدة في وثائق الطرح.</t>
        </is>
      </c>
      <c r="F12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22" s="14" t="inlineStr">
        <is>
          <t>عام</t>
        </is>
      </c>
      <c r="H122" s="14" t="inlineStr">
        <is>
          <t>0.0%</t>
        </is>
      </c>
      <c r="I122" s="14" t="inlineStr">
        <is>
          <t>government</t>
        </is>
      </c>
      <c r="J122" s="14" t="inlineStr">
        <is>
          <t>2026-08-23</t>
        </is>
      </c>
      <c r="K122" s="14" t="inlineStr">
        <is>
          <t>-</t>
        </is>
      </c>
      <c r="L122" s="14" t="inlineStr">
        <is>
          <t>12000.0</t>
        </is>
      </c>
      <c r="M122" s="14" t="inlineStr">
        <is>
          <t>-</t>
        </is>
      </c>
      <c r="N122" s="25" t="inlineStr">
        <is>
          <t>NEW</t>
        </is>
      </c>
      <c r="O122" s="14" t="inlineStr">
        <is>
          <t>غير متوافقة مع اختصاصات KBM</t>
        </is>
      </c>
      <c r="P122" s="22">
        <f>HYPERLINK("https://kuwaitalyawm.media.gov.kw/Online/ViewAdsHTML?id=167483&amp;no=1", "عرض المصدر")</f>
        <v/>
      </c>
    </row>
    <row r="123">
      <c r="A123" s="11" t="inlineStr">
        <is>
          <t>2027/2026/1302</t>
        </is>
      </c>
      <c r="B123" s="11" t="inlineStr">
        <is>
          <t>المؤسسة العامة للرعاية السكنية</t>
        </is>
      </c>
      <c r="C123" s="11" t="inlineStr">
        <is>
          <t>Eiman Ashkanani</t>
        </is>
      </c>
      <c r="D123" s="11" t="inlineStr">
        <is>
          <t>مناقصة رقم 2027/2026/1302: أعمال إنشاء وإنـجاز وصيانة طبقة الاسفلت السطحية</t>
        </is>
      </c>
      <c r="E123" s="11" t="inlineStr">
        <is>
          <t>تنفيذ الأعمال المدنية والإنشائية والترميم والصيانة العامة للمباني والمنشآت والمرافق التابعة للجهة.</t>
        </is>
      </c>
      <c r="F12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23" s="12" t="inlineStr">
        <is>
          <t>عام</t>
        </is>
      </c>
      <c r="H123" s="12" t="inlineStr">
        <is>
          <t>28.0%</t>
        </is>
      </c>
      <c r="I123" s="12" t="inlineStr">
        <is>
          <t>government</t>
        </is>
      </c>
      <c r="J123" s="12" t="inlineStr">
        <is>
          <t>2026-08-23</t>
        </is>
      </c>
      <c r="K123" s="12" t="inlineStr">
        <is>
          <t>2026-09-13</t>
        </is>
      </c>
      <c r="L123" s="12" t="inlineStr">
        <is>
          <t>-</t>
        </is>
      </c>
      <c r="M123" s="12" t="inlineStr">
        <is>
          <t>-</t>
        </is>
      </c>
      <c r="N123" s="25" t="inlineStr">
        <is>
          <t>NEW</t>
        </is>
      </c>
      <c r="O123" s="12" t="inlineStr">
        <is>
          <t>غير متوافقة مع اختصاصات KBM</t>
        </is>
      </c>
      <c r="P123" s="23">
        <f>HYPERLINK("https://kuwaitalyawm.media.gov.kw/Online/ViewAdsHTML?id=167880&amp;no=1", "عرض المصدر")</f>
        <v/>
      </c>
    </row>
    <row r="124">
      <c r="A124" s="13" t="inlineStr">
        <is>
          <t>2027/2026/1434</t>
        </is>
      </c>
      <c r="B124" s="13" t="inlineStr">
        <is>
          <t>المؤسسة العامة للرعاية السكنية</t>
        </is>
      </c>
      <c r="C124" s="13" t="inlineStr">
        <is>
          <t>Eiman Ashkanani</t>
        </is>
      </c>
      <c r="D124" s="13" t="inlineStr">
        <is>
          <t>مناقصة رقم 2027/2026/1434 - المؤسسة العامة للرعاية السكنية</t>
        </is>
      </c>
      <c r="E124" s="13" t="inlineStr">
        <is>
          <t>أعمال وتوريدات مناقصة رقم 2027/2026/1434 لصالح المؤسسة العامة للرعاية السكنية وفقاً للشروط والمواصفات المعتمدة في وثائق الطرح.</t>
        </is>
      </c>
      <c r="F12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24" s="14" t="inlineStr">
        <is>
          <t>عام</t>
        </is>
      </c>
      <c r="H124" s="14" t="inlineStr">
        <is>
          <t>0.0%</t>
        </is>
      </c>
      <c r="I124" s="14" t="inlineStr">
        <is>
          <t>government</t>
        </is>
      </c>
      <c r="J124" s="14" t="inlineStr">
        <is>
          <t>2026-08-23</t>
        </is>
      </c>
      <c r="K124" s="14" t="inlineStr">
        <is>
          <t>2026-08-26</t>
        </is>
      </c>
      <c r="L124" s="14" t="inlineStr">
        <is>
          <t>-</t>
        </is>
      </c>
      <c r="M124" s="14" t="inlineStr">
        <is>
          <t>-</t>
        </is>
      </c>
      <c r="N124" s="25" t="inlineStr">
        <is>
          <t>NEW</t>
        </is>
      </c>
      <c r="O124" s="14" t="inlineStr">
        <is>
          <t>غير متوافقة مع اختصاصات KBM</t>
        </is>
      </c>
      <c r="P124" s="22">
        <f>HYPERLINK("https://kuwaitalyawm.media.gov.kw/Online/ViewAdsHTML?id=167881&amp;no=1", "عرض المصدر")</f>
        <v/>
      </c>
    </row>
    <row r="125">
      <c r="A125" s="11" t="inlineStr">
        <is>
          <t>2027/2026/1435</t>
        </is>
      </c>
      <c r="B125" s="11" t="inlineStr">
        <is>
          <t>المؤسسة العامة للرعاية السكنية</t>
        </is>
      </c>
      <c r="C125" s="11" t="inlineStr">
        <is>
          <t>Eiman Ashkanani</t>
        </is>
      </c>
      <c r="D125" s="11" t="inlineStr">
        <is>
          <t>مناقصة رقم 2027/2026/1435 - المؤسسة العامة للرعاية السكنية</t>
        </is>
      </c>
      <c r="E125" s="11" t="inlineStr">
        <is>
          <t>أعمال وتوريدات مناقصة رقم 2027/2026/1435 لصالح المؤسسة العامة للرعاية السكنية وفقاً للشروط والمواصفات المعتمدة في وثائق الطرح.</t>
        </is>
      </c>
      <c r="F12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25" s="12" t="inlineStr">
        <is>
          <t>عام</t>
        </is>
      </c>
      <c r="H125" s="12" t="inlineStr">
        <is>
          <t>0.0%</t>
        </is>
      </c>
      <c r="I125" s="12" t="inlineStr">
        <is>
          <t>government</t>
        </is>
      </c>
      <c r="J125" s="12" t="inlineStr">
        <is>
          <t>2026-08-23</t>
        </is>
      </c>
      <c r="K125" s="12" t="inlineStr">
        <is>
          <t>2026-08-26</t>
        </is>
      </c>
      <c r="L125" s="12" t="inlineStr">
        <is>
          <t>-</t>
        </is>
      </c>
      <c r="M125" s="12" t="inlineStr">
        <is>
          <t>-</t>
        </is>
      </c>
      <c r="N125" s="25" t="inlineStr">
        <is>
          <t>NEW</t>
        </is>
      </c>
      <c r="O125" s="12" t="inlineStr">
        <is>
          <t>غير متوافقة مع اختصاصات KBM</t>
        </is>
      </c>
      <c r="P125" s="23">
        <f>HYPERLINK("https://kuwaitalyawm.media.gov.kw/Online/ViewAdsHTML?id=167882&amp;no=1", "عرض المصدر")</f>
        <v/>
      </c>
    </row>
    <row r="126">
      <c r="A126" s="13" t="inlineStr">
        <is>
          <t>2026/2025/15</t>
        </is>
      </c>
      <c r="B126" s="13" t="inlineStr">
        <is>
          <t>الشركة الكويتية لتزويد الطائرات بالوقود</t>
        </is>
      </c>
      <c r="C126" s="13" t="inlineStr">
        <is>
          <t>Eiman Ashkanani</t>
        </is>
      </c>
      <c r="D126" s="13" t="inlineStr">
        <is>
          <t>مناقصة رقم 2026/2025/15 - الشركة الكويتية لتزويد الطائرات بالوقود</t>
        </is>
      </c>
      <c r="E126" s="13" t="inlineStr">
        <is>
          <t>أعمال وتوريدات مناقصة رقم 2026/2025/15 - الشركة الكويتية لتزويد الطائرات بالوقود لصالح الشركة الكويتية لتزويد الطائرات بالوقود وفقاً للشروط والمواصفات المعتمدة في وثائق الطرح.</t>
        </is>
      </c>
      <c r="F12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26" s="14" t="inlineStr">
        <is>
          <t>عام</t>
        </is>
      </c>
      <c r="H126" s="14" t="inlineStr">
        <is>
          <t>0.0%</t>
        </is>
      </c>
      <c r="I126" s="14" t="inlineStr">
        <is>
          <t>government</t>
        </is>
      </c>
      <c r="J126" s="14" t="inlineStr">
        <is>
          <t>2026-08-23</t>
        </is>
      </c>
      <c r="K126" s="14" t="inlineStr">
        <is>
          <t>-</t>
        </is>
      </c>
      <c r="L126" s="14" t="inlineStr">
        <is>
          <t>19998.5</t>
        </is>
      </c>
      <c r="M126" s="14" t="inlineStr">
        <is>
          <t>-</t>
        </is>
      </c>
      <c r="N126" s="25" t="inlineStr">
        <is>
          <t>NEW</t>
        </is>
      </c>
      <c r="O126" s="14" t="inlineStr">
        <is>
          <t>غير متوافقة مع اختصاصات KBM</t>
        </is>
      </c>
      <c r="P126" s="22">
        <f>HYPERLINK("https://kuwaitalyawm.media.gov.kw/Online/ViewAdsHTML?id=167896&amp;no=1", "عرض المصدر")</f>
        <v/>
      </c>
    </row>
    <row r="127">
      <c r="A127" s="11" t="inlineStr">
        <is>
          <t>2024/2023/30</t>
        </is>
      </c>
      <c r="B127" s="11" t="inlineStr">
        <is>
          <t>الشركة الكويتية لتزويد الطائرات بالوقود</t>
        </is>
      </c>
      <c r="C127" s="11" t="inlineStr">
        <is>
          <t>Eiman Ashkanani</t>
        </is>
      </c>
      <c r="D127" s="11" t="inlineStr">
        <is>
          <t>مناقصة رقم 2024/2023/30: الحاقا الى الإعلان الصادر في الجريدة الرسمية (الكويت اليوم) العدد رقم (1804) الصفحة رقم (247 &amp; 248) بتاريخ 16/08/2026 بخصوص الموضوع اعلاه، تود لجنة الشراء العليا لمناقصات الشركة الكويتية لتزويد الطائرات بناء على طلب من الشركة الكويتية لتزويد الطائرات بالوقود، ان تسترعي انتباه السادة المناقصين / الشركات الى انه تم تغيير موعد تاريخ الاجتماع التمهيدي للمناقصة الى يوم الاثنين الموافق 1/9/2026 بدلا من يوم الخميس الموافق 27/8/2026</t>
        </is>
      </c>
      <c r="E127" s="11" t="inlineStr">
        <is>
          <t>أعمال وتوريدات الحاقا الى الإعلان الصادر في الجريدة الرسمية (الكويت اليوم) العدد رقم (1804) الصفحة رقم (247 &amp; 248) بتاريخ 16/08/2026 بخصوص الموضوع اعلاه، تود لجنة الشراء العليا لمناقصات الشركة الكويتية لتزويد الطائرات بناء على طلب من الشركة الكويتية لتزويد الطائرات بالوقود، ان تسترعي انتباه السادة المناقصين / الشركات الى انه تم تغيير موعد تاريخ الاجتماع التمهيدي للمناقصة الى يوم الاثنين الموافق 1/9/2026 بدلا من يوم الخميس الموافق 27/8/2026 لصالح الشركة الكويتية لتزويد الطائرات بالوقود وفقاً للشروط والمواصفات المعتمدة في وثائق الطرح.</t>
        </is>
      </c>
      <c r="F12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27" s="12" t="inlineStr">
        <is>
          <t>عام</t>
        </is>
      </c>
      <c r="H127" s="12" t="inlineStr">
        <is>
          <t>0.0%</t>
        </is>
      </c>
      <c r="I127" s="12" t="inlineStr">
        <is>
          <t>government</t>
        </is>
      </c>
      <c r="J127" s="12" t="inlineStr">
        <is>
          <t>2026-08-23</t>
        </is>
      </c>
      <c r="K127" s="12" t="inlineStr">
        <is>
          <t>-</t>
        </is>
      </c>
      <c r="L127" s="12" t="inlineStr">
        <is>
          <t>-</t>
        </is>
      </c>
      <c r="M127" s="12" t="inlineStr">
        <is>
          <t>-</t>
        </is>
      </c>
      <c r="N127" s="25" t="inlineStr">
        <is>
          <t>NEW</t>
        </is>
      </c>
      <c r="O127" s="12" t="inlineStr">
        <is>
          <t>غير متوافقة مع اختصاصات KBM</t>
        </is>
      </c>
      <c r="P127" s="23">
        <f>HYPERLINK("https://kuwaitalyawm.media.gov.kw/Online/ViewAdsHTML?id=167897&amp;no=1", "عرض المصدر")</f>
        <v/>
      </c>
    </row>
    <row r="128">
      <c r="A128" s="13" t="inlineStr">
        <is>
          <t>HO/TC146000/R0/PM&amp;E26</t>
        </is>
      </c>
      <c r="B128" s="13" t="inlineStr">
        <is>
          <t>الشركة الكويتية لنفط الخليج</t>
        </is>
      </c>
      <c r="C128" s="13" t="inlineStr">
        <is>
          <t>Eiman Ashkanani</t>
        </is>
      </c>
      <c r="D128" s="13" t="inlineStr">
        <is>
          <t>مناقصة رقم HO/TC146000/R0/PM&amp;E26 - الشركة الكويتية لنفط الخليج</t>
        </is>
      </c>
      <c r="E128" s="13" t="inlineStr">
        <is>
          <t>أعمال وتوريدات مناقصة رقم HO/TC146000/R0/PM&amp;E26 - الشركة الكويتية لنفط الخليج لصالح الشركة الكويتية لنفط الخليج وفقاً للشروط والمواصفات المعتمدة في وثائق الطرح.</t>
        </is>
      </c>
      <c r="F12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28" s="14" t="inlineStr">
        <is>
          <t>عام</t>
        </is>
      </c>
      <c r="H128" s="14" t="inlineStr">
        <is>
          <t>0.0%</t>
        </is>
      </c>
      <c r="I128" s="14" t="inlineStr">
        <is>
          <t>government</t>
        </is>
      </c>
      <c r="J128" s="14" t="inlineStr">
        <is>
          <t>2026-08-23</t>
        </is>
      </c>
      <c r="K128" s="14" t="inlineStr">
        <is>
          <t>2026-12-29</t>
        </is>
      </c>
      <c r="L128" s="14" t="inlineStr">
        <is>
          <t>10000000.0</t>
        </is>
      </c>
      <c r="M128" s="14" t="inlineStr">
        <is>
          <t>-</t>
        </is>
      </c>
      <c r="N128" s="25" t="inlineStr">
        <is>
          <t>NEW</t>
        </is>
      </c>
      <c r="O128" s="14" t="inlineStr">
        <is>
          <t>غير متوافقة مع اختصاصات KBM</t>
        </is>
      </c>
      <c r="P128" s="22">
        <f>HYPERLINK("https://kuwaitalyawm.media.gov.kw/Online/ViewAdsHTML?id=167899&amp;no=1", "عرض المصدر")</f>
        <v/>
      </c>
    </row>
    <row r="129">
      <c r="A129" s="11" t="inlineStr">
        <is>
          <t>CB CPC 2562</t>
        </is>
      </c>
      <c r="B129" s="11" t="inlineStr">
        <is>
          <t>شركة البترول الوطنية الكويتية</t>
        </is>
      </c>
      <c r="C129" s="11" t="inlineStr">
        <is>
          <t>Abrar Al-Qallaf</t>
        </is>
      </c>
      <c r="D129" s="11" t="inlineStr">
        <is>
          <t>ممارسة رقم CB CPC 2562: توريد مواد ومهمات تشغيلية لزوم شركة البترول الوطنية الكويتية - شركة البترول الوطنية الكويتية</t>
        </is>
      </c>
      <c r="E129" s="11" t="inlineStr">
        <is>
          <t>أعمال وتوريدات تخصصية لزوم شركة البترول الوطنية الكويتية حسب وثائق الممارسة رقم CB CPC 2562 عبر منصة K-Tendering.</t>
        </is>
      </c>
      <c r="F129" s="11" t="inlineStr">
        <is>
          <t>وفقاً لشروط وإجراءات المناقصات والتوريد لدى شركة البترول الوطنية الكويتية (KNPC) عبر منصة K-Tendering.</t>
        </is>
      </c>
      <c r="G129" s="12" t="inlineStr">
        <is>
          <t>عام</t>
        </is>
      </c>
      <c r="H129" s="12" t="inlineStr">
        <is>
          <t>15.0%</t>
        </is>
      </c>
      <c r="I129" s="12" t="inlineStr">
        <is>
          <t>oil_and_gas</t>
        </is>
      </c>
      <c r="J129" s="12" t="inlineStr">
        <is>
          <t>2026-08-23</t>
        </is>
      </c>
      <c r="K129" s="12" t="inlineStr">
        <is>
          <t>2026-11-26</t>
        </is>
      </c>
      <c r="L129" s="12" t="inlineStr">
        <is>
          <t>5000.0</t>
        </is>
      </c>
      <c r="M129" s="12" t="inlineStr">
        <is>
          <t>150.0</t>
        </is>
      </c>
      <c r="N129" s="25" t="inlineStr">
        <is>
          <t>NEW</t>
        </is>
      </c>
      <c r="O129" s="12" t="inlineStr">
        <is>
          <t>غير متوافقة</t>
        </is>
      </c>
      <c r="P129" s="23">
        <f>HYPERLINK("https://kuwaitalyawm.media.gov.kw/Online/ViewAdsHTML?id=167906&amp;no=1", "عرض المصدر")</f>
        <v/>
      </c>
    </row>
    <row r="130">
      <c r="A130" s="13" t="inlineStr">
        <is>
          <t>RFQ 1063574</t>
        </is>
      </c>
      <c r="B130" s="13" t="inlineStr">
        <is>
          <t>شركة البترول الوطنية الكويتية</t>
        </is>
      </c>
      <c r="C130" s="13" t="inlineStr">
        <is>
          <t>Abrar Al-Qallaf</t>
        </is>
      </c>
      <c r="D130" s="13" t="inlineStr">
        <is>
          <t>ممارسة رقم RFQ 1063574: توريد مواد ومهمات تشغيلية لزوم شركة البترول الوطنية الكويتية - شركة البترول الوطنية الكويتية</t>
        </is>
      </c>
      <c r="E130" s="13" t="inlineStr">
        <is>
          <t>أعمال وتوريدات تخصصية لزوم شركة البترول الوطنية الكويتية حسب وثائق الممارسة رقم RFQ 1063574 عبر منصة K-Tendering.</t>
        </is>
      </c>
      <c r="F130" s="13" t="inlineStr">
        <is>
          <t>وفقاً لشروط وإجراءات المناقصات والتوريد لدى شركة البترول الوطنية الكويتية (KNPC) عبر منصة K-Tendering.</t>
        </is>
      </c>
      <c r="G130" s="14" t="inlineStr">
        <is>
          <t>عام</t>
        </is>
      </c>
      <c r="H130" s="14" t="inlineStr">
        <is>
          <t>15.0%</t>
        </is>
      </c>
      <c r="I130" s="14" t="inlineStr">
        <is>
          <t>oil_and_gas</t>
        </is>
      </c>
      <c r="J130" s="14" t="inlineStr">
        <is>
          <t>2026-08-23</t>
        </is>
      </c>
      <c r="K130" s="14" t="inlineStr">
        <is>
          <t>2026-12-03</t>
        </is>
      </c>
      <c r="L130" s="14" t="inlineStr">
        <is>
          <t>1000.0</t>
        </is>
      </c>
      <c r="M130" s="14" t="inlineStr">
        <is>
          <t>-</t>
        </is>
      </c>
      <c r="N130" s="25" t="inlineStr">
        <is>
          <t>NEW</t>
        </is>
      </c>
      <c r="O130" s="14" t="inlineStr">
        <is>
          <t>غير متوافقة</t>
        </is>
      </c>
      <c r="P130" s="22">
        <f>HYPERLINK("https://kuwaitalyawm.media.gov.kw/Online/ViewAdsHTML?id=167907&amp;no=1", "عرض المصدر")</f>
        <v/>
      </c>
    </row>
    <row r="131">
      <c r="A131" s="11" t="inlineStr">
        <is>
          <t>1000</t>
        </is>
      </c>
      <c r="B131" s="11" t="inlineStr">
        <is>
          <t>شركة البترول الوطنية الكويتية</t>
        </is>
      </c>
      <c r="C131" s="11" t="inlineStr">
        <is>
          <t>Abrar Al-Qallaf</t>
        </is>
      </c>
      <c r="D131" s="11" t="inlineStr">
        <is>
          <t>ممارسة رقم 1000: توريد مواد ومهمات تشغيلية لزوم شركة البترول الوطنية الكويتية - شركة البترول الوطنية الكويتية</t>
        </is>
      </c>
      <c r="E131" s="11" t="inlineStr">
        <is>
          <t>أعمال وتوريدات تخصصية لزوم شركة البترول الوطنية الكويتية حسب وثائق الممارسة رقم 1000 عبر منصة K-Tendering.</t>
        </is>
      </c>
      <c r="F131" s="11" t="inlineStr">
        <is>
          <t>وفقاً لشروط وإجراءات المناقصات والتوريد لدى شركة البترول الوطنية الكويتية (KNPC) عبر منصة K-Tendering.</t>
        </is>
      </c>
      <c r="G131" s="12" t="inlineStr">
        <is>
          <t>عام</t>
        </is>
      </c>
      <c r="H131" s="12" t="inlineStr">
        <is>
          <t>15.0%</t>
        </is>
      </c>
      <c r="I131" s="12" t="inlineStr">
        <is>
          <t>oil_and_gas</t>
        </is>
      </c>
      <c r="J131" s="12" t="inlineStr">
        <is>
          <t>2026-08-23</t>
        </is>
      </c>
      <c r="K131" s="12" t="inlineStr">
        <is>
          <t>-</t>
        </is>
      </c>
      <c r="L131" s="12" t="inlineStr">
        <is>
          <t>-</t>
        </is>
      </c>
      <c r="M131" s="12" t="inlineStr">
        <is>
          <t>-</t>
        </is>
      </c>
      <c r="N131" s="25" t="inlineStr">
        <is>
          <t>NEW</t>
        </is>
      </c>
      <c r="O131" s="12" t="inlineStr">
        <is>
          <t>غير متوافقة</t>
        </is>
      </c>
      <c r="P131" s="23">
        <f>HYPERLINK("https://kuwaitalyawm.media.gov.kw/Online/ViewAdsHTML?id=167908&amp;no=1", "عرض المصدر")</f>
        <v/>
      </c>
    </row>
    <row r="132">
      <c r="A132" s="13" t="inlineStr">
        <is>
          <t>268-274</t>
        </is>
      </c>
      <c r="B132" s="13" t="inlineStr">
        <is>
          <t>وزارة الصحة</t>
        </is>
      </c>
      <c r="C132" s="13" t="inlineStr">
        <is>
          <t>Jana Al-Obaid</t>
        </is>
      </c>
      <c r="D132" s="13" t="inlineStr">
        <is>
          <t>ممارسة رقم 268-274 - وزارة الصحة (العدد 1810)</t>
        </is>
      </c>
      <c r="E132" s="13" t="inlineStr">
        <is>
          <t>أعمال وتوريدات ممارسة رقم 268-274 لصالح وزارة الصحة وفقاً للشروط والمواصفات المعتمدة في وثائق الطرح.</t>
        </is>
      </c>
      <c r="F132" s="13" t="inlineStr">
        <is>
          <t>• 1- أن تكون مقصورة على الشركات المسجلة لدى إدارة الهندسة الطبية.
• 2- أن تكون الشركة متخصصة في هذا المجال مع احضار ما يفيد ذلك.
• 3- سداد الرسوم المقررة لشراء وثائق الممارسة إلكترونياً.
• 4- أن تقدم الشركات المشاركة شهادة دعم العمالة الوطنية.
• 5- يمكن الحصول على وثائق الممارسات من تاريخ النشر لغاية تاريخ الإغلاق.</t>
        </is>
      </c>
      <c r="G132" s="14" t="inlineStr">
        <is>
          <t>عام</t>
        </is>
      </c>
      <c r="H132" s="14" t="inlineStr">
        <is>
          <t>15.0%</t>
        </is>
      </c>
      <c r="I132" s="14" t="inlineStr">
        <is>
          <t>healthcare</t>
        </is>
      </c>
      <c r="J132" s="14" t="inlineStr">
        <is>
          <t>2026-09-27</t>
        </is>
      </c>
      <c r="K132" s="14" t="inlineStr">
        <is>
          <t>-</t>
        </is>
      </c>
      <c r="L132" s="14" t="inlineStr">
        <is>
          <t>-</t>
        </is>
      </c>
      <c r="M132" s="14" t="inlineStr">
        <is>
          <t>75.0 KWD</t>
        </is>
      </c>
      <c r="N132" s="21" t="inlineStr">
        <is>
          <t>UPDATED</t>
        </is>
      </c>
      <c r="O132" s="14" t="inlineStr">
        <is>
          <t>غير متوافقة مع اختصاصات KBM</t>
        </is>
      </c>
      <c r="P132" s="22">
        <f>HYPERLINK("https://kuwaitalyawm.media.gov.kw/Online/ViewAdsHTML?id=171548&amp;no=1", "عرض المصدر")</f>
        <v/>
      </c>
    </row>
    <row r="133">
      <c r="A133" s="11" t="inlineStr">
        <is>
          <t>313-225</t>
        </is>
      </c>
      <c r="B133" s="11" t="inlineStr">
        <is>
          <t>وزارة الصحة</t>
        </is>
      </c>
      <c r="C133" s="11" t="inlineStr">
        <is>
          <t>Jana Al-Obaid</t>
        </is>
      </c>
      <c r="D133" s="11" t="inlineStr">
        <is>
          <t>ممارسة رقم 313-225: توريد WASTE DISPOSAL SYSTEM MACERATOR</t>
        </is>
      </c>
      <c r="E133" s="11" t="inlineStr">
        <is>
          <t>أعمال وتوريدات توريد WASTE DISPOSAL SYSTEM MACERATOR لصالح وزارة الصحة وفقاً للشروط والمواصفات المعتمدة في وثائق الطرح.</t>
        </is>
      </c>
      <c r="F133" s="11" t="inlineStr">
        <is>
          <t>• أن تكون مقصورة على الشركات المسجلة لدى إدارة الهندسة الطبية.
• أن تكون الشركة متخصصة في هذا المجال مع احضار ما يفيد ذلك.
• سداد الرسوم المقررة لشراء وثائق الممارسة إلكترونياً.
• أن تقدم الشركات المشاركة شهادة دعم العمالة الوطنية.
• يمكن الحصول على وثائق الممارسات من تاريخ النشر لغاية تاريخ الاغلاق.</t>
        </is>
      </c>
      <c r="G133" s="12" t="inlineStr">
        <is>
          <t>عام</t>
        </is>
      </c>
      <c r="H133" s="12" t="inlineStr">
        <is>
          <t>15.0%</t>
        </is>
      </c>
      <c r="I133" s="12" t="inlineStr">
        <is>
          <t>healthcare</t>
        </is>
      </c>
      <c r="J133" s="12" t="inlineStr">
        <is>
          <t>2026-09-27</t>
        </is>
      </c>
      <c r="K133" s="12" t="inlineStr">
        <is>
          <t>2026-10-28</t>
        </is>
      </c>
      <c r="L133" s="12" t="inlineStr">
        <is>
          <t>-</t>
        </is>
      </c>
      <c r="M133" s="12" t="inlineStr">
        <is>
          <t>150.0 KWD</t>
        </is>
      </c>
      <c r="N133" s="21" t="inlineStr">
        <is>
          <t>UPDATED</t>
        </is>
      </c>
      <c r="O133" s="12" t="inlineStr">
        <is>
          <t>غير متوافقة مع اختصاصات KBM</t>
        </is>
      </c>
      <c r="P133" s="23">
        <f>HYPERLINK("https://kuwaitalyawm.media.gov.kw/Online/ViewAdsHTML?id=171547&amp;no=1", "عرض المصدر")</f>
        <v/>
      </c>
    </row>
    <row r="134">
      <c r="A134" s="13" t="inlineStr">
        <is>
          <t>36-40</t>
        </is>
      </c>
      <c r="B134" s="13" t="inlineStr">
        <is>
          <t>وزارة الصحة</t>
        </is>
      </c>
      <c r="C134" s="13" t="inlineStr">
        <is>
          <t>Jana Al-Obaid</t>
        </is>
      </c>
      <c r="D134" s="13" t="inlineStr">
        <is>
          <t>ممارسة رقم 36-40 - وزارة الصحة (العدد 1810)</t>
        </is>
      </c>
      <c r="E134" s="13" t="inlineStr">
        <is>
          <t>أعمال وتوريدات ممارسة رقم 36-40 لصالح وزارة الصحة وفقاً للشروط والمواصفات المعتمدة في وثائق الطرح.</t>
        </is>
      </c>
      <c r="F134" s="13" t="inlineStr">
        <is>
          <t>• أن تكون مقصورة على الشركات المسجلة لدى إدارة الهندسة الطبية.
• أن تكون الشركة متخصصة في هذا المجال مع إحضار ما يفيد ذلك.
• سداد الرسوم المقررة لشراء وثائق الممارسة بطوابع إلكترونية.
• كتاب تفويض من الشركة بشراء وثائق الممارسة.
• أن تقدم الشركات المشاركة شهادة دعم العمالة الوطنية.
• يمكن الحصول على وثائق الممارسات من تاريخ النشر ولمدة 14 يوم فقط.</t>
        </is>
      </c>
      <c r="G134" s="14" t="inlineStr">
        <is>
          <t>عام</t>
        </is>
      </c>
      <c r="H134" s="14" t="inlineStr">
        <is>
          <t>15.0%</t>
        </is>
      </c>
      <c r="I134" s="14" t="inlineStr">
        <is>
          <t>healthcare</t>
        </is>
      </c>
      <c r="J134" s="14" t="inlineStr">
        <is>
          <t>2026-09-27</t>
        </is>
      </c>
      <c r="K134" s="18" t="inlineStr">
        <is>
          <t>2026-10-14</t>
        </is>
      </c>
      <c r="L134" s="14" t="inlineStr">
        <is>
          <t>-</t>
        </is>
      </c>
      <c r="M134" s="14" t="inlineStr">
        <is>
          <t>75.0 KWD</t>
        </is>
      </c>
      <c r="N134" s="21" t="inlineStr">
        <is>
          <t>UPDATED</t>
        </is>
      </c>
      <c r="O134" s="14" t="inlineStr">
        <is>
          <t>غير متوافقة مع اختصاصات KBM</t>
        </is>
      </c>
      <c r="P134" s="22">
        <f>HYPERLINK("https://kuwaitalyawm.media.gov.kw/Online/ViewAdsHTML?id=171546&amp;no=1", "عرض المصدر")</f>
        <v/>
      </c>
    </row>
    <row r="135">
      <c r="A135" s="11" t="inlineStr">
        <is>
          <t>430-190</t>
        </is>
      </c>
      <c r="B135" s="11" t="inlineStr">
        <is>
          <t>وزارة الصحة</t>
        </is>
      </c>
      <c r="C135" s="11" t="inlineStr">
        <is>
          <t>Jana Al-Obaid</t>
        </is>
      </c>
      <c r="D135" s="11" t="inlineStr">
        <is>
          <t>ممارسة رقم 430-190 - وزارة الصحة (العدد 1810)</t>
        </is>
      </c>
      <c r="E135" s="11" t="inlineStr">
        <is>
          <t>أعمال وتوريدات ممارسة رقم 430-190 لصالح وزارة الصحة وفقاً للشروط والمواصفات المعتمدة في وثائق الطرح.</t>
        </is>
      </c>
      <c r="F135" s="11" t="inlineStr">
        <is>
          <t>• أن تكون مقصورة على الشركات المسجلة لدى إدارة الهندسة الطبية.
• أن تكون الشركة متخصصة في هذا المجال مع احضار ما يفيد ذلك.
• سداد الرسوم المقررة لشراء وثائق الممارسة إلكترونياً.
• أن تقدم الشركات المشاركة شهادة دعم العمالة الوطنية.
• يمكن الحصول على وثائق الممارسات من تاريخ النشر لغاية تاريخ الإغلاق.</t>
        </is>
      </c>
      <c r="G135" s="12" t="inlineStr">
        <is>
          <t>عام</t>
        </is>
      </c>
      <c r="H135" s="12" t="inlineStr">
        <is>
          <t>15.0%</t>
        </is>
      </c>
      <c r="I135" s="12" t="inlineStr">
        <is>
          <t>healthcare</t>
        </is>
      </c>
      <c r="J135" s="12" t="inlineStr">
        <is>
          <t>2026-09-27</t>
        </is>
      </c>
      <c r="K135" s="12" t="inlineStr">
        <is>
          <t>2026-10-28</t>
        </is>
      </c>
      <c r="L135" s="12" t="inlineStr">
        <is>
          <t>-</t>
        </is>
      </c>
      <c r="M135" s="12" t="inlineStr">
        <is>
          <t>150.0 KWD</t>
        </is>
      </c>
      <c r="N135" s="21" t="inlineStr">
        <is>
          <t>UPDATED</t>
        </is>
      </c>
      <c r="O135" s="12" t="inlineStr">
        <is>
          <t>غير متوافقة مع اختصاصات KBM</t>
        </is>
      </c>
      <c r="P135" s="23">
        <f>HYPERLINK("https://kuwaitalyawm.media.gov.kw/Online/ViewAdsHTML?id=171545&amp;no=1", "عرض المصدر")</f>
        <v/>
      </c>
    </row>
    <row r="136">
      <c r="A136" s="13" t="inlineStr">
        <is>
          <t>33/32</t>
        </is>
      </c>
      <c r="B136" s="13" t="inlineStr">
        <is>
          <t>وزارة الصحة</t>
        </is>
      </c>
      <c r="C136" s="13" t="inlineStr">
        <is>
          <t>Jana Al-Obaid</t>
        </is>
      </c>
      <c r="D136" s="13" t="inlineStr">
        <is>
          <t>ممارسة رقم 33/32: توريد وتركيب وتشغيل وصيانة نظام كاميرات المراقبة الأمنية بمستشفى الأميري الجديد والقديم والمباني التابعة لها</t>
        </is>
      </c>
      <c r="E136" s="13" t="inlineStr">
        <is>
          <t>تنفيذ أعمال توريد وتركيب وتشغيل وصيانة نظام كاميرات المراقبة الأمنية بمستشفى الأميري الجديد والقديم والمباني التابعة لها، وتوفير كافة الأجهزة والمعدات والأنظمة وخدمات الدعم الفني والضمان وفقاً لكراسة الشروط والمواصفات الفنية.</t>
        </is>
      </c>
      <c r="F13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36" s="24" t="inlineStr">
        <is>
          <t>قطاع العمليات المدارة والدعم الفني متعدد الموردين</t>
        </is>
      </c>
      <c r="H136" s="14" t="inlineStr">
        <is>
          <t>64.0%</t>
        </is>
      </c>
      <c r="I136" s="14" t="inlineStr">
        <is>
          <t>healthcare</t>
        </is>
      </c>
      <c r="J136" s="14" t="inlineStr">
        <is>
          <t>2026-09-27</t>
        </is>
      </c>
      <c r="K136" s="14" t="inlineStr">
        <is>
          <t>-</t>
        </is>
      </c>
      <c r="L136" s="14" t="inlineStr">
        <is>
          <t>-</t>
        </is>
      </c>
      <c r="M136" s="14" t="inlineStr">
        <is>
          <t>-</t>
        </is>
      </c>
      <c r="N136" s="26" t="inlineStr">
        <is>
          <t>UNCHANGED</t>
        </is>
      </c>
      <c r="O136" s="14" t="inlineStr">
        <is>
          <t>فرصة ICT متوافقة مع قدرات KBM</t>
        </is>
      </c>
      <c r="P136" s="22">
        <f>HYPERLINK("https://kuwaitalyawm.media.gov.kw/Online/ViewAdsHTML?id=171544&amp;no=1", "عرض المصدر")</f>
        <v/>
      </c>
    </row>
    <row r="137">
      <c r="A137" s="11" t="inlineStr">
        <is>
          <t>364-294</t>
        </is>
      </c>
      <c r="B137" s="11" t="inlineStr">
        <is>
          <t>وزارة الصحة</t>
        </is>
      </c>
      <c r="C137" s="11" t="inlineStr">
        <is>
          <t>Jana Al-Obaid</t>
        </is>
      </c>
      <c r="D137" s="11" t="inlineStr">
        <is>
          <t>ممارسة رقم 364-294 - وزارة الصحة (العدد 1810)</t>
        </is>
      </c>
      <c r="E137" s="11" t="inlineStr">
        <is>
          <t>أعمال وتوريدات ممارسة رقم 364-294 لصالح وزارة الصحة وفقاً للشروط والمواصفات المعتمدة في وثائق الطرح.</t>
        </is>
      </c>
      <c r="F137" s="11" t="inlineStr">
        <is>
          <t>• أن تكون مقصورة على الشركات المسجلة لدى إدارة الهندسة الطبية.
• أن تكون الشركة متخصصة في هذا المجال مع إحضار ما يفيد ذلك.
• سداد الرسوم المقررة لشراء وثائق الممارسة إلكترونياً.
• أن تقدم الشركات المشاركة شهادة دعم العمالة الوطنية.
• يمكن الحصول على وثائق الممارسات من تاريخ النشر لغاية تاريخ الإغلاق.</t>
        </is>
      </c>
      <c r="G137" s="12" t="inlineStr">
        <is>
          <t>عام</t>
        </is>
      </c>
      <c r="H137" s="12" t="inlineStr">
        <is>
          <t>0.0%</t>
        </is>
      </c>
      <c r="I137" s="12" t="inlineStr">
        <is>
          <t>healthcare</t>
        </is>
      </c>
      <c r="J137" s="12" t="inlineStr">
        <is>
          <t>2026-09-27</t>
        </is>
      </c>
      <c r="K137" s="12" t="inlineStr">
        <is>
          <t>-</t>
        </is>
      </c>
      <c r="L137" s="12" t="inlineStr">
        <is>
          <t>-</t>
        </is>
      </c>
      <c r="M137" s="12" t="inlineStr">
        <is>
          <t>75.0 KWD</t>
        </is>
      </c>
      <c r="N137" s="21" t="inlineStr">
        <is>
          <t>UPDATED</t>
        </is>
      </c>
      <c r="O137" s="12" t="inlineStr">
        <is>
          <t>غير متوافقة مع اختصاصات KBM</t>
        </is>
      </c>
      <c r="P137" s="23">
        <f>HYPERLINK("https://kuwaitalyawm.media.gov.kw/Online/ViewAdsHTML?id=171543&amp;no=1", "عرض المصدر")</f>
        <v/>
      </c>
    </row>
    <row r="138">
      <c r="A138" s="13" t="inlineStr">
        <is>
          <t>24141071982026</t>
        </is>
      </c>
      <c r="B138" s="13" t="inlineStr">
        <is>
          <t>وزارة الدفاع</t>
        </is>
      </c>
      <c r="C138" s="13" t="inlineStr">
        <is>
          <t>Eiman Ashkanani</t>
        </is>
      </c>
      <c r="D138" s="13" t="inlineStr">
        <is>
          <t>ممارسة رقم 24141071982026: طلب شراء ملفات طبية للمرضى</t>
        </is>
      </c>
      <c r="E138" s="13" t="inlineStr">
        <is>
          <t>توريد المستلزمات والمواد والمستهلكات الطبية أو المخبرية المتخصصة لصالح المرافق الصحية.</t>
        </is>
      </c>
      <c r="F138" s="13" t="inlineStr">
        <is>
          <t>• تقديم صورة عن كرت التسجيل لدى وزارة الدفاع / ادارة المشتريات والعقود المحلية للعام 2026.
• تقديم كتاب تفويض من الشركة بشـراء الوثائق.
• ان تكون الشركة متخصصة في هذا المجال ومصنفة لدى مراقبة تصنيف الشركات بالوزارة.
• تقديم صورة عن شهادة دعم العمالة الوطنية لدى الشركات غير الحكومية (السنوية ).
• تقديم كتاب رسمي لأية استفسارات يكون في خلال ( أسبوع واحـد ) من تاريخ نشـر الإعلان .
• سداد الرسوم المقررة لشراء وثائق الممارسة عن طريق (K. NET).</t>
        </is>
      </c>
      <c r="G138" s="14" t="inlineStr">
        <is>
          <t>عام</t>
        </is>
      </c>
      <c r="H138" s="14" t="inlineStr">
        <is>
          <t>15.0%</t>
        </is>
      </c>
      <c r="I138" s="14" t="inlineStr">
        <is>
          <t>defense_and_security</t>
        </is>
      </c>
      <c r="J138" s="14" t="inlineStr">
        <is>
          <t>2026-09-27</t>
        </is>
      </c>
      <c r="K138" s="14" t="inlineStr">
        <is>
          <t>2026-10-22</t>
        </is>
      </c>
      <c r="L138" s="14" t="inlineStr">
        <is>
          <t>2000.0 KWD</t>
        </is>
      </c>
      <c r="M138" s="14" t="inlineStr">
        <is>
          <t>-</t>
        </is>
      </c>
      <c r="N138" s="21" t="inlineStr">
        <is>
          <t>UPDATED</t>
        </is>
      </c>
      <c r="O138" s="14" t="inlineStr">
        <is>
          <t>غير متوافقة مع اختصاصات KBM</t>
        </is>
      </c>
      <c r="P138" s="22">
        <f>HYPERLINK("https://kuwaitalyawm.media.gov.kw/Online/ViewAdsHTML?id=171541&amp;no=1", "عرض المصدر")</f>
        <v/>
      </c>
    </row>
    <row r="139">
      <c r="A139" s="11" t="inlineStr">
        <is>
          <t>24181118110</t>
        </is>
      </c>
      <c r="B139" s="11" t="inlineStr">
        <is>
          <t>وزارة الدفاع</t>
        </is>
      </c>
      <c r="C139" s="11" t="inlineStr">
        <is>
          <t>Eiman Ashkanani</t>
        </is>
      </c>
      <c r="D139" s="11" t="inlineStr">
        <is>
          <t>ممارسة رقم 24181118110: توريد وتركيب وتعريف واختبار أجهزة خوادم النظام المالي لزوم وزارة الدفاع</t>
        </is>
      </c>
      <c r="E139" s="11" t="inlineStr">
        <is>
          <t>توريد وتركيب وتعريف واختبار أجهزة خوادم عالية الأداء (Enterprise Servers) وأنظمة التخزين وحلول التشغيل الخاصة بالنظام المالي التابع لوزارة الدفاع بدولة الكويت مع الضمان والدعم الفني.</t>
        </is>
      </c>
      <c r="F139" s="11" t="inlineStr">
        <is>
          <t>• أن تكون الشركة مسجلة في وزارة الدفاع لسنة 2026 ومتخصصة في هذا المجال ومصنفة لدى مراقبة شئون الشركات بالوزارة مع تقديم الأوراق الدالة على نشاطها.
• تقديم كتاب تفويض من الشركة بشراء الوثائق.
• تقديم صورة عن شهادة دعم العمالة الوطنية لدى الشركات غير الحكومية (السنوية).
• تقديم كتاب رسمي لأية استفسارات يكون في خلال (أسبوع واحد) من تاريخ نشر الإعلان.
• للاستفسار هاتف: 1844411 (داخلي 61929).</t>
        </is>
      </c>
      <c r="G139" s="24" t="inlineStr">
        <is>
          <t>قطاع الخوادم وحلول التخزين والبنية التحتية</t>
        </is>
      </c>
      <c r="H139" s="12" t="inlineStr">
        <is>
          <t>85.0%</t>
        </is>
      </c>
      <c r="I139" s="12" t="inlineStr">
        <is>
          <t>defense_and_security</t>
        </is>
      </c>
      <c r="J139" s="12" t="inlineStr">
        <is>
          <t>2026-09-27</t>
        </is>
      </c>
      <c r="K139" s="12" t="inlineStr">
        <is>
          <t>2026-10-25</t>
        </is>
      </c>
      <c r="L139" s="12" t="inlineStr">
        <is>
          <t>5000.0 KWD</t>
        </is>
      </c>
      <c r="M139" s="12" t="inlineStr">
        <is>
          <t>150.0 KWD</t>
        </is>
      </c>
      <c r="N139" s="21" t="inlineStr">
        <is>
          <t>UPDATED</t>
        </is>
      </c>
      <c r="O139" s="12" t="inlineStr">
        <is>
          <t>موصى بالتقديم</t>
        </is>
      </c>
      <c r="P139" s="23">
        <f>HYPERLINK("https://kuwaitalyawm.media.gov.kw/Online/ViewAdsHTML?id=171540&amp;no=1", "عرض المصدر")</f>
        <v/>
      </c>
    </row>
    <row r="140">
      <c r="A140" s="13" t="inlineStr">
        <is>
          <t>24141071967826</t>
        </is>
      </c>
      <c r="B140" s="13" t="inlineStr">
        <is>
          <t>وزارة الدفاع</t>
        </is>
      </c>
      <c r="C140" s="13" t="inlineStr">
        <is>
          <t>Eiman Ashkanani</t>
        </is>
      </c>
      <c r="D140" s="13" t="inlineStr">
        <is>
          <t>ممارسة رقم 24141071967826: إعادة طرح توريد أجهزة تلفزيون لزوم / هيئة الإمداد والتموين</t>
        </is>
      </c>
      <c r="E140" s="13" t="inlineStr">
        <is>
          <t>تنفيذ أعمال إعادة طرح توريد أجهزة تلفزيون لزوم / هيئة الإمداد والتموين، وتوفير كافة الأجهزة والمعدات والأنظمة وخدمات الدعم الفني والضمان وفقاً لكراسة الشروط والمواصفات الفنية.</t>
        </is>
      </c>
      <c r="F140" s="13" t="inlineStr">
        <is>
          <t>• تقديم صورة عن كارت التسجيل لدى وزارة الدفاع / إدارة المشتريات والعقود المحلية للعام 2026.
• تقديم كتاب تفويض من الشركة بشـراء الوثائق.
• ان تكون الشركة متخصصة في هذا المجال ومصنفة لدى مراقبة تصنيف الشركات بالوزارة.
• تقديم صورة عن شهادة دعم العمالة الوطنية لدى الشركات غير الحكومية (السنوية ).
• تقديم كتاب رسمي لأية استفسارات يكون في خلال ( أسبوع واحـد ) من تاريخ نشـر الإعلان .
• سداد الرسوم المقررة لشراء وثائق الممارسة عن طريق (K. NET).</t>
        </is>
      </c>
      <c r="G140" s="14" t="inlineStr">
        <is>
          <t>عام</t>
        </is>
      </c>
      <c r="H140" s="14" t="inlineStr">
        <is>
          <t>15.0%</t>
        </is>
      </c>
      <c r="I140" s="14" t="inlineStr">
        <is>
          <t>defense_and_security</t>
        </is>
      </c>
      <c r="J140" s="14" t="inlineStr">
        <is>
          <t>2026-09-27</t>
        </is>
      </c>
      <c r="K140" s="14" t="inlineStr">
        <is>
          <t>-</t>
        </is>
      </c>
      <c r="L140" s="14" t="inlineStr">
        <is>
          <t>-</t>
        </is>
      </c>
      <c r="M140" s="14" t="inlineStr">
        <is>
          <t>-</t>
        </is>
      </c>
      <c r="N140" s="26" t="inlineStr">
        <is>
          <t>UNCHANGED</t>
        </is>
      </c>
      <c r="O140" s="14" t="inlineStr">
        <is>
          <t>غير متوافقة مع اختصاصات KBM</t>
        </is>
      </c>
      <c r="P140" s="22">
        <f>HYPERLINK("https://kuwaitalyawm.media.gov.kw/Online/ViewAdsHTML?id=171539&amp;no=1", "عرض المصدر")</f>
        <v/>
      </c>
    </row>
    <row r="141">
      <c r="A141" s="11" t="inlineStr">
        <is>
          <t>2414/109/20167/26</t>
        </is>
      </c>
      <c r="B141" s="11" t="inlineStr">
        <is>
          <t>وزارة الدفاع</t>
        </is>
      </c>
      <c r="C141" s="11" t="inlineStr">
        <is>
          <t>Eiman Ashkanani</t>
        </is>
      </c>
      <c r="D141" s="11" t="inlineStr">
        <is>
          <t>ممارسة رقم 24141092016726: الطلبية العامة لشراء مواد المطبخ</t>
        </is>
      </c>
      <c r="E141" s="11" t="inlineStr">
        <is>
          <t>أعمال وتوريدات الطلبية العامة لشراء مواد المطبخ لصالح وزارة الدفاع وفقاً للشروط والمواصفات المعتمدة في وثائق الطرح.</t>
        </is>
      </c>
      <c r="F141" s="11" t="inlineStr">
        <is>
          <t>• 1. تقديم صورة عن كرت التسجيل لدى وزارة الدفاع / ادارة المشتريات والعقود المحلية للعام 2026.
• 2. تقديم كتاب تفويض من الشركة بشراء الوثائق.
• 3. ان تكون الشركة متخصصة في هذا المجال ومصنفة لدى مراقبة تصنيف الشركات بالوزارة.
• 4. تقديم صورة عن شهادة دعم العمالة الوطنية لدى الشركات غير الحكومية ( السنوية ).
• 5. تقديم كتاب رسمي لأية استفسارات يكون في خلال ( أسبوع واحد ) من تاريخ نشر الإعلان .
• 6. سداد الرسوم المقررة لشراء وثائق الممارسة عن طريق (K. NET).</t>
        </is>
      </c>
      <c r="G141" s="12" t="inlineStr">
        <is>
          <t>عام</t>
        </is>
      </c>
      <c r="H141" s="12" t="inlineStr">
        <is>
          <t>15.0%</t>
        </is>
      </c>
      <c r="I141" s="12" t="inlineStr">
        <is>
          <t>defense_and_security</t>
        </is>
      </c>
      <c r="J141" s="12" t="inlineStr">
        <is>
          <t>2026-09-13</t>
        </is>
      </c>
      <c r="K141" s="18" t="inlineStr">
        <is>
          <t>2026-10-15</t>
        </is>
      </c>
      <c r="L141" s="12" t="inlineStr">
        <is>
          <t>2000.0 KWD</t>
        </is>
      </c>
      <c r="M141" s="12" t="inlineStr">
        <is>
          <t>75.0 KWD</t>
        </is>
      </c>
      <c r="N141" s="21" t="inlineStr">
        <is>
          <t>UPDATED</t>
        </is>
      </c>
      <c r="O141" s="12" t="inlineStr">
        <is>
          <t>غير متوافقة مع اختصاصات KBM</t>
        </is>
      </c>
      <c r="P141" s="23">
        <f>HYPERLINK("https://kuwaitalyawm.media.gov.kw/Online/ViewAdsHTML?id=171538&amp;no=1", "عرض المصدر")</f>
        <v/>
      </c>
    </row>
    <row r="142">
      <c r="A142" s="13" t="inlineStr">
        <is>
          <t>2027/2026/16</t>
        </is>
      </c>
      <c r="B142" s="13" t="inlineStr">
        <is>
          <t>وزارة التربية</t>
        </is>
      </c>
      <c r="C142" s="13" t="inlineStr">
        <is>
          <t>Eiman Ashkanani</t>
        </is>
      </c>
      <c r="D142" s="13" t="inlineStr">
        <is>
          <t>ممارسة رقم 2027/2026/16: لتوريد ادوات و اجهزة رياضية متنوعة لحاجة التوجيه الفني العام للتربية البدنية</t>
        </is>
      </c>
      <c r="E142" s="13" t="inlineStr">
        <is>
          <t>أعمال وتوريدات لتوريد ادوات و اجهزة رياضية متنوعة لحاجة التوجيه الفني العام للتربية البدنية لصالح وزارة التربية وفقاً للشروط والمواصفات المعتمدة في وثائق الطرح.</t>
        </is>
      </c>
      <c r="F142" s="13" t="inlineStr">
        <is>
          <t>• الممارسة (عامة ) على الممارسين المعتمدين لدى وزارة التربية .
• يشترط فيمن يتقدم لهذه الممارسة أن تكون من المؤسسات / الشركات المتخصصة داخل الكويت في الأعمال موضوع الممارسة , و مقيد في السجل التجاري و غرفة تجارة و صناعة الكويت للعام الحالي و يرفق بعطائه شهادة بذلك على أن تكون تاريخها معاصر لتاريخ طرح الممارسة .
• هذه الممارسة (غير  قابلة للتجزئة ) ولا يحق لمقدم العطاء تقديم عروض بديلة.
• المقابل المادي للحصول على نسخة من وثائق الممارسة يتمثل في ( 75 ) خمسة و سبعون دينار كويتي لاغير .</t>
        </is>
      </c>
      <c r="G142" s="14" t="inlineStr">
        <is>
          <t>عام</t>
        </is>
      </c>
      <c r="H142" s="14" t="inlineStr">
        <is>
          <t>15.0%</t>
        </is>
      </c>
      <c r="I142" s="14" t="inlineStr">
        <is>
          <t>education_and_research</t>
        </is>
      </c>
      <c r="J142" s="14" t="inlineStr">
        <is>
          <t>2026-09-27</t>
        </is>
      </c>
      <c r="K142" s="14" t="inlineStr">
        <is>
          <t>-</t>
        </is>
      </c>
      <c r="L142" s="14" t="inlineStr">
        <is>
          <t>2000.0 KWD</t>
        </is>
      </c>
      <c r="M142" s="14" t="inlineStr">
        <is>
          <t>-</t>
        </is>
      </c>
      <c r="N142" s="26" t="inlineStr">
        <is>
          <t>UNCHANGED</t>
        </is>
      </c>
      <c r="O142" s="14" t="inlineStr">
        <is>
          <t>غير متوافقة مع اختصاصات KBM</t>
        </is>
      </c>
      <c r="P142" s="22">
        <f>HYPERLINK("https://kuwaitalyawm.media.gov.kw/Online/ViewAdsHTML?id=171532&amp;no=1", "عرض المصدر")</f>
        <v/>
      </c>
    </row>
    <row r="143">
      <c r="A143" s="11" t="inlineStr">
        <is>
          <t>RFQ/2167075</t>
        </is>
      </c>
      <c r="B143" s="11" t="inlineStr">
        <is>
          <t>شركة البترول الوطنية الكويتية</t>
        </is>
      </c>
      <c r="C143" s="11" t="inlineStr">
        <is>
          <t>Abrar Al-Qallaf</t>
        </is>
      </c>
      <c r="D143" s="11" t="inlineStr">
        <is>
          <t>ممارسة رقم RFQ/2167075: توريد مواد ومهمات تشغيلية لزوم شركة البترول الوطنية الكويتية - شركة البترول الوطنية الكويتية</t>
        </is>
      </c>
      <c r="E143" s="11" t="inlineStr">
        <is>
          <t>أعمال وتوريدات تخصصية لزوم شركة البترول الوطنية الكويتية حسب وثائق الممارسة رقم RFQ/2167075 عبر منصة K-Tendering.</t>
        </is>
      </c>
      <c r="F143" s="11" t="inlineStr">
        <is>
          <t>وفقاً لشروط وإجراءات المناقصات والتوريد لدى شركة البترول الوطنية الكويتية (KNPC) عبر منصة K-Tendering.</t>
        </is>
      </c>
      <c r="G143" s="12" t="inlineStr">
        <is>
          <t>عام</t>
        </is>
      </c>
      <c r="H143" s="12" t="inlineStr">
        <is>
          <t>15.0%</t>
        </is>
      </c>
      <c r="I143" s="12" t="inlineStr">
        <is>
          <t>oil_and_gas</t>
        </is>
      </c>
      <c r="J143" s="12" t="inlineStr">
        <is>
          <t>2026-09-27</t>
        </is>
      </c>
      <c r="K143" s="12" t="inlineStr">
        <is>
          <t>2026-11-02</t>
        </is>
      </c>
      <c r="L143" s="12" t="inlineStr">
        <is>
          <t>500000.0 KWD</t>
        </is>
      </c>
      <c r="M143" s="12" t="inlineStr">
        <is>
          <t>-</t>
        </is>
      </c>
      <c r="N143" s="21" t="inlineStr">
        <is>
          <t>UPDATED</t>
        </is>
      </c>
      <c r="O143" s="12" t="inlineStr">
        <is>
          <t>غير متوافقة</t>
        </is>
      </c>
      <c r="P143" s="23">
        <f>HYPERLINK("https://kuwaitalyawm.media.gov.kw/Online/ViewAdsHTML?id=171742&amp;no=1", "عرض المصدر")</f>
        <v/>
      </c>
    </row>
    <row r="144">
      <c r="A144" s="13" t="inlineStr">
        <is>
          <t>2027/2026/25</t>
        </is>
      </c>
      <c r="B144" s="13" t="inlineStr">
        <is>
          <t>وزارة الأوقاف والشئون الإسلامية</t>
        </is>
      </c>
      <c r="C144" s="13" t="inlineStr">
        <is>
          <t>Eiman Ashkanani</t>
        </is>
      </c>
      <c r="D144" s="13" t="inlineStr">
        <is>
          <t>ممارسة رقم 2027/2026/25: أعمال النظافة الخاصة بالمباني والمراكز التابعة لإدارتي الدراسات وعلوم القرآن الكريم بمحافظتي الأحمدي ومبارك الكبير</t>
        </is>
      </c>
      <c r="E144" s="13" t="inlineStr">
        <is>
          <t>توفير خدمات وأعمال النظافة العامة والشاملة للمباني والمرافق وتوفير العمالة والمعدات والمستهلكات اللازمة.</t>
        </is>
      </c>
      <c r="F14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44" s="14" t="inlineStr">
        <is>
          <t>عام</t>
        </is>
      </c>
      <c r="H144" s="14" t="inlineStr">
        <is>
          <t>0.0%</t>
        </is>
      </c>
      <c r="I144" s="14" t="inlineStr">
        <is>
          <t>government</t>
        </is>
      </c>
      <c r="J144" s="14" t="inlineStr">
        <is>
          <t>2026-10-04</t>
        </is>
      </c>
      <c r="K144" s="18" t="inlineStr">
        <is>
          <t>2026-10-18</t>
        </is>
      </c>
      <c r="L144" s="14" t="inlineStr">
        <is>
          <t>-</t>
        </is>
      </c>
      <c r="M144" s="14" t="inlineStr">
        <is>
          <t>75.0 KWD</t>
        </is>
      </c>
      <c r="N144" s="21" t="inlineStr">
        <is>
          <t>UPDATED</t>
        </is>
      </c>
      <c r="O144" s="14" t="inlineStr">
        <is>
          <t>غير متوافقة مع اختصاصات KBM</t>
        </is>
      </c>
      <c r="P144" s="22">
        <f>HYPERLINK("https://kuwaitalyawm.media.gov.kw/Online/ViewAdsHTML?id=171813&amp;no=1", "عرض المصدر")</f>
        <v/>
      </c>
    </row>
    <row r="145">
      <c r="A145" s="11" t="inlineStr">
        <is>
          <t>و ك م /48/2025/2026</t>
        </is>
      </c>
      <c r="B145" s="11" t="inlineStr">
        <is>
          <t>وزارة الكهرباء والماء والطاقة المتجددة</t>
        </is>
      </c>
      <c r="C145" s="11" t="inlineStr">
        <is>
          <t>Raed Obeid</t>
        </is>
      </c>
      <c r="D145" s="11" t="inlineStr">
        <is>
          <t>أعمال صيانة أنظمة الإنذار ومكافحة الحريق في محطات الشعيبة لتوليد القوى الكهربائية وتقطير المياه</t>
        </is>
      </c>
      <c r="E145" s="11" t="inlineStr">
        <is>
          <t>تنفيذ أعمال أعمال صيانة أنظمة الإنذار ومكافحة الحريق في محطات الشعيبة لتوليد القوى الكهربائية وتقطير المياه، وتوفير كافة الأجهزة والمعدات والأنظمة وخدمات الدعم الفني والضمان وفقاً لكراسة الشروط والمواصفات الفنية.</t>
        </is>
      </c>
      <c r="F14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45" s="24" t="inlineStr">
        <is>
          <t>قطاع العمليات المدارة والدعم الفني متعدد الموردين</t>
        </is>
      </c>
      <c r="H145" s="12" t="inlineStr">
        <is>
          <t>64.0%</t>
        </is>
      </c>
      <c r="I145" s="12" t="inlineStr">
        <is>
          <t>oil_and_gas</t>
        </is>
      </c>
      <c r="J145" s="12" t="inlineStr">
        <is>
          <t>2026-10-04</t>
        </is>
      </c>
      <c r="K145" s="12" t="inlineStr">
        <is>
          <t>2026-11-03</t>
        </is>
      </c>
      <c r="L145" s="12" t="inlineStr">
        <is>
          <t>23000.000 KWD</t>
        </is>
      </c>
      <c r="M145" s="12" t="inlineStr">
        <is>
          <t>1000.000 KWD</t>
        </is>
      </c>
      <c r="N145" s="26" t="inlineStr">
        <is>
          <t>UNCHANGED</t>
        </is>
      </c>
      <c r="O145" s="12" t="inlineStr">
        <is>
          <t>فرصة ICT متوافقة مع قدرات KBM</t>
        </is>
      </c>
      <c r="P145" s="23">
        <f>HYPERLINK("https://capt.gov.kw/ar/tenders/opening-tenders/#card-4", "عرض المصدر")</f>
        <v/>
      </c>
    </row>
    <row r="146">
      <c r="A146" s="13" t="inlineStr">
        <is>
          <t>و ش ج 8/2025/2026</t>
        </is>
      </c>
      <c r="B146" s="13" t="inlineStr">
        <is>
          <t>وزارة الشئون الاجتماعية</t>
        </is>
      </c>
      <c r="C146" s="13" t="inlineStr">
        <is>
          <t>Eiman Ashkanani</t>
        </is>
      </c>
      <c r="D146" s="13" t="inlineStr">
        <is>
          <t>أعمال اصلاح وتشغيل وصيانة معدات التكييف والتبريد والتدفئة والتهوية الخاصة بصالات الأفراح التابعة للوزارة</t>
        </is>
      </c>
      <c r="E146" s="13" t="inlineStr">
        <is>
          <t>أعمال صيانة وتشغيل وإصلاح وحدات ومحطات التكييف المركزي والمبردات وضواغط الهواء وشبكات مجاري الهواء.</t>
        </is>
      </c>
      <c r="F14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46" s="14" t="inlineStr">
        <is>
          <t>قطاع العمليات المدارة والدعم الفني متعدد الموردين</t>
        </is>
      </c>
      <c r="H146" s="14" t="inlineStr">
        <is>
          <t>49.0%</t>
        </is>
      </c>
      <c r="I146" s="14" t="inlineStr">
        <is>
          <t>government</t>
        </is>
      </c>
      <c r="J146" s="14" t="inlineStr">
        <is>
          <t>2026-10-04</t>
        </is>
      </c>
      <c r="K146" s="14" t="inlineStr">
        <is>
          <t>2026-12-29</t>
        </is>
      </c>
      <c r="L146" s="14" t="inlineStr">
        <is>
          <t>23000.000 KWD</t>
        </is>
      </c>
      <c r="M146" s="14" t="inlineStr">
        <is>
          <t>1000.000 KWD</t>
        </is>
      </c>
      <c r="N146" s="26" t="inlineStr">
        <is>
          <t>UNCHANGED</t>
        </is>
      </c>
      <c r="O146" s="14" t="inlineStr">
        <is>
          <t>فرصة تتطلب شراكة أو دراسة نطاق</t>
        </is>
      </c>
      <c r="P146" s="22">
        <f>HYPERLINK("https://capt.gov.kw/ar/tenders/opening-tenders/#card-3", "عرض المصدر")</f>
        <v/>
      </c>
    </row>
    <row r="147">
      <c r="A147" s="11" t="inlineStr">
        <is>
          <t>ص / م خ ع / 11/2025/2026</t>
        </is>
      </c>
      <c r="B147" s="11" t="inlineStr">
        <is>
          <t>وزارة الصحة</t>
        </is>
      </c>
      <c r="C147" s="11" t="inlineStr">
        <is>
          <t>Jana Al-Obaid</t>
        </is>
      </c>
      <c r="D147" s="11" t="inlineStr">
        <is>
          <t>زيادة سعة بدالة مستشفى الاميري الجديد وربط المباني الملحقة بها بنظام اتصالات مركزي موحد</t>
        </is>
      </c>
      <c r="E147" s="11" t="inlineStr">
        <is>
          <t>تنفيذ أعمال زيادة سعة بدالة مستشفى الاميري الجديد وربط المباني الملحقة بها بنظام اتصالات مركزي موحد، وتوفير كافة الأجهزة والمعدات والأنظمة وخدمات الدعم الفني والضمان وفقاً لكراسة الشروط والمواصفات الفنية.</t>
        </is>
      </c>
      <c r="F14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47" s="24" t="inlineStr">
        <is>
          <t>قطاع العمليات المدارة والدعم الفني متعدد الموردين</t>
        </is>
      </c>
      <c r="H147" s="12" t="inlineStr">
        <is>
          <t>64.0%</t>
        </is>
      </c>
      <c r="I147" s="12" t="inlineStr">
        <is>
          <t>healthcare</t>
        </is>
      </c>
      <c r="J147" s="12" t="inlineStr">
        <is>
          <t>2026-10-04</t>
        </is>
      </c>
      <c r="K147" s="12" t="inlineStr">
        <is>
          <t>2026-11-03</t>
        </is>
      </c>
      <c r="L147" s="12" t="inlineStr">
        <is>
          <t>6000.000 KWD</t>
        </is>
      </c>
      <c r="M147" s="12" t="inlineStr">
        <is>
          <t>300.000 KWD</t>
        </is>
      </c>
      <c r="N147" s="26" t="inlineStr">
        <is>
          <t>UNCHANGED</t>
        </is>
      </c>
      <c r="O147" s="12" t="inlineStr">
        <is>
          <t>فرصة ICT متوافقة مع قدرات KBM</t>
        </is>
      </c>
      <c r="P147" s="23">
        <f>HYPERLINK("https://capt.gov.kw/ar/tenders/opening-tenders/#card-2", "عرض المصدر")</f>
        <v/>
      </c>
    </row>
    <row r="148">
      <c r="A148" s="13" t="inlineStr">
        <is>
          <t>ب ب هـ / 1/2025/2026</t>
        </is>
      </c>
      <c r="B148" s="13" t="inlineStr">
        <is>
          <t>وزارة المواصلات</t>
        </is>
      </c>
      <c r="C148" s="13" t="inlineStr">
        <is>
          <t>Eiman Ashkanani</t>
        </is>
      </c>
      <c r="D148" s="13" t="inlineStr">
        <is>
          <t>اعمال التنظيف و خدمة مرافق و مكاتب وزارة المواصلات</t>
        </is>
      </c>
      <c r="E148" s="13" t="inlineStr">
        <is>
          <t>توفير خدمات وأعمال النظافة العامة والشاملة للمباني والمرافق وتوفير العمالة والمعدات والمستهلكات اللازمة.</t>
        </is>
      </c>
      <c r="F14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48" s="14" t="inlineStr">
        <is>
          <t>عام</t>
        </is>
      </c>
      <c r="H148" s="14" t="inlineStr">
        <is>
          <t>0.0%</t>
        </is>
      </c>
      <c r="I148" s="14" t="inlineStr">
        <is>
          <t>telecom_and_media</t>
        </is>
      </c>
      <c r="J148" s="14" t="inlineStr">
        <is>
          <t>2026-10-04</t>
        </is>
      </c>
      <c r="K148" s="14" t="inlineStr">
        <is>
          <t>2026-12-29</t>
        </is>
      </c>
      <c r="L148" s="14" t="inlineStr">
        <is>
          <t>45000.000 KWD</t>
        </is>
      </c>
      <c r="M148" s="14" t="inlineStr">
        <is>
          <t>1000.000 KWD</t>
        </is>
      </c>
      <c r="N148" s="26" t="inlineStr">
        <is>
          <t>UNCHANGED</t>
        </is>
      </c>
      <c r="O148" s="14" t="inlineStr">
        <is>
          <t>غير متوافقة مع اختصاصات KBM</t>
        </is>
      </c>
      <c r="P148" s="22">
        <f>HYPERLINK("https://capt.gov.kw/ar/tenders/opening-tenders/#card-1", "عرض المصدر")</f>
        <v/>
      </c>
    </row>
    <row r="149">
      <c r="A149" s="11" t="inlineStr">
        <is>
          <t>4/2024/2025</t>
        </is>
      </c>
      <c r="B149" s="11" t="inlineStr">
        <is>
          <t>بنك الكويت المركزي</t>
        </is>
      </c>
      <c r="C149" s="11" t="inlineStr">
        <is>
          <t>Eiman Ashkanani</t>
        </is>
      </c>
      <c r="D149" s="11" t="inlineStr">
        <is>
          <t>أعمال تأهيل المبنى المساند وإنشاء متحف بنك الكويت المركزي</t>
        </is>
      </c>
      <c r="E149" s="11" t="inlineStr">
        <is>
          <t>تنفيذ الأعمال المدنية والإنشائية والترميم والصيانة العامة للمباني والمنشآت والمرافق التابعة للجهة.</t>
        </is>
      </c>
      <c r="F14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49" s="12" t="inlineStr">
        <is>
          <t>عام</t>
        </is>
      </c>
      <c r="H149" s="12" t="inlineStr">
        <is>
          <t>0.0%</t>
        </is>
      </c>
      <c r="I149" s="12" t="inlineStr">
        <is>
          <t>banking_and_finance</t>
        </is>
      </c>
      <c r="J149" s="12" t="inlineStr">
        <is>
          <t>2026-10-04</t>
        </is>
      </c>
      <c r="K149" s="12" t="inlineStr">
        <is>
          <t>2026-11-03</t>
        </is>
      </c>
      <c r="L149" s="12" t="inlineStr">
        <is>
          <t>170000.000 KWD</t>
        </is>
      </c>
      <c r="M149" s="12" t="inlineStr">
        <is>
          <t>3500.000 KWD</t>
        </is>
      </c>
      <c r="N149" s="26" t="inlineStr">
        <is>
          <t>UNCHANGED</t>
        </is>
      </c>
      <c r="O149" s="12" t="inlineStr">
        <is>
          <t>غير متوافقة مع اختصاصات KBM</t>
        </is>
      </c>
      <c r="P149" s="23">
        <f>HYPERLINK("https://capt.gov.kw/ar/tenders/opening-tenders/#card-0", "عرض المصدر")</f>
        <v/>
      </c>
    </row>
    <row r="150">
      <c r="A150" s="13" t="inlineStr">
        <is>
          <t>و ك م/61/2025/2026</t>
        </is>
      </c>
      <c r="B150" s="13" t="inlineStr">
        <is>
          <t>وزارة الكهرباء والماء والطاقة المتجددة</t>
        </is>
      </c>
      <c r="C150" s="13" t="inlineStr">
        <is>
          <t>Raed Obeid</t>
        </is>
      </c>
      <c r="D150" s="13" t="inlineStr">
        <is>
          <t>أعمال الصيانة السنوية للمعدات الكهربائية في محطة الشعيبة الجنوبية لتوليد القوى الكهربائية وتقطير المياه</t>
        </is>
      </c>
      <c r="E150" s="13" t="inlineStr">
        <is>
          <t>أعمال وتوريدات أعمال الصيانة السنوية للمعدات الكهربائية في محطة الشعيبة الجنوبية لتوليد القوى الكهربائية وتقطير المياه لصالح وزارة الكهرباء والماء والطاقة المتجددة وفقاً للشروط والمواصفات المعتمدة في وثائق الطرح.</t>
        </is>
      </c>
      <c r="F15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50" s="14" t="inlineStr">
        <is>
          <t>عام</t>
        </is>
      </c>
      <c r="H150" s="14" t="inlineStr">
        <is>
          <t>0.0%</t>
        </is>
      </c>
      <c r="I150" s="14" t="inlineStr">
        <is>
          <t>oil_and_gas</t>
        </is>
      </c>
      <c r="J150" s="14" t="inlineStr">
        <is>
          <t>2026-08-16</t>
        </is>
      </c>
      <c r="K150" s="14" t="inlineStr">
        <is>
          <t>2026-10-13</t>
        </is>
      </c>
      <c r="L150" s="14" t="inlineStr">
        <is>
          <t>45000.000 KWD</t>
        </is>
      </c>
      <c r="M150" s="14" t="inlineStr">
        <is>
          <t>1000.000 KWD</t>
        </is>
      </c>
      <c r="N150" s="25" t="inlineStr">
        <is>
          <t>NEW</t>
        </is>
      </c>
      <c r="O150" s="14" t="inlineStr">
        <is>
          <t>غير متوافقة مع اختصاصات KBM</t>
        </is>
      </c>
      <c r="P150" s="22">
        <f>HYPERLINK("https://capt.gov.kw/ar/tenders/opening-tenders/#card-9", "عرض المصدر")</f>
        <v/>
      </c>
    </row>
    <row r="151">
      <c r="A151" s="11" t="inlineStr">
        <is>
          <t>ص/م خ ع/2/2025/2026</t>
        </is>
      </c>
      <c r="B151" s="11" t="inlineStr">
        <is>
          <t>وزارة الصحة</t>
        </is>
      </c>
      <c r="C151" s="11" t="inlineStr">
        <is>
          <t>Jana Al-Obaid</t>
        </is>
      </c>
      <c r="D151" s="11" t="inlineStr">
        <is>
          <t>الانشاء و التجهيز و التأثيث و الصيانة لمشروع انشاء المطبخ المركزي لمستشفى الفروانية الجديد</t>
        </is>
      </c>
      <c r="E151" s="11" t="inlineStr">
        <is>
          <t>أعمال وتوريدات الانشاء و التجهيز و التأثيث و الصيانة لمشروع انشاء المطبخ المركزي لمستشفى الفروانية الجديد لصالح وزارة الصحة وفقاً للشروط والمواصفات المعتمدة في وثائق الطرح.</t>
        </is>
      </c>
      <c r="F15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51" s="12" t="inlineStr">
        <is>
          <t>عام</t>
        </is>
      </c>
      <c r="H151" s="12" t="inlineStr">
        <is>
          <t>0.0%</t>
        </is>
      </c>
      <c r="I151" s="12" t="inlineStr">
        <is>
          <t>healthcare</t>
        </is>
      </c>
      <c r="J151" s="12" t="inlineStr">
        <is>
          <t>2026-08-16</t>
        </is>
      </c>
      <c r="K151" s="12" t="inlineStr">
        <is>
          <t>2026-11-03</t>
        </is>
      </c>
      <c r="L151" s="12" t="inlineStr">
        <is>
          <t>62000.000 KWD</t>
        </is>
      </c>
      <c r="M151" s="12" t="inlineStr">
        <is>
          <t>1000.000 KWD</t>
        </is>
      </c>
      <c r="N151" s="25" t="inlineStr">
        <is>
          <t>NEW</t>
        </is>
      </c>
      <c r="O151" s="12" t="inlineStr">
        <is>
          <t>غير متوافقة مع اختصاصات KBM</t>
        </is>
      </c>
      <c r="P151" s="23">
        <f>HYPERLINK("https://capt.gov.kw/ar/tenders/opening-tenders/#card-8", "عرض المصدر")</f>
        <v/>
      </c>
    </row>
    <row r="152">
      <c r="A152" s="13" t="inlineStr">
        <is>
          <t>و ك م /41/2024/2025</t>
        </is>
      </c>
      <c r="B152" s="13" t="inlineStr">
        <is>
          <t>وزارة الكهرباء والماء والطاقة المتجددة</t>
        </is>
      </c>
      <c r="C152" s="13" t="inlineStr">
        <is>
          <t>Raed Obeid</t>
        </is>
      </c>
      <c r="D152" s="13" t="inlineStr">
        <is>
          <t>أعمال توريد وتركيب وصيانة خطوط هوائية ضغط متوسط 11 ك.ف وضغط منخفض والأعمال المدنية المتعلقة بهما في ( المنطقة الجنوبية )</t>
        </is>
      </c>
      <c r="E152" s="13" t="inlineStr">
        <is>
          <t>أعمال وتوريدات أعمال توريد وتركيب وصيانة خطوط هوائية ضغط متوسط 11 ك.ف وضغط منخفض والأعمال المدنية المتعلقة بهما في ( المنطقة الجنوبية ) لصالح وزارة الكهرباء والماء والطاقة المتجددة وفقاً للشروط والمواصفات المعتمدة في وثائق الطرح.</t>
        </is>
      </c>
      <c r="F15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52" s="14" t="inlineStr">
        <is>
          <t>عام</t>
        </is>
      </c>
      <c r="H152" s="14" t="inlineStr">
        <is>
          <t>0.0%</t>
        </is>
      </c>
      <c r="I152" s="14" t="inlineStr">
        <is>
          <t>oil_and_gas</t>
        </is>
      </c>
      <c r="J152" s="14" t="inlineStr">
        <is>
          <t>2026-08-23</t>
        </is>
      </c>
      <c r="K152" s="18" t="inlineStr">
        <is>
          <t>2026-10-20</t>
        </is>
      </c>
      <c r="L152" s="14" t="inlineStr">
        <is>
          <t>100000.000 KWD</t>
        </is>
      </c>
      <c r="M152" s="14" t="inlineStr">
        <is>
          <t>3500.000 KWD</t>
        </is>
      </c>
      <c r="N152" s="25" t="inlineStr">
        <is>
          <t>NEW</t>
        </is>
      </c>
      <c r="O152" s="14" t="inlineStr">
        <is>
          <t>غير متوافقة مع اختصاصات KBM</t>
        </is>
      </c>
      <c r="P152" s="22">
        <f>HYPERLINK("https://capt.gov.kw/ar/tenders/opening-tenders/#card-7", "عرض المصدر")</f>
        <v/>
      </c>
    </row>
    <row r="153">
      <c r="A153" s="11" t="inlineStr">
        <is>
          <t>و ك م /39/2024/2025</t>
        </is>
      </c>
      <c r="B153" s="11" t="inlineStr">
        <is>
          <t>وزارة الكهرباء والماء والطاقة المتجددة</t>
        </is>
      </c>
      <c r="C153" s="11" t="inlineStr">
        <is>
          <t>Raed Obeid</t>
        </is>
      </c>
      <c r="D153" s="11" t="inlineStr">
        <is>
          <t>اعمال توريد وتركيب وصيانة خطوط هوائية ضغط متوسط 11 ك.ف وضغط منخفض و الأعمال المدنية المتعلقة بهما في ( المنطقة الشمالية )</t>
        </is>
      </c>
      <c r="E153" s="11" t="inlineStr">
        <is>
          <t>أعمال وتوريدات اعمال توريد وتركيب وصيانة خطوط هوائية ضغط متوسط 11 ك.ف وضغط منخفض و الأعمال المدنية المتعلقة بهما في ( المنطقة الشمالية ) لصالح وزارة الكهرباء والماء والطاقة المتجددة وفقاً للشروط والمواصفات المعتمدة في وثائق الطرح.</t>
        </is>
      </c>
      <c r="F15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53" s="12" t="inlineStr">
        <is>
          <t>عام</t>
        </is>
      </c>
      <c r="H153" s="12" t="inlineStr">
        <is>
          <t>0.0%</t>
        </is>
      </c>
      <c r="I153" s="12" t="inlineStr">
        <is>
          <t>oil_and_gas</t>
        </is>
      </c>
      <c r="J153" s="12" t="inlineStr">
        <is>
          <t>2026-08-23</t>
        </is>
      </c>
      <c r="K153" s="18" t="inlineStr">
        <is>
          <t>2026-10-20</t>
        </is>
      </c>
      <c r="L153" s="12" t="inlineStr">
        <is>
          <t>100000.000 KWD</t>
        </is>
      </c>
      <c r="M153" s="12" t="inlineStr">
        <is>
          <t>3500.000 KWD</t>
        </is>
      </c>
      <c r="N153" s="25" t="inlineStr">
        <is>
          <t>NEW</t>
        </is>
      </c>
      <c r="O153" s="12" t="inlineStr">
        <is>
          <t>غير متوافقة مع اختصاصات KBM</t>
        </is>
      </c>
      <c r="P153" s="23">
        <f>HYPERLINK("https://capt.gov.kw/ar/tenders/opening-tenders/#card-6", "عرض المصدر")</f>
        <v/>
      </c>
    </row>
    <row r="154">
      <c r="A154" s="13" t="inlineStr">
        <is>
          <t>و ك م /14/2024/2025</t>
        </is>
      </c>
      <c r="B154" s="13" t="inlineStr">
        <is>
          <t>وزارة الكهرباء والماء والطاقة المتجددة</t>
        </is>
      </c>
      <c r="C154" s="13" t="inlineStr">
        <is>
          <t>Raed Obeid</t>
        </is>
      </c>
      <c r="D154" s="13" t="inlineStr">
        <is>
          <t>اعمال توريد وتركيب وصيانه خطوط هوائيه ضغط متوسط 11 ك.ف وضغط منخفض والاعمال المدنيه المتعلقه بهما في (المنطقه الوسطى)</t>
        </is>
      </c>
      <c r="E154" s="13" t="inlineStr">
        <is>
          <t>أعمال وتوريدات اعمال توريد وتركيب وصيانه خطوط هوائيه ضغط متوسط 11 ك.ف وضغط منخفض والاعمال المدنيه المتعلقه بهما في (المنطقه الوسطى) لصالح وزارة الكهرباء والماء والطاقة المتجددة وفقاً للشروط والمواصفات المعتمدة في وثائق الطرح.</t>
        </is>
      </c>
      <c r="F15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54" s="14" t="inlineStr">
        <is>
          <t>عام</t>
        </is>
      </c>
      <c r="H154" s="14" t="inlineStr">
        <is>
          <t>0.0%</t>
        </is>
      </c>
      <c r="I154" s="14" t="inlineStr">
        <is>
          <t>oil_and_gas</t>
        </is>
      </c>
      <c r="J154" s="14" t="inlineStr">
        <is>
          <t>2026-08-23</t>
        </is>
      </c>
      <c r="K154" s="18" t="inlineStr">
        <is>
          <t>2026-10-20</t>
        </is>
      </c>
      <c r="L154" s="14" t="inlineStr">
        <is>
          <t>100000.000 KWD</t>
        </is>
      </c>
      <c r="M154" s="14" t="inlineStr">
        <is>
          <t>3500.000 KWD</t>
        </is>
      </c>
      <c r="N154" s="25" t="inlineStr">
        <is>
          <t>NEW</t>
        </is>
      </c>
      <c r="O154" s="14" t="inlineStr">
        <is>
          <t>غير متوافقة مع اختصاصات KBM</t>
        </is>
      </c>
      <c r="P154" s="22">
        <f>HYPERLINK("https://capt.gov.kw/ar/tenders/opening-tenders/#card-5", "عرض المصدر")</f>
        <v/>
      </c>
    </row>
    <row r="155">
      <c r="A155" s="11" t="inlineStr">
        <is>
          <t>و ش ج 12/2024/2025</t>
        </is>
      </c>
      <c r="B155" s="11" t="inlineStr">
        <is>
          <t>وزارة الشئون الاجتماعية</t>
        </is>
      </c>
      <c r="C155" s="11" t="inlineStr">
        <is>
          <t>Eiman Ashkanani</t>
        </is>
      </c>
      <c r="D155" s="11" t="inlineStr">
        <is>
          <t>اصلاح و تشغيل و صيانة و توريد و تركيب معدات التكييف و التبريد و التهوية و التدفئه لقطاع الرعاية الاجتماعيه و المباني التابعه له</t>
        </is>
      </c>
      <c r="E155" s="11" t="inlineStr">
        <is>
          <t>أعمال صيانة وتشغيل وإصلاح وحدات ومحطات التكييف المركزي والمبردات وضواغط الهواء وشبكات مجاري الهواء.</t>
        </is>
      </c>
      <c r="F15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55" s="12" t="inlineStr">
        <is>
          <t>عام</t>
        </is>
      </c>
      <c r="H155" s="12" t="inlineStr">
        <is>
          <t>0.0%</t>
        </is>
      </c>
      <c r="I155" s="12" t="inlineStr">
        <is>
          <t>government</t>
        </is>
      </c>
      <c r="J155" s="12" t="inlineStr">
        <is>
          <t>2026-08-23</t>
        </is>
      </c>
      <c r="K155" s="12" t="inlineStr">
        <is>
          <t>2026-11-22</t>
        </is>
      </c>
      <c r="L155" s="12" t="inlineStr">
        <is>
          <t>6000.000 KWD</t>
        </is>
      </c>
      <c r="M155" s="12" t="inlineStr">
        <is>
          <t>300.000 KWD</t>
        </is>
      </c>
      <c r="N155" s="25" t="inlineStr">
        <is>
          <t>NEW</t>
        </is>
      </c>
      <c r="O155" s="12" t="inlineStr">
        <is>
          <t>غير متوافقة مع اختصاصات KBM</t>
        </is>
      </c>
      <c r="P155" s="23">
        <f>HYPERLINK("https://capt.gov.kw/ar/tenders/opening-tenders/#card-4", "عرض المصدر")</f>
        <v/>
      </c>
    </row>
    <row r="156">
      <c r="A156" s="13" t="inlineStr">
        <is>
          <t>هـ ع ص / 9 / 2024-2027</t>
        </is>
      </c>
      <c r="B156" s="13" t="inlineStr">
        <is>
          <t>الهيئة العامة للصناعة</t>
        </is>
      </c>
      <c r="C156" s="13" t="inlineStr">
        <is>
          <t>Eiman Ashkanani</t>
        </is>
      </c>
      <c r="D156" s="13" t="inlineStr">
        <is>
          <t>صيانة وتطوير وتشغيل الأنظمة ( الإجراءات الصناعية – المسار الواحد- المعالجة الذاتية- النماذج الالكترونية – نظام الصيانة – mobile app  - شؤون الاعتماد – استبيان العملاء  – log management - الفواتير الإلكترونية ) بالهيئة العامة للصناعة</t>
        </is>
      </c>
      <c r="E156" s="13" t="inlineStr">
        <is>
          <t>تنفيذ أعمال صيانة وتطوير وتشغيل الأنظمة ( الإجراءات الصناعية – المسار الواحد- المعالجة الذاتية- النماذج الالكترونية – نظام الصيانة – mobile app  - شؤون الاعتماد – استبيان العملاء  – log management - الفواتير الإلكترونية ) بالهيئة العامة للصناعة، وتوفير كافة الأجهزة والمعدات والأنظمة وخدمات الدعم الفني والضمان وفقاً لكراسة الشروط والمواصفات الفنية.</t>
        </is>
      </c>
      <c r="F15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56" s="24" t="inlineStr">
        <is>
          <t>عام</t>
        </is>
      </c>
      <c r="H156" s="14" t="inlineStr">
        <is>
          <t>0.0%</t>
        </is>
      </c>
      <c r="I156" s="14" t="inlineStr">
        <is>
          <t>government</t>
        </is>
      </c>
      <c r="J156" s="14" t="inlineStr">
        <is>
          <t>2026-08-23</t>
        </is>
      </c>
      <c r="K156" s="18" t="inlineStr">
        <is>
          <t>2026-10-20</t>
        </is>
      </c>
      <c r="L156" s="14" t="inlineStr">
        <is>
          <t>23000.000 KWD</t>
        </is>
      </c>
      <c r="M156" s="14" t="inlineStr">
        <is>
          <t>1000.000 KWD</t>
        </is>
      </c>
      <c r="N156" s="25" t="inlineStr">
        <is>
          <t>NEW</t>
        </is>
      </c>
      <c r="O156" s="14" t="inlineStr">
        <is>
          <t>غير متوافقة مع اختصاصات KBM</t>
        </is>
      </c>
      <c r="P156" s="22">
        <f>HYPERLINK("https://capt.gov.kw/ar/tenders/opening-tenders/#card-3", "عرض المصدر")</f>
        <v/>
      </c>
    </row>
    <row r="157">
      <c r="A157" s="11" t="inlineStr">
        <is>
          <t>م ع/23/2025/2026</t>
        </is>
      </c>
      <c r="B157" s="11" t="inlineStr">
        <is>
          <t>وزارة التربية</t>
        </is>
      </c>
      <c r="C157" s="11" t="inlineStr">
        <is>
          <t>Eiman Ashkanani</t>
        </is>
      </c>
      <c r="D157" s="11" t="inlineStr">
        <is>
          <t>تنفيذ أعمال التشغيل والصيانة وإدارة مبنى ديوان عام الوزارة الجديد بجنوب السرة</t>
        </is>
      </c>
      <c r="E157" s="11" t="inlineStr">
        <is>
          <t>أعمال وتوريدات تنفيذ أعمال التشغيل والصيانة وإدارة مبنى ديوان عام الوزارة الجديد بجنوب السرة لصالح وزارة التربية وفقاً للشروط والمواصفات المعتمدة في وثائق الطرح.</t>
        </is>
      </c>
      <c r="F15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57" s="12" t="inlineStr">
        <is>
          <t>عام</t>
        </is>
      </c>
      <c r="H157" s="12" t="inlineStr">
        <is>
          <t>0.0%</t>
        </is>
      </c>
      <c r="I157" s="12" t="inlineStr">
        <is>
          <t>education_and_research</t>
        </is>
      </c>
      <c r="J157" s="12" t="inlineStr">
        <is>
          <t>2026-08-23</t>
        </is>
      </c>
      <c r="K157" s="12" t="inlineStr">
        <is>
          <t>2026-11-17</t>
        </is>
      </c>
      <c r="L157" s="12" t="inlineStr">
        <is>
          <t>62000.000 KWD</t>
        </is>
      </c>
      <c r="M157" s="12" t="inlineStr">
        <is>
          <t>3500.000 KWD</t>
        </is>
      </c>
      <c r="N157" s="25" t="inlineStr">
        <is>
          <t>NEW</t>
        </is>
      </c>
      <c r="O157" s="12" t="inlineStr">
        <is>
          <t>غير متوافقة مع اختصاصات KBM</t>
        </is>
      </c>
      <c r="P157" s="23">
        <f>HYPERLINK("https://capt.gov.kw/ar/tenders/opening-tenders/#card-2", "عرض المصدر")</f>
        <v/>
      </c>
    </row>
    <row r="158">
      <c r="A158" s="13" t="inlineStr">
        <is>
          <t>62/2020/2021</t>
        </is>
      </c>
      <c r="B158" s="13" t="inlineStr">
        <is>
          <t>وزارة الكهرباء والماء والطاقة المتجددة</t>
        </is>
      </c>
      <c r="C158" s="13" t="inlineStr">
        <is>
          <t>Raed Obeid</t>
        </is>
      </c>
      <c r="D158" s="13" t="inlineStr">
        <is>
          <t>توريد وتركيب وصيانة خطوط هوائية ضغط متوسط 11 ك.ف وضغط منخفض والاعمال المدنية المتعلقة بهما في مزارع الوفرة</t>
        </is>
      </c>
      <c r="E158" s="13" t="inlineStr">
        <is>
          <t>أعمال وتوريدات توريد وتركيب وصيانة خطوط هوائية ضغط متوسط 11 ك.ف وضغط منخفض والاعمال المدنية المتعلقة بهما في مزارع الوفرة لصالح وزارة الكهرباء والماء والطاقة المتجددة وفقاً للشروط والمواصفات المعتمدة في وثائق الطرح.</t>
        </is>
      </c>
      <c r="F15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58" s="14" t="inlineStr">
        <is>
          <t>عام</t>
        </is>
      </c>
      <c r="H158" s="14" t="inlineStr">
        <is>
          <t>0.0%</t>
        </is>
      </c>
      <c r="I158" s="14" t="inlineStr">
        <is>
          <t>oil_and_gas</t>
        </is>
      </c>
      <c r="J158" s="14" t="inlineStr">
        <is>
          <t>2026-08-23</t>
        </is>
      </c>
      <c r="K158" s="18" t="inlineStr">
        <is>
          <t>2026-10-20</t>
        </is>
      </c>
      <c r="L158" s="14" t="inlineStr">
        <is>
          <t>100000.000 KWD</t>
        </is>
      </c>
      <c r="M158" s="14" t="inlineStr">
        <is>
          <t>3500.000 KWD</t>
        </is>
      </c>
      <c r="N158" s="25" t="inlineStr">
        <is>
          <t>NEW</t>
        </is>
      </c>
      <c r="O158" s="14" t="inlineStr">
        <is>
          <t>غير متوافقة مع اختصاصات KBM</t>
        </is>
      </c>
      <c r="P158" s="22">
        <f>HYPERLINK("https://capt.gov.kw/ar/tenders/opening-tenders/#card-1", "عرض المصدر")</f>
        <v/>
      </c>
    </row>
    <row r="159">
      <c r="A159" s="11" t="inlineStr">
        <is>
          <t>6/2025/2026</t>
        </is>
      </c>
      <c r="B159" s="11" t="inlineStr">
        <is>
          <t>الادارة العامة للطيران المدني</t>
        </is>
      </c>
      <c r="C159" s="11" t="inlineStr">
        <is>
          <t>Eiman Ashkanani</t>
        </is>
      </c>
      <c r="D159" s="11" t="inlineStr">
        <is>
          <t>اعمال صيانة و ترميم المباني و الاعمال الانشائية و اية اعمال اخرى في مواقع مختلفة للطيران المدني</t>
        </is>
      </c>
      <c r="E159" s="11" t="inlineStr">
        <is>
          <t>تنفيذ الأعمال المدنية والإنشائية والترميم والصيانة العامة للمباني والمنشآت والمرافق التابعة للجهة.</t>
        </is>
      </c>
      <c r="F15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59" s="12" t="inlineStr">
        <is>
          <t>عام</t>
        </is>
      </c>
      <c r="H159" s="12" t="inlineStr">
        <is>
          <t>0.0%</t>
        </is>
      </c>
      <c r="I159" s="12" t="inlineStr">
        <is>
          <t>government</t>
        </is>
      </c>
      <c r="J159" s="12" t="inlineStr">
        <is>
          <t>2026-08-23</t>
        </is>
      </c>
      <c r="K159" s="12" t="inlineStr">
        <is>
          <t>2026-11-17</t>
        </is>
      </c>
      <c r="L159" s="12" t="inlineStr">
        <is>
          <t>170000.000 KWD</t>
        </is>
      </c>
      <c r="M159" s="12" t="inlineStr">
        <is>
          <t>3500.000 KWD</t>
        </is>
      </c>
      <c r="N159" s="25" t="inlineStr">
        <is>
          <t>NEW</t>
        </is>
      </c>
      <c r="O159" s="12" t="inlineStr">
        <is>
          <t>غير متوافقة مع اختصاصات KBM</t>
        </is>
      </c>
      <c r="P159" s="23">
        <f>HYPERLINK("https://capt.gov.kw/ar/tenders/opening-tenders/#card-0", "عرض المصدر")</f>
        <v/>
      </c>
    </row>
    <row r="160">
      <c r="A160" s="13" t="inlineStr">
        <is>
          <t>2147428</t>
        </is>
      </c>
      <c r="B160" s="13" t="inlineStr">
        <is>
          <t>شركة نفط الكويت</t>
        </is>
      </c>
      <c r="C160" s="13" t="inlineStr">
        <is>
          <t>Ahmed Habib</t>
        </is>
      </c>
      <c r="D160" s="13" t="inlineStr">
        <is>
          <t>تقديم خدمات الامن السيبراني المدارة</t>
        </is>
      </c>
      <c r="E160" s="13" t="inlineStr">
        <is>
          <t>أعمال وتوريدات تقديم خدمات الامن السيبراني المدارة لصالح شركة نفط الكويت وفقاً للشروط والمواصفات المعتمدة في وثائق الطرح.</t>
        </is>
      </c>
      <c r="F16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60" s="14" t="inlineStr">
        <is>
          <t>قطاع الأمن السيبراني والدفاع الرقمي</t>
        </is>
      </c>
      <c r="H160" s="14" t="inlineStr">
        <is>
          <t>47.0%</t>
        </is>
      </c>
      <c r="I160" s="14" t="inlineStr">
        <is>
          <t>oil_and_gas</t>
        </is>
      </c>
      <c r="J160" s="14" t="inlineStr">
        <is>
          <t>2026-08-23</t>
        </is>
      </c>
      <c r="K160" s="14" t="inlineStr">
        <is>
          <t>2026-11-17</t>
        </is>
      </c>
      <c r="L160" s="14" t="inlineStr">
        <is>
          <t>220000.000 KWD</t>
        </is>
      </c>
      <c r="M160" s="14" t="inlineStr">
        <is>
          <t>3500.000 KWD</t>
        </is>
      </c>
      <c r="N160" s="25" t="inlineStr">
        <is>
          <t>NEW</t>
        </is>
      </c>
      <c r="O160" s="14" t="inlineStr">
        <is>
          <t>فرصة تتطلب شراكة أو دراسة نطاق</t>
        </is>
      </c>
      <c r="P160" s="22">
        <f>HYPERLINK("https://capt.gov.kw/ar/tenders/opening-tenders/#card-9", "عرض المصدر")</f>
        <v/>
      </c>
    </row>
    <row r="161">
      <c r="A161" s="11" t="inlineStr">
        <is>
          <t>و ك م 16/2025/2026</t>
        </is>
      </c>
      <c r="B161" s="11" t="inlineStr">
        <is>
          <t>وزارة الكهرباء والماء والطاقة المتجددة</t>
        </is>
      </c>
      <c r="C161" s="11" t="inlineStr">
        <is>
          <t>Raed Obeid</t>
        </is>
      </c>
      <c r="D161" s="11" t="inlineStr">
        <is>
          <t>صيانة واستبدال التالف و الاعمال المدنيه المتعلقه بعدد من المحولات حتى سعة 75 م.ف.أ و المفاعل المتوازي حتى سعة 50 م.فأ.أ.ر(المرحلة الثانيه)</t>
        </is>
      </c>
      <c r="E161" s="11" t="inlineStr">
        <is>
          <t>أعمال وتوريدات صيانة واستبدال التالف و الاعمال المدنيه المتعلقه بعدد من المحولات حتى سعة 75 م.ف.أ و المفاعل المتوازي حتى سعة 50 م.فأ.أ.ر(المرحلة الثانيه) لصالح وزارة الكهرباء والماء والطاقة المتجددة وفقاً للشروط والمواصفات المعتمدة في وثائق الطرح.</t>
        </is>
      </c>
      <c r="F16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61" s="12" t="inlineStr">
        <is>
          <t>عام</t>
        </is>
      </c>
      <c r="H161" s="12" t="inlineStr">
        <is>
          <t>0.0%</t>
        </is>
      </c>
      <c r="I161" s="12" t="inlineStr">
        <is>
          <t>oil_and_gas</t>
        </is>
      </c>
      <c r="J161" s="12" t="inlineStr">
        <is>
          <t>2026-08-30</t>
        </is>
      </c>
      <c r="K161" s="12" t="inlineStr">
        <is>
          <t>2026-11-01</t>
        </is>
      </c>
      <c r="L161" s="12" t="inlineStr">
        <is>
          <t>23000.000 KWD</t>
        </is>
      </c>
      <c r="M161" s="12" t="inlineStr">
        <is>
          <t>1000.000 KWD</t>
        </is>
      </c>
      <c r="N161" s="25" t="inlineStr">
        <is>
          <t>NEW</t>
        </is>
      </c>
      <c r="O161" s="12" t="inlineStr">
        <is>
          <t>غير متوافقة مع اختصاصات KBM</t>
        </is>
      </c>
      <c r="P161" s="23">
        <f>HYPERLINK("https://capt.gov.kw/ar/tenders/opening-tenders/#card-8", "عرض المصدر")</f>
        <v/>
      </c>
    </row>
    <row r="162">
      <c r="A162" s="13" t="inlineStr">
        <is>
          <t>ممارسة 1 /2026/2027</t>
        </is>
      </c>
      <c r="B162" s="13" t="inlineStr">
        <is>
          <t>هيئة تشجيع الاستثمار المباشر</t>
        </is>
      </c>
      <c r="C162" s="13" t="inlineStr">
        <is>
          <t>Eiman Ashkanani</t>
        </is>
      </c>
      <c r="D162" s="13" t="inlineStr">
        <is>
          <t>مراجعة التصميم والإشراف على تنفيذ مشروع المناقصة (1/2025/2026) بإنشاء و إنجاز و تأثيث و صيانة و تشغيل مبنى المقر الرئيسي لهيئة تشجيع الاستثمار المباشر</t>
        </is>
      </c>
      <c r="E162" s="13" t="inlineStr">
        <is>
          <t>تنفيذ الأعمال المدنية والإنشائية والترميم والصيانة العامة للمباني والمنشآت والمرافق التابعة للجهة.</t>
        </is>
      </c>
      <c r="F16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62" s="14" t="inlineStr">
        <is>
          <t>عام</t>
        </is>
      </c>
      <c r="H162" s="14" t="inlineStr">
        <is>
          <t>0.0%</t>
        </is>
      </c>
      <c r="I162" s="14" t="inlineStr">
        <is>
          <t>government</t>
        </is>
      </c>
      <c r="J162" s="14" t="inlineStr">
        <is>
          <t>2026-08-30</t>
        </is>
      </c>
      <c r="K162" s="14" t="inlineStr">
        <is>
          <t>2026-10-13</t>
        </is>
      </c>
      <c r="L162" s="14" t="inlineStr">
        <is>
          <t>62000.000 KWD</t>
        </is>
      </c>
      <c r="M162" s="14" t="inlineStr">
        <is>
          <t>3500.000 KWD</t>
        </is>
      </c>
      <c r="N162" s="25" t="inlineStr">
        <is>
          <t>NEW</t>
        </is>
      </c>
      <c r="O162" s="14" t="inlineStr">
        <is>
          <t>غير متوافقة مع اختصاصات KBM</t>
        </is>
      </c>
      <c r="P162" s="22">
        <f>HYPERLINK("https://capt.gov.kw/ar/tenders/opening-tenders/#card-7", "عرض المصدر")</f>
        <v/>
      </c>
    </row>
    <row r="163">
      <c r="A163" s="11" t="inlineStr">
        <is>
          <t>ص/ م خ ع / 9/2026/2027</t>
        </is>
      </c>
      <c r="B163" s="11" t="inlineStr">
        <is>
          <t>وزارة الصحة</t>
        </is>
      </c>
      <c r="C163" s="11" t="inlineStr">
        <is>
          <t>Jana Al-Obaid</t>
        </is>
      </c>
      <c r="D163" s="11" t="inlineStr">
        <is>
          <t>خدمات الإشراف على التنفيذ لإنشاء وتجهيز وتأثيث والصيانة لمشروع المطبخ المركزي لمستشفى الفروانية الجديد</t>
        </is>
      </c>
      <c r="E163" s="11" t="inlineStr">
        <is>
          <t>تنفيذ الأعمال المدنية والإنشائية والترميم والصيانة العامة للمباني والمنشآت والمرافق التابعة للجهة.</t>
        </is>
      </c>
      <c r="F16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63" s="12" t="inlineStr">
        <is>
          <t>عام</t>
        </is>
      </c>
      <c r="H163" s="12" t="inlineStr">
        <is>
          <t>0.0%</t>
        </is>
      </c>
      <c r="I163" s="12" t="inlineStr">
        <is>
          <t>healthcare</t>
        </is>
      </c>
      <c r="J163" s="12" t="inlineStr">
        <is>
          <t>2026-08-30</t>
        </is>
      </c>
      <c r="K163" s="12" t="inlineStr">
        <is>
          <t>2026-11-24</t>
        </is>
      </c>
      <c r="L163" s="12" t="inlineStr">
        <is>
          <t>7500.000 KWD</t>
        </is>
      </c>
      <c r="M163" s="12" t="inlineStr">
        <is>
          <t>1000.000 KWD</t>
        </is>
      </c>
      <c r="N163" s="25" t="inlineStr">
        <is>
          <t>NEW</t>
        </is>
      </c>
      <c r="O163" s="12" t="inlineStr">
        <is>
          <t>غير متوافقة مع اختصاصات KBM</t>
        </is>
      </c>
      <c r="P163" s="23">
        <f>HYPERLINK("https://capt.gov.kw/ar/tenders/opening-tenders/#card-6", "عرض المصدر")</f>
        <v/>
      </c>
    </row>
    <row r="164">
      <c r="A164" s="13" t="inlineStr">
        <is>
          <t>ص / م خ ع / 3/2026/2027</t>
        </is>
      </c>
      <c r="B164" s="13" t="inlineStr">
        <is>
          <t>وزارة الصحة</t>
        </is>
      </c>
      <c r="C164" s="13" t="inlineStr">
        <is>
          <t>Jana Al-Obaid</t>
        </is>
      </c>
      <c r="D164" s="13" t="inlineStr">
        <is>
          <t>حراسة وامن مرافق الوزارة منطقتي ( الصباح الطبية التخصصية - منطقة الأحمدي الصحية ) و الادارات المركزية</t>
        </is>
      </c>
      <c r="E164" s="13" t="inlineStr">
        <is>
          <t>توفير خدمات الحراسة والأمن والسلامة للمباني والمنشآت وتأمين المداخل وتوفير الكوادر الأمنية المدربة.</t>
        </is>
      </c>
      <c r="F16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64" s="14" t="inlineStr">
        <is>
          <t>عام</t>
        </is>
      </c>
      <c r="H164" s="14" t="inlineStr">
        <is>
          <t>0.0%</t>
        </is>
      </c>
      <c r="I164" s="14" t="inlineStr">
        <is>
          <t>healthcare</t>
        </is>
      </c>
      <c r="J164" s="14" t="inlineStr">
        <is>
          <t>2026-08-30</t>
        </is>
      </c>
      <c r="K164" s="18" t="inlineStr">
        <is>
          <t>2026-10-20</t>
        </is>
      </c>
      <c r="L164" s="14" t="inlineStr">
        <is>
          <t>100000.000 KWD</t>
        </is>
      </c>
      <c r="M164" s="14" t="inlineStr">
        <is>
          <t>3500.000 KWD</t>
        </is>
      </c>
      <c r="N164" s="25" t="inlineStr">
        <is>
          <t>NEW</t>
        </is>
      </c>
      <c r="O164" s="14" t="inlineStr">
        <is>
          <t>غير متوافقة مع اختصاصات KBM</t>
        </is>
      </c>
      <c r="P164" s="22">
        <f>HYPERLINK("https://capt.gov.kw/ar/tenders/opening-tenders/#card-5", "عرض المصدر")</f>
        <v/>
      </c>
    </row>
    <row r="165">
      <c r="A165" s="11" t="inlineStr">
        <is>
          <t>241717263</t>
        </is>
      </c>
      <c r="B165" s="11" t="inlineStr">
        <is>
          <t>وزارة الدفاع</t>
        </is>
      </c>
      <c r="C165" s="11" t="inlineStr">
        <is>
          <t>Eiman Ashkanani</t>
        </is>
      </c>
      <c r="D165" s="11" t="inlineStr">
        <is>
          <t>توريد زيت نباتي (ذرة) - لزوم / وحدات الجيش</t>
        </is>
      </c>
      <c r="E165" s="11" t="inlineStr">
        <is>
          <t>أعمال وتوريدات توريد زيت نباتي (ذرة) - لزوم / وحدات الجيش لصالح وزارة الدفاع وفقاً للشروط والمواصفات المعتمدة في وثائق الطرح.</t>
        </is>
      </c>
      <c r="F16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65" s="12" t="inlineStr">
        <is>
          <t>عام</t>
        </is>
      </c>
      <c r="H165" s="12" t="inlineStr">
        <is>
          <t>0.0%</t>
        </is>
      </c>
      <c r="I165" s="12" t="inlineStr">
        <is>
          <t>defense_and_security</t>
        </is>
      </c>
      <c r="J165" s="12" t="inlineStr">
        <is>
          <t>2026-08-30</t>
        </is>
      </c>
      <c r="K165" s="12" t="inlineStr">
        <is>
          <t>2026-11-24</t>
        </is>
      </c>
      <c r="L165" s="12" t="inlineStr">
        <is>
          <t>15000.000 KWD</t>
        </is>
      </c>
      <c r="M165" s="12" t="inlineStr">
        <is>
          <t>1000.000 KWD</t>
        </is>
      </c>
      <c r="N165" s="25" t="inlineStr">
        <is>
          <t>NEW</t>
        </is>
      </c>
      <c r="O165" s="12" t="inlineStr">
        <is>
          <t>غير متوافقة مع اختصاصات KBM</t>
        </is>
      </c>
      <c r="P165" s="23">
        <f>HYPERLINK("https://capt.gov.kw/ar/tenders/opening-tenders/#card-4", "عرض المصدر")</f>
        <v/>
      </c>
    </row>
    <row r="166">
      <c r="A166" s="13" t="inlineStr">
        <is>
          <t>و ك م/38/2025/2026</t>
        </is>
      </c>
      <c r="B166" s="13" t="inlineStr">
        <is>
          <t>وزارة الكهرباء والماء والطاقة المتجددة</t>
        </is>
      </c>
      <c r="C166" s="13" t="inlineStr">
        <is>
          <t>Raed Obeid</t>
        </is>
      </c>
      <c r="D166" s="13" t="inlineStr">
        <is>
          <t>أعمال صيانة آلات تصويرمستندات ماركات مختلفة بجميع قطاعات الوزارة والإدارات التابعة لها بجميع مرافق الوزارة</t>
        </is>
      </c>
      <c r="E166" s="13" t="inlineStr">
        <is>
          <t>أعمال وتوريدات أعمال صيانة آلات تصويرمستندات ماركات مختلفة بجميع قطاعات الوزارة والإدارات التابعة لها بجميع مرافق الوزارة لصالح وزارة الكهرباء والماء والطاقة المتجددة وفقاً للشروط والمواصفات المعتمدة في وثائق الطرح.</t>
        </is>
      </c>
      <c r="F16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66" s="14" t="inlineStr">
        <is>
          <t>عام</t>
        </is>
      </c>
      <c r="H166" s="14" t="inlineStr">
        <is>
          <t>15.0%</t>
        </is>
      </c>
      <c r="I166" s="14" t="inlineStr">
        <is>
          <t>oil_and_gas</t>
        </is>
      </c>
      <c r="J166" s="14" t="inlineStr">
        <is>
          <t>2026-09-06</t>
        </is>
      </c>
      <c r="K166" s="14" t="inlineStr">
        <is>
          <t>2026-10-25</t>
        </is>
      </c>
      <c r="L166" s="14" t="inlineStr">
        <is>
          <t>23000.000 KWD</t>
        </is>
      </c>
      <c r="M166" s="14" t="inlineStr">
        <is>
          <t>1000.000 KWD</t>
        </is>
      </c>
      <c r="N166" s="26" t="inlineStr">
        <is>
          <t>UNCHANGED</t>
        </is>
      </c>
      <c r="O166" s="14" t="inlineStr">
        <is>
          <t>غير متوافقة مع اختصاصات KBM</t>
        </is>
      </c>
      <c r="P166" s="22">
        <f>HYPERLINK("https://capt.gov.kw/ar/tenders/opening-tenders/#card-3", "عرض المصدر")</f>
        <v/>
      </c>
    </row>
    <row r="167">
      <c r="A167" s="11" t="inlineStr">
        <is>
          <t>و ك م/12/2025/2026</t>
        </is>
      </c>
      <c r="B167" s="11" t="inlineStr">
        <is>
          <t>وزارة الكهرباء والماء والطاقة المتجددة</t>
        </is>
      </c>
      <c r="C167" s="11" t="inlineStr">
        <is>
          <t>Raed Obeid</t>
        </is>
      </c>
      <c r="D167" s="11" t="inlineStr">
        <is>
          <t>احلال واستبدال التالف بعدد من المحولات حتى سعة 75م.ف.أ والمفاعل المتوازي حتى سعة 50 م.ف.أ.ر (المرحلة الأولى)</t>
        </is>
      </c>
      <c r="E167" s="11" t="inlineStr">
        <is>
          <t>أعمال وتوريدات احلال واستبدال التالف بعدد من المحولات حتى سعة 75م.ف.أ والمفاعل المتوازي حتى سعة 50 م.ف.أ.ر (المرحلة الأولى) لصالح وزارة الكهرباء والماء والطاقة المتجددة وفقاً للشروط والمواصفات المعتمدة في وثائق الطرح.</t>
        </is>
      </c>
      <c r="F16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67" s="12" t="inlineStr">
        <is>
          <t>عام</t>
        </is>
      </c>
      <c r="H167" s="12" t="inlineStr">
        <is>
          <t>15.0%</t>
        </is>
      </c>
      <c r="I167" s="12" t="inlineStr">
        <is>
          <t>oil_and_gas</t>
        </is>
      </c>
      <c r="J167" s="12" t="inlineStr">
        <is>
          <t>2026-09-06</t>
        </is>
      </c>
      <c r="K167" s="12" t="inlineStr">
        <is>
          <t>2026-11-03</t>
        </is>
      </c>
      <c r="L167" s="12" t="inlineStr">
        <is>
          <t>0.000 KWD</t>
        </is>
      </c>
      <c r="M167" s="12" t="inlineStr">
        <is>
          <t>500.000 KWD</t>
        </is>
      </c>
      <c r="N167" s="26" t="inlineStr">
        <is>
          <t>UNCHANGED</t>
        </is>
      </c>
      <c r="O167" s="12" t="inlineStr">
        <is>
          <t>غير متوافقة مع اختصاصات KBM</t>
        </is>
      </c>
      <c r="P167" s="23">
        <f>HYPERLINK("https://capt.gov.kw/ar/tenders/opening-tenders/#card-2", "عرض المصدر")</f>
        <v/>
      </c>
    </row>
    <row r="168">
      <c r="A168" s="13" t="inlineStr">
        <is>
          <t>و ك م /95/2024/2025</t>
        </is>
      </c>
      <c r="B168" s="13" t="inlineStr">
        <is>
          <t>وزارة الكهرباء والماء والطاقة المتجددة</t>
        </is>
      </c>
      <c r="C168" s="13" t="inlineStr">
        <is>
          <t>Raed Obeid</t>
        </is>
      </c>
      <c r="D168" s="13" t="inlineStr">
        <is>
          <t>إنشاء وإنجاز وصيانة مبنى أخضر لمحافظة الفروانية</t>
        </is>
      </c>
      <c r="E168" s="13" t="inlineStr">
        <is>
          <t>تنفيذ الأعمال المدنية والإنشائية والترميم والصيانة العامة للمباني والمنشآت والمرافق التابعة للجهة.</t>
        </is>
      </c>
      <c r="F16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68" s="14" t="inlineStr">
        <is>
          <t>عام</t>
        </is>
      </c>
      <c r="H168" s="14" t="inlineStr">
        <is>
          <t>15.0%</t>
        </is>
      </c>
      <c r="I168" s="14" t="inlineStr">
        <is>
          <t>oil_and_gas</t>
        </is>
      </c>
      <c r="J168" s="14" t="inlineStr">
        <is>
          <t>2026-09-06</t>
        </is>
      </c>
      <c r="K168" s="14" t="inlineStr">
        <is>
          <t>2026-11-01</t>
        </is>
      </c>
      <c r="L168" s="14" t="inlineStr">
        <is>
          <t>62000.000 KWD</t>
        </is>
      </c>
      <c r="M168" s="14" t="inlineStr">
        <is>
          <t>1000.000 KWD</t>
        </is>
      </c>
      <c r="N168" s="26" t="inlineStr">
        <is>
          <t>UNCHANGED</t>
        </is>
      </c>
      <c r="O168" s="14" t="inlineStr">
        <is>
          <t>غير متوافقة مع اختصاصات KBM</t>
        </is>
      </c>
      <c r="P168" s="22">
        <f>HYPERLINK("https://capt.gov.kw/ar/tenders/opening-tenders/#card-1", "عرض المصدر")</f>
        <v/>
      </c>
    </row>
    <row r="169">
      <c r="A169" s="11" t="inlineStr">
        <is>
          <t>و ك م /48/2024/2025</t>
        </is>
      </c>
      <c r="B169" s="11" t="inlineStr">
        <is>
          <t>وزارة الكهرباء والماء والطاقة المتجددة</t>
        </is>
      </c>
      <c r="C169" s="11" t="inlineStr">
        <is>
          <t>Raed Obeid</t>
        </is>
      </c>
      <c r="D169" s="11" t="inlineStr">
        <is>
          <t>توريد كيبلات ألمنيوم ضغط متوسط 11ك.ف، كيبلات نحاس ضغط متوسط 11ك.ف كيبلات قيادية (PILOT) كيبلات ضغط منخفض 1ك.ف لمشاريع شبكات التوزيع الكهربائية 11ك.ف</t>
        </is>
      </c>
      <c r="E169" s="11" t="inlineStr">
        <is>
          <t>تنفيذ أعمال توريد كيبلات ألمنيوم ضغط متوسط 11ك.ف، كيبلات نحاس ضغط متوسط 11ك.ف كيبلات قيادية (PILOT) كيبلات ضغط منخفض 1ك.ف لمشاريع شبكات التوزيع الكهربائية 11ك.ف، وتوفير كافة الأجهزة والمعدات والأنظمة وخدمات الدعم الفني والضمان وفقاً لكراسة الشروط والمواصفات الفنية.</t>
        </is>
      </c>
      <c r="F16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69" s="24" t="inlineStr">
        <is>
          <t>قطاع العمليات المدارة والدعم الفني متعدد الموردين</t>
        </is>
      </c>
      <c r="H169" s="12" t="inlineStr">
        <is>
          <t>64.0%</t>
        </is>
      </c>
      <c r="I169" s="12" t="inlineStr">
        <is>
          <t>oil_and_gas</t>
        </is>
      </c>
      <c r="J169" s="12" t="inlineStr">
        <is>
          <t>2026-09-06</t>
        </is>
      </c>
      <c r="K169" s="12" t="inlineStr">
        <is>
          <t>2026-11-01</t>
        </is>
      </c>
      <c r="L169" s="12" t="inlineStr">
        <is>
          <t>0.000 KWD</t>
        </is>
      </c>
      <c r="M169" s="12" t="inlineStr">
        <is>
          <t>500.000 KWD</t>
        </is>
      </c>
      <c r="N169" s="26" t="inlineStr">
        <is>
          <t>UNCHANGED</t>
        </is>
      </c>
      <c r="O169" s="12" t="inlineStr">
        <is>
          <t>فرصة ICT متوافقة مع قدرات KBM</t>
        </is>
      </c>
      <c r="P169" s="23">
        <f>HYPERLINK("https://capt.gov.kw/ar/tenders/opening-tenders/#card-0", "عرض المصدر")</f>
        <v/>
      </c>
    </row>
    <row r="170">
      <c r="A170" s="13" t="inlineStr">
        <is>
          <t>و ك م /11/2025/2026</t>
        </is>
      </c>
      <c r="B170" s="13" t="inlineStr">
        <is>
          <t>وزارة الكهرباء والماء والطاقة المتجددة</t>
        </is>
      </c>
      <c r="C170" s="13" t="inlineStr">
        <is>
          <t>Raed Obeid</t>
        </is>
      </c>
      <c r="D170" s="13" t="inlineStr">
        <is>
          <t>توريد وتسليم ومناولة مواد كيماوية لوحدة التناضح العكسي لمحطة الشويخ القوى الكهربائية وتقطير المياه</t>
        </is>
      </c>
      <c r="E170" s="13" t="inlineStr">
        <is>
          <t>أعمال وتوريدات توريد وتسليم ومناولة مواد كيماوية لوحدة التناضح العكسي لمحطة الشويخ القوى الكهربائية وتقطير المياه لصالح وزارة الكهرباء والماء والطاقة المتجددة وفقاً للشروط والمواصفات المعتمدة في وثائق الطرح.</t>
        </is>
      </c>
      <c r="F17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70" s="14" t="inlineStr">
        <is>
          <t>عام</t>
        </is>
      </c>
      <c r="H170" s="14" t="inlineStr">
        <is>
          <t>15.0%</t>
        </is>
      </c>
      <c r="I170" s="14" t="inlineStr">
        <is>
          <t>oil_and_gas</t>
        </is>
      </c>
      <c r="J170" s="14" t="inlineStr">
        <is>
          <t>2026-09-06</t>
        </is>
      </c>
      <c r="K170" s="14" t="inlineStr">
        <is>
          <t>2026-10-25</t>
        </is>
      </c>
      <c r="L170" s="14" t="inlineStr">
        <is>
          <t>0.000 KWD</t>
        </is>
      </c>
      <c r="M170" s="14" t="inlineStr">
        <is>
          <t>250.000 KWD</t>
        </is>
      </c>
      <c r="N170" s="26" t="inlineStr">
        <is>
          <t>UNCHANGED</t>
        </is>
      </c>
      <c r="O170" s="14" t="inlineStr">
        <is>
          <t>غير متوافقة مع اختصاصات KBM</t>
        </is>
      </c>
      <c r="P170" s="22">
        <f>HYPERLINK("https://capt.gov.kw/ar/tenders/opening-tenders/#card-9", "عرض المصدر")</f>
        <v/>
      </c>
    </row>
    <row r="171">
      <c r="A171" s="11" t="inlineStr">
        <is>
          <t>هـ ع / ش أ م / 4/2026/2027</t>
        </is>
      </c>
      <c r="B171" s="11" t="inlineStr">
        <is>
          <t>الهيئة العامة للتعليم التطبيقي والتدريب</t>
        </is>
      </c>
      <c r="C171" s="11" t="inlineStr">
        <is>
          <t>Eiman Ashkanani</t>
        </is>
      </c>
      <c r="D171" s="11" t="inlineStr">
        <is>
          <t>توفير خدمة الانترنت و نقل المعلومات internet - wan للهيئة العامة للتعليم التطبيقي و التدريب</t>
        </is>
      </c>
      <c r="E171" s="11" t="inlineStr">
        <is>
          <t>تنفيذ أعمال توفير خدمة الانترنت و نقل المعلومات internet - wan للهيئة العامة للتعليم التطبيقي و التدريب، وتوفير كافة الأجهزة والمعدات والأنظمة وخدمات الدعم الفني والضمان وفقاً لكراسة الشروط والمواصفات الفنية.</t>
        </is>
      </c>
      <c r="F17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71" s="12" t="inlineStr">
        <is>
          <t>قطاع العمليات المدارة والدعم الفني متعدد الموردين</t>
        </is>
      </c>
      <c r="H171" s="12" t="inlineStr">
        <is>
          <t>49.0%</t>
        </is>
      </c>
      <c r="I171" s="12" t="inlineStr">
        <is>
          <t>education_and_research</t>
        </is>
      </c>
      <c r="J171" s="12" t="inlineStr">
        <is>
          <t>2026-09-06</t>
        </is>
      </c>
      <c r="K171" s="12" t="inlineStr">
        <is>
          <t>2026-11-03</t>
        </is>
      </c>
      <c r="L171" s="12" t="inlineStr">
        <is>
          <t>6000.000 KWD</t>
        </is>
      </c>
      <c r="M171" s="12" t="inlineStr">
        <is>
          <t>300.000 KWD</t>
        </is>
      </c>
      <c r="N171" s="26" t="inlineStr">
        <is>
          <t>UNCHANGED</t>
        </is>
      </c>
      <c r="O171" s="12" t="inlineStr">
        <is>
          <t>فرصة تتطلب شراكة أو دراسة نطاق</t>
        </is>
      </c>
      <c r="P171" s="23">
        <f>HYPERLINK("https://capt.gov.kw/ar/tenders/opening-tenders/#card-8", "عرض المصدر")</f>
        <v/>
      </c>
    </row>
    <row r="172">
      <c r="A172" s="13" t="inlineStr">
        <is>
          <t>ع ت ا م/ ق/ 2/2025</t>
        </is>
      </c>
      <c r="B172" s="13" t="inlineStr">
        <is>
          <t>المؤسسة العامة للتأمينات الاجتماعية</t>
        </is>
      </c>
      <c r="C172" s="13" t="inlineStr">
        <is>
          <t>Jana Al-Obaid</t>
        </is>
      </c>
      <c r="D172" s="13" t="inlineStr">
        <is>
          <t>تفعيل تراخيص لنظام إدارة خدمات تكنولوجيا المعلومات BMC - ITSM وتقديم خدمات الصيانة والدعم الفني لها والتدريب عليها بالمؤسسة العامة للتأمينات الاجتماعية</t>
        </is>
      </c>
      <c r="E172" s="13" t="inlineStr">
        <is>
          <t>تنفيذ أعمال تفعيل تراخيص لنظام إدارة خدمات تكنولوجيا المعلومات BMC - ITSM وتقديم خدمات الصيانة والدعم الفني لها والتدريب عليها بالمؤسسة العامة للتأمينات الاجتماعية، وتوفير كافة الأجهزة والمعدات والأنظمة وخدمات الدعم الفني والضمان وفقاً لكراسة الشروط والمواصفات الفنية.</t>
        </is>
      </c>
      <c r="F17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72" s="24" t="inlineStr">
        <is>
          <t>قطاع العمليات المدارة والدعم الفني متعدد الموردين</t>
        </is>
      </c>
      <c r="H172" s="14" t="inlineStr">
        <is>
          <t>64.0%</t>
        </is>
      </c>
      <c r="I172" s="14" t="inlineStr">
        <is>
          <t>banking_and_finance</t>
        </is>
      </c>
      <c r="J172" s="14" t="inlineStr">
        <is>
          <t>2026-09-06</t>
        </is>
      </c>
      <c r="K172" s="14" t="inlineStr">
        <is>
          <t>2026-12-01</t>
        </is>
      </c>
      <c r="L172" s="14" t="inlineStr">
        <is>
          <t>3500.000 KWD</t>
        </is>
      </c>
      <c r="M172" s="14" t="inlineStr">
        <is>
          <t>150.000 KWD</t>
        </is>
      </c>
      <c r="N172" s="26" t="inlineStr">
        <is>
          <t>UNCHANGED</t>
        </is>
      </c>
      <c r="O172" s="14" t="inlineStr">
        <is>
          <t>فرصة ICT متوافقة مع قدرات KBM</t>
        </is>
      </c>
      <c r="P172" s="22">
        <f>HYPERLINK("https://capt.gov.kw/ar/tenders/opening-tenders/#card-7", "عرض المصدر")</f>
        <v/>
      </c>
    </row>
    <row r="173">
      <c r="A173" s="11" t="inlineStr">
        <is>
          <t>ص / م خ ع /18/2026/2027</t>
        </is>
      </c>
      <c r="B173" s="11" t="inlineStr">
        <is>
          <t>وزارة الصحة</t>
        </is>
      </c>
      <c r="C173" s="11" t="inlineStr">
        <is>
          <t>Jana Al-Obaid</t>
        </is>
      </c>
      <c r="D173" s="11" t="inlineStr">
        <is>
          <t>توريد محارم ورق التنشيف</t>
        </is>
      </c>
      <c r="E173" s="11" t="inlineStr">
        <is>
          <t>أعمال وتوريدات توريد محارم ورق التنشيف لصالح وزارة الصحة وفقاً للشروط والمواصفات المعتمدة في وثائق الطرح.</t>
        </is>
      </c>
      <c r="F17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73" s="12" t="inlineStr">
        <is>
          <t>عام</t>
        </is>
      </c>
      <c r="H173" s="12" t="inlineStr">
        <is>
          <t>15.0%</t>
        </is>
      </c>
      <c r="I173" s="12" t="inlineStr">
        <is>
          <t>healthcare</t>
        </is>
      </c>
      <c r="J173" s="12" t="inlineStr">
        <is>
          <t>2026-09-06</t>
        </is>
      </c>
      <c r="K173" s="12" t="inlineStr">
        <is>
          <t>2026-11-01</t>
        </is>
      </c>
      <c r="L173" s="12" t="inlineStr">
        <is>
          <t>6000.000 KWD</t>
        </is>
      </c>
      <c r="M173" s="12" t="inlineStr">
        <is>
          <t>300.000 KWD</t>
        </is>
      </c>
      <c r="N173" s="26" t="inlineStr">
        <is>
          <t>UNCHANGED</t>
        </is>
      </c>
      <c r="O173" s="12" t="inlineStr">
        <is>
          <t>غير متوافقة مع اختصاصات KBM</t>
        </is>
      </c>
      <c r="P173" s="23">
        <f>HYPERLINK("https://capt.gov.kw/ar/tenders/opening-tenders/#card-6", "عرض المصدر")</f>
        <v/>
      </c>
    </row>
    <row r="174">
      <c r="A174" s="13" t="inlineStr">
        <is>
          <t>5/2025-2026</t>
        </is>
      </c>
      <c r="B174" s="13" t="inlineStr">
        <is>
          <t>ديوان المحاسبة</t>
        </is>
      </c>
      <c r="C174" s="13" t="inlineStr">
        <is>
          <t>Eiman Ashkanani</t>
        </is>
      </c>
      <c r="D174" s="13" t="inlineStr">
        <is>
          <t>توريد وتركيب وتشغيل وصيانة وضمان أجهزة  محــولات الشبكــة Access Switches وجهــاز إدارة الـمحــولات  Catalyst Center (بالإضــافــة للرخــص والـقـطــع الـمـلحقـــة(</t>
        </is>
      </c>
      <c r="E174" s="13" t="inlineStr">
        <is>
          <t>تنفيذ أعمال توريد وتركيب وتشغيل وصيانة وضمان أجهزة  محــولات الشبكــة Access Switches وجهــاز إدارة الـمحــولات  Catalyst Center (بالإضــافــة للرخــص والـقـطــع الـمـلحقـــة(، وتوفير كافة الأجهزة والمعدات والأنظمة وخدمات الدعم الفني والضمان وفقاً لكراسة الشروط والمواصفات الفنية.</t>
        </is>
      </c>
      <c r="F17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74" s="24" t="inlineStr">
        <is>
          <t>قطاع العمليات المدارة والدعم الفني متعدد الموردين</t>
        </is>
      </c>
      <c r="H174" s="14" t="inlineStr">
        <is>
          <t>49.0%</t>
        </is>
      </c>
      <c r="I174" s="14" t="inlineStr">
        <is>
          <t>government</t>
        </is>
      </c>
      <c r="J174" s="14" t="inlineStr">
        <is>
          <t>2026-09-06</t>
        </is>
      </c>
      <c r="K174" s="14" t="inlineStr">
        <is>
          <t>2026-10-27</t>
        </is>
      </c>
      <c r="L174" s="14" t="inlineStr">
        <is>
          <t>3500.000 KWD</t>
        </is>
      </c>
      <c r="M174" s="14" t="inlineStr">
        <is>
          <t>150.000 KWD</t>
        </is>
      </c>
      <c r="N174" s="21" t="inlineStr">
        <is>
          <t>UPDATED</t>
        </is>
      </c>
      <c r="O174" s="14" t="inlineStr">
        <is>
          <t>فرصة تتطلب شراكة أو دراسة نطاق</t>
        </is>
      </c>
      <c r="P174" s="22">
        <f>HYPERLINK("https://capt.gov.kw/ar/tenders/opening-tenders/#card-1", "عرض المصدر")</f>
        <v/>
      </c>
    </row>
    <row r="175">
      <c r="A175" s="11" t="inlineStr">
        <is>
          <t>14/2024</t>
        </is>
      </c>
      <c r="B175" s="11" t="inlineStr">
        <is>
          <t>الهيئة العامة للصناعة</t>
        </is>
      </c>
      <c r="C175" s="11" t="inlineStr">
        <is>
          <t>Eiman Ashkanani</t>
        </is>
      </c>
      <c r="D175" s="11" t="inlineStr">
        <is>
          <t>المناقصة رقم (هـ ع ص/2024/14) بشأن صيانة وتطوير وتشغيل وضمان أنظمة (المشاريع - العقود - المواصفات) بالهيئة العامة للصناعة</t>
        </is>
      </c>
      <c r="E175" s="11" t="inlineStr">
        <is>
          <t>تنفيذ أعمال المناقصة رقم (هـ ع ص/2024/14) بشأن صيانة وتطوير وتشغيل وضمان أنظمة (المشاريع - العقود - المواصفات) بالهيئة العامة للصناعة، وتوفير كافة الأجهزة والمعدات والأنظمة وخدمات الدعم الفني والضمان وفقاً لكراسة الشروط والمواصفات الفنية.</t>
        </is>
      </c>
      <c r="F17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75" s="24" t="inlineStr">
        <is>
          <t>عام</t>
        </is>
      </c>
      <c r="H175" s="12" t="inlineStr">
        <is>
          <t>0.0%</t>
        </is>
      </c>
      <c r="I175" s="12" t="inlineStr">
        <is>
          <t>government</t>
        </is>
      </c>
      <c r="J175" s="12" t="inlineStr">
        <is>
          <t>2026-09-06</t>
        </is>
      </c>
      <c r="K175" s="12" t="inlineStr">
        <is>
          <t>2026-11-03</t>
        </is>
      </c>
      <c r="L175" s="12" t="inlineStr">
        <is>
          <t>23000.000 KWD</t>
        </is>
      </c>
      <c r="M175" s="12" t="inlineStr">
        <is>
          <t>1000.000 KWD</t>
        </is>
      </c>
      <c r="N175" s="26" t="inlineStr">
        <is>
          <t>UNCHANGED</t>
        </is>
      </c>
      <c r="O175" s="12" t="inlineStr">
        <is>
          <t>غير متوافقة مع اختصاصات KBM</t>
        </is>
      </c>
      <c r="P175" s="23">
        <f>HYPERLINK("https://capt.gov.kw/ar/tenders/opening-tenders/#card-4", "عرض المصدر")</f>
        <v/>
      </c>
    </row>
    <row r="176">
      <c r="A176" s="13" t="inlineStr">
        <is>
          <t>و ك م/57/2025/2026</t>
        </is>
      </c>
      <c r="B176" s="13" t="inlineStr">
        <is>
          <t>وزارة الكهرباء والماء والطاقة المتجددة</t>
        </is>
      </c>
      <c r="C176" s="13" t="inlineStr">
        <is>
          <t>Raed Obeid</t>
        </is>
      </c>
      <c r="D176" s="13" t="inlineStr">
        <is>
          <t>توريد وتركيب محركات كهربائية في محطة الدوحة الغربية لتوليد القوى الكهربائية وتقطير المياه</t>
        </is>
      </c>
      <c r="E176" s="13" t="inlineStr">
        <is>
          <t>أعمال وتوريدات توريد وتركيب محركات كهربائية في محطة الدوحة الغربية لتوليد القوى الكهربائية وتقطير المياه لصالح وزارة الكهرباء والماء والطاقة المتجددة وفقاً للشروط والمواصفات المعتمدة في وثائق الطرح.</t>
        </is>
      </c>
      <c r="F17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76" s="14" t="inlineStr">
        <is>
          <t>عام</t>
        </is>
      </c>
      <c r="H176" s="14" t="inlineStr">
        <is>
          <t>15.0%</t>
        </is>
      </c>
      <c r="I176" s="14" t="inlineStr">
        <is>
          <t>oil_and_gas</t>
        </is>
      </c>
      <c r="J176" s="14" t="inlineStr">
        <is>
          <t>2026-09-13</t>
        </is>
      </c>
      <c r="K176" s="14" t="inlineStr">
        <is>
          <t>2026-11-10</t>
        </is>
      </c>
      <c r="L176" s="14" t="inlineStr">
        <is>
          <t>62000.000 KWD</t>
        </is>
      </c>
      <c r="M176" s="14" t="inlineStr">
        <is>
          <t>1000.000 KWD</t>
        </is>
      </c>
      <c r="N176" s="26" t="inlineStr">
        <is>
          <t>UNCHANGED</t>
        </is>
      </c>
      <c r="O176" s="14" t="inlineStr">
        <is>
          <t>غير متوافقة مع اختصاصات KBM</t>
        </is>
      </c>
      <c r="P176" s="22">
        <f>HYPERLINK("https://capt.gov.kw/ar/tenders/opening-tenders/#card-3", "عرض المصدر")</f>
        <v/>
      </c>
    </row>
    <row r="177">
      <c r="A177" s="11" t="inlineStr">
        <is>
          <t>و ش ج 3/2025/2026</t>
        </is>
      </c>
      <c r="B177" s="11" t="inlineStr">
        <is>
          <t>وزارة الشئون الاجتماعية</t>
        </is>
      </c>
      <c r="C177" s="11" t="inlineStr">
        <is>
          <t>Eiman Ashkanani</t>
        </is>
      </c>
      <c r="D177" s="11" t="inlineStr">
        <is>
          <t>اعمال خدمة النزيل في قطاع الرعاية الأجتماعية</t>
        </is>
      </c>
      <c r="E177" s="11" t="inlineStr">
        <is>
          <t>أعمال وتوريدات اعمال خدمة النزيل في قطاع الرعاية الأجتماعية لصالح وزارة الشئون الاجتماعية وفقاً للشروط والمواصفات المعتمدة في وثائق الطرح.</t>
        </is>
      </c>
      <c r="F17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77" s="12" t="inlineStr">
        <is>
          <t>عام</t>
        </is>
      </c>
      <c r="H177" s="12" t="inlineStr">
        <is>
          <t>0.0%</t>
        </is>
      </c>
      <c r="I177" s="12" t="inlineStr">
        <is>
          <t>government</t>
        </is>
      </c>
      <c r="J177" s="12" t="inlineStr">
        <is>
          <t>2026-09-13</t>
        </is>
      </c>
      <c r="K177" s="12" t="inlineStr">
        <is>
          <t>2026-12-08</t>
        </is>
      </c>
      <c r="L177" s="12" t="inlineStr">
        <is>
          <t>45000.000 KWD</t>
        </is>
      </c>
      <c r="M177" s="12" t="inlineStr">
        <is>
          <t>1000.000 KWD</t>
        </is>
      </c>
      <c r="N177" s="26" t="inlineStr">
        <is>
          <t>UNCHANGED</t>
        </is>
      </c>
      <c r="O177" s="12" t="inlineStr">
        <is>
          <t>غير متوافقة مع اختصاصات KBM</t>
        </is>
      </c>
      <c r="P177" s="23">
        <f>HYPERLINK("https://capt.gov.kw/ar/tenders/opening-tenders/#card-2", "عرض المصدر")</f>
        <v/>
      </c>
    </row>
    <row r="178">
      <c r="A178" s="13" t="inlineStr">
        <is>
          <t>و ش ج /4/2025/2026</t>
        </is>
      </c>
      <c r="B178" s="13" t="inlineStr">
        <is>
          <t>وزارة الشئون الاجتماعية</t>
        </is>
      </c>
      <c r="C178" s="13" t="inlineStr">
        <is>
          <t>Eiman Ashkanani</t>
        </is>
      </c>
      <c r="D178" s="13" t="inlineStr">
        <is>
          <t>اعداد الدراسات الاستشارية لأعمال منتجع صباح الأحمد لرعاية المسنين التابع لوزارة الشئون الاجتماعية</t>
        </is>
      </c>
      <c r="E178" s="13" t="inlineStr">
        <is>
          <t>أعمال وتوريدات اعداد الدراسات الاستشارية لأعمال منتجع صباح الأحمد لرعاية المسنين التابع لوزارة الشئون الاجتماعية لصالح وزارة الشئون الاجتماعية وفقاً للشروط والمواصفات المعتمدة في وثائق الطرح.</t>
        </is>
      </c>
      <c r="F17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78" s="14" t="inlineStr">
        <is>
          <t>عام</t>
        </is>
      </c>
      <c r="H178" s="14" t="inlineStr">
        <is>
          <t>0.0%</t>
        </is>
      </c>
      <c r="I178" s="14" t="inlineStr">
        <is>
          <t>government</t>
        </is>
      </c>
      <c r="J178" s="14" t="inlineStr">
        <is>
          <t>2026-09-13</t>
        </is>
      </c>
      <c r="K178" s="14" t="inlineStr">
        <is>
          <t>2026-12-08</t>
        </is>
      </c>
      <c r="L178" s="14" t="inlineStr">
        <is>
          <t>6000.000 KWD</t>
        </is>
      </c>
      <c r="M178" s="14" t="inlineStr">
        <is>
          <t>300.000 KWD</t>
        </is>
      </c>
      <c r="N178" s="26" t="inlineStr">
        <is>
          <t>UNCHANGED</t>
        </is>
      </c>
      <c r="O178" s="14" t="inlineStr">
        <is>
          <t>غير متوافقة مع اختصاصات KBM</t>
        </is>
      </c>
      <c r="P178" s="22">
        <f>HYPERLINK("https://capt.gov.kw/ar/tenders/opening-tenders/#card-1", "عرض المصدر")</f>
        <v/>
      </c>
    </row>
    <row r="179">
      <c r="A179" s="11" t="inlineStr">
        <is>
          <t>ممارسة 3/2026/2027</t>
        </is>
      </c>
      <c r="B179" s="11" t="inlineStr">
        <is>
          <t>الجهاز المركزي للمناقصات العامة</t>
        </is>
      </c>
      <c r="C179" s="11" t="inlineStr">
        <is>
          <t>Eiman Ashkanani</t>
        </is>
      </c>
      <c r="D179" s="11" t="inlineStr">
        <is>
          <t>تصميم وتطوير خدمات الموقع الإلكتروني والبرامج الذكية للجهاز المركزي للمناقصات العامة</t>
        </is>
      </c>
      <c r="E179" s="11" t="inlineStr">
        <is>
          <t>تنفيذ أعمال تصميم وتطوير خدمات الموقع الإلكتروني والبرامج الذكية للجهاز المركزي للمناقصات العامة، وتوفير كافة الأجهزة والمعدات والأنظمة وخدمات الدعم الفني والضمان وفقاً لكراسة الشروط والمواصفات الفنية.</t>
        </is>
      </c>
      <c r="F17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79" s="12" t="inlineStr">
        <is>
          <t>عام</t>
        </is>
      </c>
      <c r="H179" s="12" t="inlineStr">
        <is>
          <t>28.0%</t>
        </is>
      </c>
      <c r="I179" s="12" t="inlineStr">
        <is>
          <t>government</t>
        </is>
      </c>
      <c r="J179" s="12" t="inlineStr">
        <is>
          <t>2026-09-13</t>
        </is>
      </c>
      <c r="K179" s="12" t="inlineStr">
        <is>
          <t>2026-10-06</t>
        </is>
      </c>
      <c r="L179" s="12" t="inlineStr">
        <is>
          <t>1000.000 KWD</t>
        </is>
      </c>
      <c r="M179" s="12" t="inlineStr">
        <is>
          <t>50.000 KWD</t>
        </is>
      </c>
      <c r="N179" s="25" t="inlineStr">
        <is>
          <t>NEW</t>
        </is>
      </c>
      <c r="O179" s="12" t="inlineStr">
        <is>
          <t>غير متوافقة مع اختصاصات KBM</t>
        </is>
      </c>
      <c r="P179" s="23">
        <f>HYPERLINK("https://capt.gov.kw/ar/tenders/opening-tenders/#card-0", "عرض المصدر")</f>
        <v/>
      </c>
    </row>
    <row r="180">
      <c r="A180" s="13" t="inlineStr">
        <is>
          <t>الاستشارية 8/2023/2024</t>
        </is>
      </c>
      <c r="B180" s="13" t="inlineStr">
        <is>
          <t>الادارة العامة للطيران المدني</t>
        </is>
      </c>
      <c r="C180" s="13" t="inlineStr">
        <is>
          <t>Eiman Ashkanani</t>
        </is>
      </c>
      <c r="D180" s="13" t="inlineStr">
        <is>
          <t>خدمات إدارة المشاريع لتنفيذ مشاريع المخطط الهيلكي 2020 وإعداد العقود والدراسات ومتابعة المشغلين والمستثمرين في مطار الكويت الدولي</t>
        </is>
      </c>
      <c r="E180" s="13" t="inlineStr">
        <is>
          <t>أعمال وتوريدات خدمات إدارة المشاريع لتنفيذ مشاريع المخطط الهيلكي 2020 وإعداد العقود والدراسات ومتابعة المشغلين والمستثمرين في مطار الكويت الدولي لصالح الادارة العامة للطيران المدني وفقاً للشروط والمواصفات المعتمدة في وثائق الطرح.</t>
        </is>
      </c>
      <c r="F18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80" s="14" t="inlineStr">
        <is>
          <t>عام</t>
        </is>
      </c>
      <c r="H180" s="14" t="inlineStr">
        <is>
          <t>0.0%</t>
        </is>
      </c>
      <c r="I180" s="14" t="inlineStr">
        <is>
          <t>government</t>
        </is>
      </c>
      <c r="J180" s="14" t="inlineStr">
        <is>
          <t>2026-09-13</t>
        </is>
      </c>
      <c r="K180" s="14" t="inlineStr">
        <is>
          <t>2026-12-08</t>
        </is>
      </c>
      <c r="L180" s="14" t="inlineStr">
        <is>
          <t>100000.000 KWD</t>
        </is>
      </c>
      <c r="M180" s="14" t="inlineStr">
        <is>
          <t>3500.000 KWD</t>
        </is>
      </c>
      <c r="N180" s="26" t="inlineStr">
        <is>
          <t>UNCHANGED</t>
        </is>
      </c>
      <c r="O180" s="14" t="inlineStr">
        <is>
          <t>غير متوافقة مع اختصاصات KBM</t>
        </is>
      </c>
      <c r="P180" s="22">
        <f>HYPERLINK("https://capt.gov.kw/ar/tenders/opening-tenders/#card-9", "عرض المصدر")</f>
        <v/>
      </c>
    </row>
    <row r="181">
      <c r="A181" s="11" t="inlineStr">
        <is>
          <t>7 / 2025-2026</t>
        </is>
      </c>
      <c r="B181" s="11" t="inlineStr">
        <is>
          <t>وزارة المالية</t>
        </is>
      </c>
      <c r="C181" s="11" t="inlineStr">
        <is>
          <t>Eiman Ashkanani</t>
        </is>
      </c>
      <c r="D181" s="11" t="inlineStr">
        <is>
          <t>توفير خدمات مراسلين وسفرجية لوزارة المالية</t>
        </is>
      </c>
      <c r="E181" s="11" t="inlineStr">
        <is>
          <t>أعمال وتوريدات توفير خدمات مراسلين وسفرجية لوزارة المالية لصالح وزارة المالية وفقاً للشروط والمواصفات المعتمدة في وثائق الطرح.</t>
        </is>
      </c>
      <c r="F18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81" s="12" t="inlineStr">
        <is>
          <t>عام</t>
        </is>
      </c>
      <c r="H181" s="12" t="inlineStr">
        <is>
          <t>15.0%</t>
        </is>
      </c>
      <c r="I181" s="12" t="inlineStr">
        <is>
          <t>government</t>
        </is>
      </c>
      <c r="J181" s="12" t="inlineStr">
        <is>
          <t>2026-09-13</t>
        </is>
      </c>
      <c r="K181" s="12" t="inlineStr">
        <is>
          <t>2026-12-08</t>
        </is>
      </c>
      <c r="L181" s="12" t="inlineStr">
        <is>
          <t>15000.000 KWD</t>
        </is>
      </c>
      <c r="M181" s="12" t="inlineStr">
        <is>
          <t>1000.000 KWD</t>
        </is>
      </c>
      <c r="N181" s="26" t="inlineStr">
        <is>
          <t>UNCHANGED</t>
        </is>
      </c>
      <c r="O181" s="12" t="inlineStr">
        <is>
          <t>غير متوافقة مع اختصاصات KBM</t>
        </is>
      </c>
      <c r="P181" s="23">
        <f>HYPERLINK("https://capt.gov.kw/ar/tenders/opening-tenders/#card-8", "عرض المصدر")</f>
        <v/>
      </c>
    </row>
    <row r="182">
      <c r="A182" s="13" t="inlineStr">
        <is>
          <t>2/2025/2026</t>
        </is>
      </c>
      <c r="B182" s="13" t="inlineStr">
        <is>
          <t>وزارة الشئون الاجتماعية</t>
        </is>
      </c>
      <c r="C182" s="13" t="inlineStr">
        <is>
          <t>Eiman Ashkanani</t>
        </is>
      </c>
      <c r="D182" s="13" t="inlineStr">
        <is>
          <t>أعمال توريد الحفاظات لكبار السن المقيدين في وزارة الشئون الإجتماعية</t>
        </is>
      </c>
      <c r="E182" s="13" t="inlineStr">
        <is>
          <t>أعمال وتوريدات أعمال توريد الحفاظات لكبار السن المقيدين في وزارة الشئون الإجتماعية لصالح وزارة الشئون الاجتماعية وفقاً للشروط والمواصفات المعتمدة في وثائق الطرح.</t>
        </is>
      </c>
      <c r="F18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82" s="14" t="inlineStr">
        <is>
          <t>عام</t>
        </is>
      </c>
      <c r="H182" s="14" t="inlineStr">
        <is>
          <t>0.0%</t>
        </is>
      </c>
      <c r="I182" s="14" t="inlineStr">
        <is>
          <t>government</t>
        </is>
      </c>
      <c r="J182" s="14" t="inlineStr">
        <is>
          <t>2026-09-20</t>
        </is>
      </c>
      <c r="K182" s="14" t="inlineStr">
        <is>
          <t>2026-12-15</t>
        </is>
      </c>
      <c r="L182" s="14" t="inlineStr">
        <is>
          <t>23000.000 KWD</t>
        </is>
      </c>
      <c r="M182" s="14" t="inlineStr">
        <is>
          <t>1000.000 KWD</t>
        </is>
      </c>
      <c r="N182" s="26" t="inlineStr">
        <is>
          <t>UNCHANGED</t>
        </is>
      </c>
      <c r="O182" s="14" t="inlineStr">
        <is>
          <t>غير متوافقة مع اختصاصات KBM</t>
        </is>
      </c>
      <c r="P182" s="22">
        <f>HYPERLINK("https://capt.gov.kw/ar/tenders/opening-tenders/#card-7", "عرض المصدر")</f>
        <v/>
      </c>
    </row>
    <row r="183">
      <c r="A183" s="11" t="inlineStr">
        <is>
          <t>وك م-65/2025/2026</t>
        </is>
      </c>
      <c r="B183" s="11" t="inlineStr">
        <is>
          <t>وزارة الكهرباء والماء والطاقة المتجددة</t>
        </is>
      </c>
      <c r="C183" s="11" t="inlineStr">
        <is>
          <t>Raed Obeid</t>
        </is>
      </c>
      <c r="D183" s="11" t="inlineStr">
        <is>
          <t>توريد وتركيب وتشغيل وصيانة وضمان أعمال التمديدات الكهربائية للأعمال الصغيرة بمحافظات(الفروانية-الجهراء-العاصمة)</t>
        </is>
      </c>
      <c r="E183" s="11" t="inlineStr">
        <is>
          <t>أعمال وتوريدات توريد وتركيب وتشغيل وصيانة وضمان أعمال التمديدات الكهربائية للأعمال الصغيرة بمحافظات(الفروانية-الجهراء-العاصمة) لصالح وزارة الكهرباء والماء والطاقة المتجددة وفقاً للشروط والمواصفات المعتمدة في وثائق الطرح.</t>
        </is>
      </c>
      <c r="F18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83" s="24" t="inlineStr">
        <is>
          <t>قطاع العمليات المدارة والدعم الفني متعدد الموردين</t>
        </is>
      </c>
      <c r="H183" s="12" t="inlineStr">
        <is>
          <t>64.0%</t>
        </is>
      </c>
      <c r="I183" s="12" t="inlineStr">
        <is>
          <t>oil_and_gas</t>
        </is>
      </c>
      <c r="J183" s="12" t="inlineStr">
        <is>
          <t>2026-09-20</t>
        </is>
      </c>
      <c r="K183" s="12" t="inlineStr">
        <is>
          <t>2026-12-15</t>
        </is>
      </c>
      <c r="L183" s="12" t="inlineStr">
        <is>
          <t>23000.000 KWD</t>
        </is>
      </c>
      <c r="M183" s="12" t="inlineStr">
        <is>
          <t>1000.000 KWD</t>
        </is>
      </c>
      <c r="N183" s="26" t="inlineStr">
        <is>
          <t>UNCHANGED</t>
        </is>
      </c>
      <c r="O183" s="12" t="inlineStr">
        <is>
          <t>فرصة ICT متوافقة مع قدرات KBM</t>
        </is>
      </c>
      <c r="P183" s="23">
        <f>HYPERLINK("https://capt.gov.kw/ar/tenders/opening-tenders/#card-6", "عرض المصدر")</f>
        <v/>
      </c>
    </row>
    <row r="184">
      <c r="A184" s="13" t="inlineStr">
        <is>
          <t>و ك م /27/2024/2025</t>
        </is>
      </c>
      <c r="B184" s="13" t="inlineStr">
        <is>
          <t>وزارة الكهرباء والماء والطاقة المتجددة</t>
        </is>
      </c>
      <c r="C184" s="13" t="inlineStr">
        <is>
          <t>Raed Obeid</t>
        </is>
      </c>
      <c r="D184" s="13" t="inlineStr">
        <is>
          <t>توريد كيبلات PILC جهد 11 ك.ف احادي القالب _630 مم 2 , وجهد 33 ك.ف احادي القالب _1000 مم2 , وجهد 33 ك.ف احادي القالب _240 مم2 وجهد 33 ك.ف احادي القالب _1200 مم2 وملحقاتها</t>
        </is>
      </c>
      <c r="E184" s="13" t="inlineStr">
        <is>
          <t>أعمال وتوريدات توريد كيبلات PILC جهد 11 ك.ف احادي القالب _630 مم 2 , وجهد 33 ك.ف احادي القالب _1000 مم2 , وجهد 33 ك.ف احادي القالب _240 مم2 وجهد 33 ك.ف احادي القالب _1200 مم2 وملحقاتها لصالح وزارة الكهرباء والماء والطاقة المتجددة وفقاً للشروط والمواصفات المعتمدة في وثائق الطرح.</t>
        </is>
      </c>
      <c r="F18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84" s="14" t="inlineStr">
        <is>
          <t>عام</t>
        </is>
      </c>
      <c r="H184" s="14" t="inlineStr">
        <is>
          <t>15.0%</t>
        </is>
      </c>
      <c r="I184" s="14" t="inlineStr">
        <is>
          <t>oil_and_gas</t>
        </is>
      </c>
      <c r="J184" s="14" t="inlineStr">
        <is>
          <t>2026-09-20</t>
        </is>
      </c>
      <c r="K184" s="18" t="inlineStr">
        <is>
          <t>2026-10-20</t>
        </is>
      </c>
      <c r="L184" s="14" t="inlineStr">
        <is>
          <t>23000.000 KWD</t>
        </is>
      </c>
      <c r="M184" s="14" t="inlineStr">
        <is>
          <t>1000.000 KWD</t>
        </is>
      </c>
      <c r="N184" s="26" t="inlineStr">
        <is>
          <t>UNCHANGED</t>
        </is>
      </c>
      <c r="O184" s="14" t="inlineStr">
        <is>
          <t>غير متوافقة مع اختصاصات KBM</t>
        </is>
      </c>
      <c r="P184" s="22">
        <f>HYPERLINK("https://capt.gov.kw/ar/tenders/opening-tenders/#card-5", "عرض المصدر")</f>
        <v/>
      </c>
    </row>
    <row r="185">
      <c r="A185" s="11" t="inlineStr">
        <is>
          <t>RFQ/1062690</t>
        </is>
      </c>
      <c r="B185" s="11" t="inlineStr">
        <is>
          <t>شركة البترول الوطنية الكويتية</t>
        </is>
      </c>
      <c r="C185" s="11" t="inlineStr">
        <is>
          <t>Abrar Al-Qallaf</t>
        </is>
      </c>
      <c r="D185" s="11" t="inlineStr">
        <is>
          <t>ممارسة رقم RFQ/1062690: توريد مواد ومهمات تشغيلية لزوم شركة البترول الوطنية الكويتية - شركة البترول الوطنية الكويتية</t>
        </is>
      </c>
      <c r="E185" s="11" t="inlineStr">
        <is>
          <t>أعمال وتوريدات تخصصية لزوم شركة البترول الوطنية الكويتية حسب وثائق الممارسة رقم RFQ/1062690 عبر منصة K-Tendering.</t>
        </is>
      </c>
      <c r="F185" s="11" t="inlineStr">
        <is>
          <t>وفقاً لشروط وإجراءات المناقصات والتوريد لدى شركة البترول الوطنية الكويتية (KNPC)</t>
        </is>
      </c>
      <c r="G185" s="12" t="inlineStr">
        <is>
          <t>عام</t>
        </is>
      </c>
      <c r="H185" s="12" t="inlineStr">
        <is>
          <t>15.0%</t>
        </is>
      </c>
      <c r="I185" s="12" t="inlineStr">
        <is>
          <t>oil_and_gas</t>
        </is>
      </c>
      <c r="J185" s="12" t="inlineStr">
        <is>
          <t>2026-09-27</t>
        </is>
      </c>
      <c r="K185" s="12" t="inlineStr">
        <is>
          <t>2026-10-22</t>
        </is>
      </c>
      <c r="L185" s="12" t="inlineStr">
        <is>
          <t>1000.0 KWD</t>
        </is>
      </c>
      <c r="M185" s="12" t="inlineStr">
        <is>
          <t>-</t>
        </is>
      </c>
      <c r="N185" s="21" t="inlineStr">
        <is>
          <t>UPDATED</t>
        </is>
      </c>
      <c r="O185" s="12" t="inlineStr">
        <is>
          <t>غير متوافقة</t>
        </is>
      </c>
      <c r="P185" s="23">
        <f>HYPERLINK("https://kuwaitalyawm.media.gov.kw/flip/index?id=5599&amp;no=223", "عرض المصدر")</f>
        <v/>
      </c>
    </row>
    <row r="186">
      <c r="A186" s="13" t="inlineStr">
        <is>
          <t>RFQ/1063968</t>
        </is>
      </c>
      <c r="B186" s="13" t="inlineStr">
        <is>
          <t>شركة البترول الوطنية الكويتية</t>
        </is>
      </c>
      <c r="C186" s="13" t="inlineStr">
        <is>
          <t>Abrar Al-Qallaf</t>
        </is>
      </c>
      <c r="D186" s="13" t="inlineStr">
        <is>
          <t>ممارسة رقم RFQ/1063968: توريد مواد ومهمات تشغيلية لزوم شركة البترول الوطنية الكويتية - شركة البترول الوطنية الكويتية</t>
        </is>
      </c>
      <c r="E186" s="13" t="inlineStr">
        <is>
          <t>أعمال وتوريدات تخصصية لزوم شركة البترول الوطنية الكويتية حسب وثائق الممارسة رقم RFQ/1063968 عبر منصة K-Tendering.</t>
        </is>
      </c>
      <c r="F186" s="13" t="inlineStr">
        <is>
          <t>وفقاً لشروط وإجراءات المناقصات والتوريد لدى شركة البترول الوطنية الكويتية (KNPC)</t>
        </is>
      </c>
      <c r="G186" s="14" t="inlineStr">
        <is>
          <t>عام</t>
        </is>
      </c>
      <c r="H186" s="14" t="inlineStr">
        <is>
          <t>15.0%</t>
        </is>
      </c>
      <c r="I186" s="14" t="inlineStr">
        <is>
          <t>oil_and_gas</t>
        </is>
      </c>
      <c r="J186" s="14" t="inlineStr">
        <is>
          <t>2026-09-27</t>
        </is>
      </c>
      <c r="K186" s="18" t="inlineStr">
        <is>
          <t>2026-10-15</t>
        </is>
      </c>
      <c r="L186" s="14" t="inlineStr">
        <is>
          <t>1000.0 KWD</t>
        </is>
      </c>
      <c r="M186" s="14" t="inlineStr">
        <is>
          <t>-</t>
        </is>
      </c>
      <c r="N186" s="21" t="inlineStr">
        <is>
          <t>UPDATED</t>
        </is>
      </c>
      <c r="O186" s="14" t="inlineStr">
        <is>
          <t>غير متوافقة</t>
        </is>
      </c>
      <c r="P186" s="22">
        <f>HYPERLINK("https://kuwaitalyawm.media.gov.kw/flip/index?id=5599&amp;no=224", "عرض المصدر")</f>
        <v/>
      </c>
    </row>
    <row r="187">
      <c r="A187" s="11" t="inlineStr">
        <is>
          <t>RFQ/1063246</t>
        </is>
      </c>
      <c r="B187" s="11" t="inlineStr">
        <is>
          <t>شركة البترول الوطنية الكويتية</t>
        </is>
      </c>
      <c r="C187" s="11" t="inlineStr">
        <is>
          <t>Abrar Al-Qallaf</t>
        </is>
      </c>
      <c r="D187" s="11" t="inlineStr">
        <is>
          <t>ممارسة رقم RFQ/1063246: توريد مواد ومهمات تشغيلية لزوم شركة البترول الوطنية الكويتية - شركة البترول الوطنية الكويتية</t>
        </is>
      </c>
      <c r="E187" s="11" t="inlineStr">
        <is>
          <t>أعمال وتوريدات تخصصية لزوم شركة البترول الوطنية الكويتية حسب وثائق الممارسة رقم RFQ/1063246 عبر منصة K-Tendering.</t>
        </is>
      </c>
      <c r="F187" s="11" t="inlineStr">
        <is>
          <t>وفقاً لشروط وإجراءات المناقصات والتوريد لدى شركة البترول الوطنية الكويتية (KNPC)</t>
        </is>
      </c>
      <c r="G187" s="12" t="inlineStr">
        <is>
          <t>عام</t>
        </is>
      </c>
      <c r="H187" s="12" t="inlineStr">
        <is>
          <t>15.0%</t>
        </is>
      </c>
      <c r="I187" s="12" t="inlineStr">
        <is>
          <t>oil_and_gas</t>
        </is>
      </c>
      <c r="J187" s="12" t="inlineStr">
        <is>
          <t>2026-09-27</t>
        </is>
      </c>
      <c r="K187" s="12" t="inlineStr">
        <is>
          <t>2026-10-22</t>
        </is>
      </c>
      <c r="L187" s="12" t="inlineStr">
        <is>
          <t>1000.0 KWD</t>
        </is>
      </c>
      <c r="M187" s="12" t="inlineStr">
        <is>
          <t>-</t>
        </is>
      </c>
      <c r="N187" s="21" t="inlineStr">
        <is>
          <t>UPDATED</t>
        </is>
      </c>
      <c r="O187" s="12" t="inlineStr">
        <is>
          <t>غير متوافقة</t>
        </is>
      </c>
      <c r="P187" s="23">
        <f>HYPERLINK("https://kuwaitalyawm.media.gov.kw/flip/index?id=5599&amp;no=224", "عرض المصدر")</f>
        <v/>
      </c>
    </row>
    <row r="188">
      <c r="A188" s="13" t="inlineStr">
        <is>
          <t>RFQ/1063799</t>
        </is>
      </c>
      <c r="B188" s="13" t="inlineStr">
        <is>
          <t>شركة البترول الوطنية الكويتية</t>
        </is>
      </c>
      <c r="C188" s="13" t="inlineStr">
        <is>
          <t>Abrar Al-Qallaf</t>
        </is>
      </c>
      <c r="D188" s="13" t="inlineStr">
        <is>
          <t>ممارسة رقم RFQ/1063799: توريد مواد ومهمات تشغيلية لزوم شركة البترول الوطنية الكويتية - شركة البترول الوطنية الكويتية</t>
        </is>
      </c>
      <c r="E188" s="13" t="inlineStr">
        <is>
          <t>أعمال وتوريدات تخصصية لزوم شركة البترول الوطنية الكويتية حسب وثائق الممارسة رقم RFQ/1063799 عبر منصة K-Tendering.</t>
        </is>
      </c>
      <c r="F188" s="13" t="inlineStr">
        <is>
          <t>وفقاً لشروط وإجراءات المناقصات والتوريد لدى شركة البترول الوطنية الكويتية (KNPC)</t>
        </is>
      </c>
      <c r="G188" s="14" t="inlineStr">
        <is>
          <t>عام</t>
        </is>
      </c>
      <c r="H188" s="14" t="inlineStr">
        <is>
          <t>15.0%</t>
        </is>
      </c>
      <c r="I188" s="14" t="inlineStr">
        <is>
          <t>oil_and_gas</t>
        </is>
      </c>
      <c r="J188" s="14" t="inlineStr">
        <is>
          <t>2026-09-27</t>
        </is>
      </c>
      <c r="K188" s="14" t="inlineStr">
        <is>
          <t>2026-10-22</t>
        </is>
      </c>
      <c r="L188" s="14" t="inlineStr">
        <is>
          <t>1000.0 KWD</t>
        </is>
      </c>
      <c r="M188" s="14" t="inlineStr">
        <is>
          <t>-</t>
        </is>
      </c>
      <c r="N188" s="21" t="inlineStr">
        <is>
          <t>UPDATED</t>
        </is>
      </c>
      <c r="O188" s="14" t="inlineStr">
        <is>
          <t>غير متوافقة</t>
        </is>
      </c>
      <c r="P188" s="22">
        <f>HYPERLINK("https://kuwaitalyawm.media.gov.kw/flip/index?id=5599&amp;no=225", "عرض المصدر")</f>
        <v/>
      </c>
    </row>
    <row r="189">
      <c r="A189" s="11" t="inlineStr">
        <is>
          <t>RFQ/1061616</t>
        </is>
      </c>
      <c r="B189" s="11" t="inlineStr">
        <is>
          <t>شركة البترول الوطنية الكويتية</t>
        </is>
      </c>
      <c r="C189" s="11" t="inlineStr">
        <is>
          <t>Abrar Al-Qallaf</t>
        </is>
      </c>
      <c r="D189" s="11" t="inlineStr">
        <is>
          <t>ممارسة رقم RFQ/1061616: إعادة طرح توريد المواد المضافة للوقود (Stability Additive for 0.5% Sulfur IMO Bunker Fuel Oil - MAA) - شركة البترول الوطنية الكويتية</t>
        </is>
      </c>
      <c r="E189" s="11" t="inlineStr">
        <is>
          <t>توريد مواد مضافة كيميائية لتحسين ثبات منتج وقود السفن منخفض الكبريت 0.5% بمصفاة ميناء الأحمدي.</t>
        </is>
      </c>
      <c r="F189" s="11" t="inlineStr">
        <is>
          <t>وفقاً لشروط وإجراءات المناقصات والتوريد لدى شركة البترول الوطنية الكويتية (KNPC)</t>
        </is>
      </c>
      <c r="G189" s="12" t="inlineStr">
        <is>
          <t>عام</t>
        </is>
      </c>
      <c r="H189" s="12" t="inlineStr">
        <is>
          <t>15.0%</t>
        </is>
      </c>
      <c r="I189" s="12" t="inlineStr">
        <is>
          <t>oil_and_gas</t>
        </is>
      </c>
      <c r="J189" s="12" t="inlineStr">
        <is>
          <t>2026-09-27</t>
        </is>
      </c>
      <c r="K189" s="18" t="inlineStr">
        <is>
          <t>2026-10-15</t>
        </is>
      </c>
      <c r="L189" s="12" t="inlineStr">
        <is>
          <t>1000.0 KWD</t>
        </is>
      </c>
      <c r="M189" s="12" t="inlineStr">
        <is>
          <t>-</t>
        </is>
      </c>
      <c r="N189" s="21" t="inlineStr">
        <is>
          <t>UPDATED</t>
        </is>
      </c>
      <c r="O189" s="12" t="inlineStr">
        <is>
          <t>غير متوافقة</t>
        </is>
      </c>
      <c r="P189" s="23">
        <f>HYPERLINK("https://kuwaitalyawm.media.gov.kw/flip/index?id=5599&amp;no=225", "عرض المصدر")</f>
        <v/>
      </c>
    </row>
    <row r="190">
      <c r="A190" s="13" t="inlineStr">
        <is>
          <t>P&amp;MAB-04/2025</t>
        </is>
      </c>
      <c r="B190" s="13" t="inlineStr">
        <is>
          <t>شركة نفط الكويت</t>
        </is>
      </c>
      <c r="C190" s="13" t="inlineStr">
        <is>
          <t>Ahmed Habib</t>
        </is>
      </c>
      <c r="D190" s="13" t="inlineStr">
        <is>
          <t>ممارسة رقم P&amp;MAB-04/2025: ممارسة التصميم والإشراف على مشروع أرض مساحتها</t>
        </is>
      </c>
      <c r="E190" s="13" t="inlineStr">
        <is>
          <t>أعمال وتوريدات ممارسة رقم P&amp;MAB-04/2025: ممارسة التصميم والإشراف على مشروع أرض مساحتها لصالح شركة ناقلات النفط الكويتية وفقاً للشروط والمواصفات المعتمدة في وثائق الطرح.</t>
        </is>
      </c>
      <c r="F190" s="13" t="inlineStr">
        <is>
          <t>وفقاً لشروط وإجراءات المناقصات والتوريد لدى شركة البترول الوطنية الكويتية (KNPC)</t>
        </is>
      </c>
      <c r="G190" s="14" t="inlineStr">
        <is>
          <t>عام</t>
        </is>
      </c>
      <c r="H190" s="14" t="inlineStr">
        <is>
          <t>15.0%</t>
        </is>
      </c>
      <c r="I190" s="14" t="inlineStr">
        <is>
          <t>oil_and_gas</t>
        </is>
      </c>
      <c r="J190" s="14" t="inlineStr">
        <is>
          <t>2026-09-27</t>
        </is>
      </c>
      <c r="K190" s="14" t="inlineStr">
        <is>
          <t>2026-11-03</t>
        </is>
      </c>
      <c r="L190" s="14" t="inlineStr">
        <is>
          <t>2500.0 KWD</t>
        </is>
      </c>
      <c r="M190" s="14" t="inlineStr">
        <is>
          <t>-</t>
        </is>
      </c>
      <c r="N190" s="21" t="inlineStr">
        <is>
          <t>UPDATED</t>
        </is>
      </c>
      <c r="O190" s="14" t="inlineStr">
        <is>
          <t>غير متوافقة مع اختصاصات KBM</t>
        </is>
      </c>
      <c r="P190" s="22">
        <f>HYPERLINK("https://kuwaitalyawm.media.gov.kw/flip/index?id=5599&amp;no=227", "عرض المصدر")</f>
        <v/>
      </c>
    </row>
    <row r="191">
      <c r="A191" s="11" t="inlineStr">
        <is>
          <t>RFQ/2165292</t>
        </is>
      </c>
      <c r="B191" s="11" t="inlineStr">
        <is>
          <t>شركة البترول الوطنية الكويتية</t>
        </is>
      </c>
      <c r="C191" s="11" t="inlineStr">
        <is>
          <t>Abrar Al-Qallaf</t>
        </is>
      </c>
      <c r="D191" s="11" t="inlineStr">
        <is>
          <t>ممارسة رقم RFQ/2165292: توريد مواد ومهمات تشغيلية لزوم شركة البترول الوطنية الكويتية - شركة البترول الوطنية الكويتية</t>
        </is>
      </c>
      <c r="E191" s="11" t="inlineStr">
        <is>
          <t>أعمال وتوريدات تخصصية لزوم شركة البترول الوطنية الكويتية حسب وثائق الممارسة رقم RFQ/2165292 عبر منصة K-Tendering.</t>
        </is>
      </c>
      <c r="F191" s="11" t="inlineStr">
        <is>
          <t>وفقاً لشروط وإجراءات المناقصات والتوريد لدى شركة البترول الوطنية الكويتية (KNPC) عبر منصة K-Tendering.</t>
        </is>
      </c>
      <c r="G191" s="12" t="inlineStr">
        <is>
          <t>عام</t>
        </is>
      </c>
      <c r="H191" s="12" t="inlineStr">
        <is>
          <t>15.0%</t>
        </is>
      </c>
      <c r="I191" s="12" t="inlineStr">
        <is>
          <t>oil_and_gas</t>
        </is>
      </c>
      <c r="J191" s="12" t="inlineStr">
        <is>
          <t>2026-09-27</t>
        </is>
      </c>
      <c r="K191" s="12" t="inlineStr">
        <is>
          <t>-</t>
        </is>
      </c>
      <c r="L191" s="12" t="inlineStr">
        <is>
          <t>-</t>
        </is>
      </c>
      <c r="M191" s="12" t="inlineStr">
        <is>
          <t>-</t>
        </is>
      </c>
      <c r="N191" s="21" t="inlineStr">
        <is>
          <t>UPDATED</t>
        </is>
      </c>
      <c r="O191" s="12" t="inlineStr">
        <is>
          <t>غير متوافقة</t>
        </is>
      </c>
      <c r="P191" s="23">
        <f>HYPERLINK("https://kuwaitalyawm.media.gov.kw/Online/ViewAdsHTML?id=171740&amp;no=1", "عرض المصدر")</f>
        <v/>
      </c>
    </row>
    <row r="192">
      <c r="A192" s="13" t="inlineStr">
        <is>
          <t>RFQ/2167957</t>
        </is>
      </c>
      <c r="B192" s="13" t="inlineStr">
        <is>
          <t>شركة البترول الوطنية الكويتية</t>
        </is>
      </c>
      <c r="C192" s="13" t="inlineStr">
        <is>
          <t>Abrar Al-Qallaf</t>
        </is>
      </c>
      <c r="D192" s="13" t="inlineStr">
        <is>
          <t>ممارسة رقم RFQ/2167957: توريد مواد ومهمات تشغيلية لزوم شركة البترول الوطنية الكويتية - شركة البترول الوطنية الكويتية</t>
        </is>
      </c>
      <c r="E192" s="13" t="inlineStr">
        <is>
          <t>أعمال وتوريدات تخصصية لزوم شركة البترول الوطنية الكويتية حسب وثائق الممارسة رقم RFQ/2167957 عبر منصة K-Tendering.</t>
        </is>
      </c>
      <c r="F192" s="13" t="inlineStr">
        <is>
          <t>وفقاً لشروط وإجراءات المناقصات والتوريد لدى شركة البترول الوطنية الكويتية (KNPC) عبر منصة K-Tendering.</t>
        </is>
      </c>
      <c r="G192" s="14" t="inlineStr">
        <is>
          <t>عام</t>
        </is>
      </c>
      <c r="H192" s="14" t="inlineStr">
        <is>
          <t>15.0%</t>
        </is>
      </c>
      <c r="I192" s="14" t="inlineStr">
        <is>
          <t>oil_and_gas</t>
        </is>
      </c>
      <c r="J192" s="14" t="inlineStr">
        <is>
          <t>2026-09-27</t>
        </is>
      </c>
      <c r="K192" s="14" t="inlineStr">
        <is>
          <t>2026-11-02</t>
        </is>
      </c>
      <c r="L192" s="14" t="inlineStr">
        <is>
          <t>15000.0 KWD</t>
        </is>
      </c>
      <c r="M192" s="14" t="inlineStr">
        <is>
          <t>-</t>
        </is>
      </c>
      <c r="N192" s="21" t="inlineStr">
        <is>
          <t>UPDATED</t>
        </is>
      </c>
      <c r="O192" s="14" t="inlineStr">
        <is>
          <t>غير متوافقة</t>
        </is>
      </c>
      <c r="P192" s="22">
        <f>HYPERLINK("https://kuwaitalyawm.media.gov.kw/Online/ViewAdsHTML?id=171741&amp;no=1", "عرض المصدر")</f>
        <v/>
      </c>
    </row>
    <row r="193">
      <c r="A193" s="11" t="inlineStr">
        <is>
          <t>RFP/2159728</t>
        </is>
      </c>
      <c r="B193" s="11" t="inlineStr">
        <is>
          <t>شركة البترول الوطنية الكويتية</t>
        </is>
      </c>
      <c r="C193" s="11" t="inlineStr">
        <is>
          <t>Abrar Al-Qallaf</t>
        </is>
      </c>
      <c r="D193" s="11" t="inlineStr">
        <is>
          <t>ممارسة رقم RFP/2159728: توريد مواد ومهمات تشغيلية لزوم شركة البترول الوطنية الكويتية - شركة البترول الوطنية الكويتية</t>
        </is>
      </c>
      <c r="E193" s="11" t="inlineStr">
        <is>
          <t>أعمال وتوريدات تخصصية لزوم شركة البترول الوطنية الكويتية حسب وثائق الممارسة رقم RFP/2159728 عبر منصة K-Tendering.</t>
        </is>
      </c>
      <c r="F193" s="11" t="inlineStr">
        <is>
          <t>وفقاً لشروط وإجراءات المناقصات والتوريد لدى شركة البترول الوطنية الكويتية (KNPC)</t>
        </is>
      </c>
      <c r="G193" s="12" t="inlineStr">
        <is>
          <t>عام</t>
        </is>
      </c>
      <c r="H193" s="12" t="inlineStr">
        <is>
          <t>15.0%</t>
        </is>
      </c>
      <c r="I193" s="12" t="inlineStr">
        <is>
          <t>oil_and_gas</t>
        </is>
      </c>
      <c r="J193" s="12" t="inlineStr">
        <is>
          <t>2026-09-27</t>
        </is>
      </c>
      <c r="K193" s="12" t="inlineStr">
        <is>
          <t>2026-10-26</t>
        </is>
      </c>
      <c r="L193" s="12" t="inlineStr">
        <is>
          <t>1000.0</t>
        </is>
      </c>
      <c r="M193" s="12" t="inlineStr">
        <is>
          <t>75.0</t>
        </is>
      </c>
      <c r="N193" s="26" t="inlineStr">
        <is>
          <t>UNCHANGED</t>
        </is>
      </c>
      <c r="O193" s="12" t="inlineStr">
        <is>
          <t>غير متوافقة</t>
        </is>
      </c>
      <c r="P193" s="23">
        <f>HYPERLINK("https://kuwaitalyawm.media.gov.kw/flip/index?id=5599&amp;no=238", "عرض المصدر")</f>
        <v/>
      </c>
    </row>
    <row r="194">
      <c r="A194" s="13" t="inlineStr">
        <is>
          <t>RFQ/2162141</t>
        </is>
      </c>
      <c r="B194" s="13" t="inlineStr">
        <is>
          <t>شركة البترول الوطنية الكويتية</t>
        </is>
      </c>
      <c r="C194" s="13" t="inlineStr">
        <is>
          <t>Abrar Al-Qallaf</t>
        </is>
      </c>
      <c r="D194" s="13" t="inlineStr">
        <is>
          <t>ممارسة رقم RFQ/2162141: توريد مواد ومهمات تشغيلية لزوم شركة البترول الوطنية الكويتية - شركة البترول الوطنية الكويتية</t>
        </is>
      </c>
      <c r="E194" s="13" t="inlineStr">
        <is>
          <t>أعمال وتوريدات تخصصية لزوم شركة البترول الوطنية الكويتية حسب وثائق الممارسة رقم RFQ/2162141 عبر منصة K-Tendering.</t>
        </is>
      </c>
      <c r="F194" s="13" t="inlineStr">
        <is>
          <t>وفقاً لشروط وإجراءات المناقصات والتوريد لدى شركة البترول الوطنية الكويتية (KNPC)</t>
        </is>
      </c>
      <c r="G194" s="14" t="inlineStr">
        <is>
          <t>عام</t>
        </is>
      </c>
      <c r="H194" s="14" t="inlineStr">
        <is>
          <t>15.0%</t>
        </is>
      </c>
      <c r="I194" s="14" t="inlineStr">
        <is>
          <t>oil_and_gas</t>
        </is>
      </c>
      <c r="J194" s="14" t="inlineStr">
        <is>
          <t>2026-09-27</t>
        </is>
      </c>
      <c r="K194" s="14" t="inlineStr">
        <is>
          <t>-</t>
        </is>
      </c>
      <c r="L194" s="14" t="inlineStr">
        <is>
          <t>-</t>
        </is>
      </c>
      <c r="M194" s="14" t="inlineStr">
        <is>
          <t>-</t>
        </is>
      </c>
      <c r="N194" s="25" t="inlineStr">
        <is>
          <t>NEW</t>
        </is>
      </c>
      <c r="O194" s="14" t="inlineStr">
        <is>
          <t>غير متوافقة</t>
        </is>
      </c>
      <c r="P194" s="22">
        <f>HYPERLINK("https://kuwaitalyawm.media.gov.kw/flip/index?id=5599&amp;no=232", "عرض المصدر")</f>
        <v/>
      </c>
    </row>
    <row r="195">
      <c r="A195" s="11" t="inlineStr">
        <is>
          <t>RFQ/2162882</t>
        </is>
      </c>
      <c r="B195" s="11" t="inlineStr">
        <is>
          <t>شركة البترول الوطنية الكويتية</t>
        </is>
      </c>
      <c r="C195" s="11" t="inlineStr">
        <is>
          <t>Abrar Al-Qallaf</t>
        </is>
      </c>
      <c r="D195" s="11" t="inlineStr">
        <is>
          <t>ممارسة رقم RFQ/2162882: توريد مواد ومهمات تشغيلية لزوم شركة البترول الوطنية الكويتية - شركة البترول الوطنية الكويتية</t>
        </is>
      </c>
      <c r="E195" s="11" t="inlineStr">
        <is>
          <t>أعمال وتوريدات تخصصية لزوم شركة البترول الوطنية الكويتية حسب وثائق الممارسة رقم RFQ/2162882 عبر منصة K-Tendering.</t>
        </is>
      </c>
      <c r="F195" s="11" t="inlineStr">
        <is>
          <t>وفقاً لشروط وإجراءات المناقصات والتوريد لدى شركة البترول الوطنية الكويتية (KNPC)</t>
        </is>
      </c>
      <c r="G195" s="12" t="inlineStr">
        <is>
          <t>عام</t>
        </is>
      </c>
      <c r="H195" s="12" t="inlineStr">
        <is>
          <t>15.0%</t>
        </is>
      </c>
      <c r="I195" s="12" t="inlineStr">
        <is>
          <t>oil_and_gas</t>
        </is>
      </c>
      <c r="J195" s="12" t="inlineStr">
        <is>
          <t>2026-08-30</t>
        </is>
      </c>
      <c r="K195" s="12" t="inlineStr">
        <is>
          <t>-</t>
        </is>
      </c>
      <c r="L195" s="12" t="inlineStr">
        <is>
          <t>-</t>
        </is>
      </c>
      <c r="M195" s="12" t="inlineStr">
        <is>
          <t>-</t>
        </is>
      </c>
      <c r="N195" s="25" t="inlineStr">
        <is>
          <t>NEW</t>
        </is>
      </c>
      <c r="O195" s="12" t="inlineStr">
        <is>
          <t>غير متوافقة</t>
        </is>
      </c>
      <c r="P195" s="23">
        <f>HYPERLINK("https://kuwaitalyawm.media.gov.kw/flip/index?id=5599&amp;no=232", "عرض المصدر")</f>
        <v/>
      </c>
    </row>
    <row r="196">
      <c r="A196" s="13" t="inlineStr">
        <is>
          <t>RFQ/2164961</t>
        </is>
      </c>
      <c r="B196" s="13" t="inlineStr">
        <is>
          <t>شركة البترول الوطنية الكويتية</t>
        </is>
      </c>
      <c r="C196" s="13" t="inlineStr">
        <is>
          <t>Abrar Al-Qallaf</t>
        </is>
      </c>
      <c r="D196" s="13" t="inlineStr">
        <is>
          <t>ممارسة رقم RFQ/2164961: توريد مواد ومهمات تشغيلية لزوم شركة البترول الوطنية الكويتية - شركة البترول الوطنية الكويتية</t>
        </is>
      </c>
      <c r="E196" s="13" t="inlineStr">
        <is>
          <t>أعمال وتوريدات تخصصية لزوم شركة البترول الوطنية الكويتية حسب وثائق الممارسة رقم RFQ/2164961 عبر منصة K-Tendering.</t>
        </is>
      </c>
      <c r="F196" s="13" t="inlineStr">
        <is>
          <t>وفقاً لشروط وإجراءات المناقصات والتوريد لدى شركة البترول الوطنية الكويتية (KNPC)</t>
        </is>
      </c>
      <c r="G196" s="14" t="inlineStr">
        <is>
          <t>عام</t>
        </is>
      </c>
      <c r="H196" s="14" t="inlineStr">
        <is>
          <t>15.0%</t>
        </is>
      </c>
      <c r="I196" s="14" t="inlineStr">
        <is>
          <t>oil_and_gas</t>
        </is>
      </c>
      <c r="J196" s="14" t="inlineStr">
        <is>
          <t>2026-09-27</t>
        </is>
      </c>
      <c r="K196" s="14" t="inlineStr">
        <is>
          <t>2026-09-27</t>
        </is>
      </c>
      <c r="L196" s="14" t="inlineStr">
        <is>
          <t>15000.0</t>
        </is>
      </c>
      <c r="M196" s="14" t="inlineStr">
        <is>
          <t>-</t>
        </is>
      </c>
      <c r="N196" s="25" t="inlineStr">
        <is>
          <t>NEW</t>
        </is>
      </c>
      <c r="O196" s="14" t="inlineStr">
        <is>
          <t>غير متوافقة</t>
        </is>
      </c>
      <c r="P196" s="22">
        <f>HYPERLINK("https://kuwaitalyawm.media.gov.kw/flip/index?id=5599&amp;no=232", "عرض المصدر")</f>
        <v/>
      </c>
    </row>
    <row r="197">
      <c r="A197" s="11" t="inlineStr">
        <is>
          <t>RFQ/2167837</t>
        </is>
      </c>
      <c r="B197" s="11" t="inlineStr">
        <is>
          <t>شركة البترول الوطنية الكويتية</t>
        </is>
      </c>
      <c r="C197" s="11" t="inlineStr">
        <is>
          <t>Abrar Al-Qallaf</t>
        </is>
      </c>
      <c r="D197" s="11" t="inlineStr">
        <is>
          <t>ممارسة رقم RFQ/2167837: توريد مواد ومهمات تشغيلية لزوم شركة البترول الوطنية الكويتية - شركة البترول الوطنية الكويتية</t>
        </is>
      </c>
      <c r="E197" s="11" t="inlineStr">
        <is>
          <t>أعمال وتوريدات تخصصية لزوم شركة البترول الوطنية الكويتية حسب وثائق الممارسة رقم RFQ/2167837 عبر منصة K-Tendering.</t>
        </is>
      </c>
      <c r="F197" s="11" t="inlineStr">
        <is>
          <t>وفقاً لشروط وإجراءات المناقصات والتوريد لدى شركة البترول الوطنية الكويتية (KNPC)</t>
        </is>
      </c>
      <c r="G197" s="12" t="inlineStr">
        <is>
          <t>عام</t>
        </is>
      </c>
      <c r="H197" s="12" t="inlineStr">
        <is>
          <t>15.0%</t>
        </is>
      </c>
      <c r="I197" s="12" t="inlineStr">
        <is>
          <t>oil_and_gas</t>
        </is>
      </c>
      <c r="J197" s="12" t="inlineStr">
        <is>
          <t>2026-09-27</t>
        </is>
      </c>
      <c r="K197" s="12" t="inlineStr">
        <is>
          <t>2026-09-27</t>
        </is>
      </c>
      <c r="L197" s="12" t="inlineStr">
        <is>
          <t>15000.0</t>
        </is>
      </c>
      <c r="M197" s="12" t="inlineStr">
        <is>
          <t>-</t>
        </is>
      </c>
      <c r="N197" s="25" t="inlineStr">
        <is>
          <t>NEW</t>
        </is>
      </c>
      <c r="O197" s="12" t="inlineStr">
        <is>
          <t>غير متوافقة</t>
        </is>
      </c>
      <c r="P197" s="23">
        <f>HYPERLINK("https://kuwaitalyawm.media.gov.kw/flip/index?id=5599&amp;no=233", "عرض المصدر")</f>
        <v/>
      </c>
    </row>
    <row r="198">
      <c r="A198" s="13" t="inlineStr">
        <is>
          <t>RFP/2158821</t>
        </is>
      </c>
      <c r="B198" s="13" t="inlineStr">
        <is>
          <t>شركة البترول الوطنية الكويتية</t>
        </is>
      </c>
      <c r="C198" s="13" t="inlineStr">
        <is>
          <t>Abrar Al-Qallaf</t>
        </is>
      </c>
      <c r="D198" s="13" t="inlineStr">
        <is>
          <t>ممارسة رقم RFP/2158821: توريد مواد ومهمات تشغيلية لزوم شركة البترول الوطنية الكويتية - شركة البترول الوطنية الكويتية</t>
        </is>
      </c>
      <c r="E198" s="13" t="inlineStr">
        <is>
          <t>أعمال وتوريدات تخصصية لزوم شركة البترول الوطنية الكويتية حسب وثائق الممارسة رقم RFP/2158821 عبر منصة K-Tendering.</t>
        </is>
      </c>
      <c r="F198" s="13" t="inlineStr">
        <is>
          <t>وفقاً لشروط وإجراءات المناقصات والتوريد لدى شركة البترول الوطنية الكويتية (KNPC)</t>
        </is>
      </c>
      <c r="G198" s="14" t="inlineStr">
        <is>
          <t>عام</t>
        </is>
      </c>
      <c r="H198" s="14" t="inlineStr">
        <is>
          <t>15.0%</t>
        </is>
      </c>
      <c r="I198" s="14" t="inlineStr">
        <is>
          <t>oil_and_gas</t>
        </is>
      </c>
      <c r="J198" s="14" t="inlineStr">
        <is>
          <t>2026-09-27</t>
        </is>
      </c>
      <c r="K198" s="14" t="inlineStr">
        <is>
          <t>-</t>
        </is>
      </c>
      <c r="L198" s="14" t="inlineStr">
        <is>
          <t>-</t>
        </is>
      </c>
      <c r="M198" s="14" t="inlineStr">
        <is>
          <t>-</t>
        </is>
      </c>
      <c r="N198" s="25" t="inlineStr">
        <is>
          <t>NEW</t>
        </is>
      </c>
      <c r="O198" s="14" t="inlineStr">
        <is>
          <t>غير متوافقة</t>
        </is>
      </c>
      <c r="P198" s="22">
        <f>HYPERLINK("https://kuwaitalyawm.media.gov.kw/flip/index?id=5599&amp;no=234", "عرض المصدر")</f>
        <v/>
      </c>
    </row>
    <row r="199">
      <c r="A199" s="11" t="inlineStr">
        <is>
          <t>RFP/2162144</t>
        </is>
      </c>
      <c r="B199" s="11" t="inlineStr">
        <is>
          <t>شركة البترول الوطنية الكويتية</t>
        </is>
      </c>
      <c r="C199" s="11" t="inlineStr">
        <is>
          <t>Abrar Al-Qallaf</t>
        </is>
      </c>
      <c r="D199" s="11" t="inlineStr">
        <is>
          <t>ممارسة رقم RFP/2162144: توريد مواد ومهمات تشغيلية لزوم شركة البترول الوطنية الكويتية - شركة البترول الوطنية الكويتية</t>
        </is>
      </c>
      <c r="E199" s="11" t="inlineStr">
        <is>
          <t>أعمال وتوريدات تخصصية لزوم شركة البترول الوطنية الكويتية حسب وثائق الممارسة رقم RFP/2162144 عبر منصة K-Tendering.</t>
        </is>
      </c>
      <c r="F199" s="11" t="inlineStr">
        <is>
          <t>وفقاً لشروط وإجراءات المناقصات والتوريد لدى شركة البترول الوطنية الكويتية (KNPC)</t>
        </is>
      </c>
      <c r="G199" s="12" t="inlineStr">
        <is>
          <t>عام</t>
        </is>
      </c>
      <c r="H199" s="12" t="inlineStr">
        <is>
          <t>15.0%</t>
        </is>
      </c>
      <c r="I199" s="12" t="inlineStr">
        <is>
          <t>oil_and_gas</t>
        </is>
      </c>
      <c r="J199" s="12" t="inlineStr">
        <is>
          <t>2026-09-27</t>
        </is>
      </c>
      <c r="K199" s="12" t="inlineStr">
        <is>
          <t>2026-10-12</t>
        </is>
      </c>
      <c r="L199" s="12" t="inlineStr">
        <is>
          <t>-</t>
        </is>
      </c>
      <c r="M199" s="12" t="inlineStr">
        <is>
          <t>-</t>
        </is>
      </c>
      <c r="N199" s="26" t="inlineStr">
        <is>
          <t>UNCHANGED</t>
        </is>
      </c>
      <c r="O199" s="12" t="inlineStr">
        <is>
          <t>غير متوافقة</t>
        </is>
      </c>
      <c r="P199" s="23">
        <f>HYPERLINK("https://kuwaitalyawm.media.gov.kw/flip/index?id=5599&amp;no=234", "عرض المصدر")</f>
        <v/>
      </c>
    </row>
    <row r="200">
      <c r="A200" s="13" t="inlineStr">
        <is>
          <t>RFP/2163368</t>
        </is>
      </c>
      <c r="B200" s="13" t="inlineStr">
        <is>
          <t>شركة البترول الوطنية الكويتية</t>
        </is>
      </c>
      <c r="C200" s="13" t="inlineStr">
        <is>
          <t>Abrar Al-Qallaf</t>
        </is>
      </c>
      <c r="D200" s="13" t="inlineStr">
        <is>
          <t>ممارسة رقم RFP/2163368: توريد مواد ومهمات تشغيلية لزوم شركة البترول الوطنية الكويتية - شركة البترول الوطنية الكويتية</t>
        </is>
      </c>
      <c r="E200" s="13" t="inlineStr">
        <is>
          <t>أعمال وتوريدات تخصصية لزوم شركة البترول الوطنية الكويتية حسب وثائق الممارسة رقم RFP/2163368 عبر منصة K-Tendering.</t>
        </is>
      </c>
      <c r="F200" s="13" t="inlineStr">
        <is>
          <t>وفقاً لشروط وإجراءات المناقصات والتوريد لدى شركة البترول الوطنية الكويتية (KNPC)</t>
        </is>
      </c>
      <c r="G200" s="14" t="inlineStr">
        <is>
          <t>عام</t>
        </is>
      </c>
      <c r="H200" s="14" t="inlineStr">
        <is>
          <t>15.0%</t>
        </is>
      </c>
      <c r="I200" s="14" t="inlineStr">
        <is>
          <t>oil_and_gas</t>
        </is>
      </c>
      <c r="J200" s="14" t="inlineStr">
        <is>
          <t>2026-09-27</t>
        </is>
      </c>
      <c r="K200" s="14" t="inlineStr">
        <is>
          <t>-</t>
        </is>
      </c>
      <c r="L200" s="14" t="inlineStr">
        <is>
          <t>30000.0</t>
        </is>
      </c>
      <c r="M200" s="14" t="inlineStr">
        <is>
          <t>-</t>
        </is>
      </c>
      <c r="N200" s="26" t="inlineStr">
        <is>
          <t>UNCHANGED</t>
        </is>
      </c>
      <c r="O200" s="14" t="inlineStr">
        <is>
          <t>غير متوافقة</t>
        </is>
      </c>
      <c r="P200" s="22">
        <f>HYPERLINK("https://kuwaitalyawm.media.gov.kw/flip/index?id=5589&amp;no=190", "عرض المصدر")</f>
        <v/>
      </c>
    </row>
    <row r="201">
      <c r="A201" s="11" t="inlineStr">
        <is>
          <t>RFP/2163398</t>
        </is>
      </c>
      <c r="B201" s="11" t="inlineStr">
        <is>
          <t>شركة البترول الوطنية الكويتية</t>
        </is>
      </c>
      <c r="C201" s="11" t="inlineStr">
        <is>
          <t>Abrar Al-Qallaf</t>
        </is>
      </c>
      <c r="D201" s="11" t="inlineStr">
        <is>
          <t>ممارسة رقم RFP/2163398: توريد مواد ومهمات تشغيلية لزوم شركة البترول الوطنية الكويتية - شركة البترول الوطنية الكويتية</t>
        </is>
      </c>
      <c r="E201" s="11" t="inlineStr">
        <is>
          <t>أعمال وتوريدات تخصصية لزوم شركة البترول الوطنية الكويتية حسب وثائق الممارسة رقم RFP/2163398 عبر منصة K-Tendering.</t>
        </is>
      </c>
      <c r="F201" s="11" t="inlineStr">
        <is>
          <t>وفقاً لشروط وإجراءات المناقصات والتوريد لدى شركة البترول الوطنية الكويتية (KNPC)</t>
        </is>
      </c>
      <c r="G201" s="12" t="inlineStr">
        <is>
          <t>عام</t>
        </is>
      </c>
      <c r="H201" s="12" t="inlineStr">
        <is>
          <t>15.0%</t>
        </is>
      </c>
      <c r="I201" s="12" t="inlineStr">
        <is>
          <t>oil_and_gas</t>
        </is>
      </c>
      <c r="J201" s="12" t="inlineStr">
        <is>
          <t>2026-09-27</t>
        </is>
      </c>
      <c r="K201" s="12" t="inlineStr">
        <is>
          <t>-</t>
        </is>
      </c>
      <c r="L201" s="12" t="inlineStr">
        <is>
          <t>50000.0</t>
        </is>
      </c>
      <c r="M201" s="12" t="inlineStr">
        <is>
          <t>-</t>
        </is>
      </c>
      <c r="N201" s="26" t="inlineStr">
        <is>
          <t>UNCHANGED</t>
        </is>
      </c>
      <c r="O201" s="12" t="inlineStr">
        <is>
          <t>غير متوافقة</t>
        </is>
      </c>
      <c r="P201" s="23">
        <f>HYPERLINK("https://kuwaitalyawm.media.gov.kw/flip/index?id=5599&amp;no=236", "عرض المصدر")</f>
        <v/>
      </c>
    </row>
    <row r="202">
      <c r="A202" s="13" t="inlineStr">
        <is>
          <t>RFP/2165997</t>
        </is>
      </c>
      <c r="B202" s="13" t="inlineStr">
        <is>
          <t>شركة البترول الوطنية الكويتية</t>
        </is>
      </c>
      <c r="C202" s="13" t="inlineStr">
        <is>
          <t>Abrar Al-Qallaf</t>
        </is>
      </c>
      <c r="D202" s="13" t="inlineStr">
        <is>
          <t>ممارسة رقم RFP/2165997: توريد مواد ومهمات تشغيلية لزوم شركة البترول الوطنية الكويتية - شركة البترول الوطنية الكويتية</t>
        </is>
      </c>
      <c r="E202" s="13" t="inlineStr">
        <is>
          <t>أعمال وتوريدات تخصصية لزوم شركة البترول الوطنية الكويتية حسب وثائق الممارسة رقم RFP/2165997 عبر منصة K-Tendering.</t>
        </is>
      </c>
      <c r="F202" s="13" t="inlineStr">
        <is>
          <t>وفقاً لشروط وإجراءات المناقصات والتوريد لدى شركة البترول الوطنية الكويتية (KNPC)</t>
        </is>
      </c>
      <c r="G202" s="14" t="inlineStr">
        <is>
          <t>عام</t>
        </is>
      </c>
      <c r="H202" s="14" t="inlineStr">
        <is>
          <t>15.0%</t>
        </is>
      </c>
      <c r="I202" s="14" t="inlineStr">
        <is>
          <t>oil_and_gas</t>
        </is>
      </c>
      <c r="J202" s="14" t="inlineStr">
        <is>
          <t>2026-09-27</t>
        </is>
      </c>
      <c r="K202" s="14" t="inlineStr">
        <is>
          <t>-</t>
        </is>
      </c>
      <c r="L202" s="14" t="inlineStr">
        <is>
          <t>-</t>
        </is>
      </c>
      <c r="M202" s="14" t="inlineStr">
        <is>
          <t>250.0</t>
        </is>
      </c>
      <c r="N202" s="26" t="inlineStr">
        <is>
          <t>UNCHANGED</t>
        </is>
      </c>
      <c r="O202" s="14" t="inlineStr">
        <is>
          <t>غير متوافقة</t>
        </is>
      </c>
      <c r="P202" s="22">
        <f>HYPERLINK("https://kuwaitalyawm.media.gov.kw/flip/index?id=5599&amp;no=238", "عرض المصدر")</f>
        <v/>
      </c>
    </row>
    <row r="203">
      <c r="A203" s="11" t="inlineStr">
        <is>
          <t>و ش ج / 2/2025/2026</t>
        </is>
      </c>
      <c r="B203" s="11" t="inlineStr">
        <is>
          <t>وزارة الشئون الاجتماعية</t>
        </is>
      </c>
      <c r="C203" s="11" t="inlineStr">
        <is>
          <t>Eiman Ashkanani</t>
        </is>
      </c>
      <c r="D203" s="11" t="inlineStr">
        <is>
          <t>أعمال توريد الحفاظات لكبار السن المقيدين في وزارة الشئون الإجتماعية</t>
        </is>
      </c>
      <c r="E203" s="11" t="inlineStr">
        <is>
          <t>أعمال وتوريدات أعمال توريد الحفاظات لكبار السن المقيدين في وزارة الشئون الإجتماعية لصالح وزارة الشئون الاجتماعية وفقاً للشروط والمواصفات المعتمدة في وثائق الطرح.</t>
        </is>
      </c>
      <c r="F20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03" s="12" t="inlineStr">
        <is>
          <t>عام</t>
        </is>
      </c>
      <c r="H203" s="12" t="inlineStr">
        <is>
          <t>0.0%</t>
        </is>
      </c>
      <c r="I203" s="12" t="inlineStr">
        <is>
          <t>government</t>
        </is>
      </c>
      <c r="J203" s="12" t="inlineStr">
        <is>
          <t>2026-09-20</t>
        </is>
      </c>
      <c r="K203" s="12" t="inlineStr">
        <is>
          <t>2026-12-15</t>
        </is>
      </c>
      <c r="L203" s="12" t="inlineStr">
        <is>
          <t>23000.000 KWD</t>
        </is>
      </c>
      <c r="M203" s="12" t="inlineStr">
        <is>
          <t>1000.000 KWD</t>
        </is>
      </c>
      <c r="N203" s="26" t="inlineStr">
        <is>
          <t>UNCHANGED</t>
        </is>
      </c>
      <c r="O203" s="12" t="inlineStr">
        <is>
          <t>غير متوافقة مع اختصاصات KBM</t>
        </is>
      </c>
      <c r="P203" s="23">
        <f>HYPERLINK("https://capt.gov.kw/ar/tenders/opening-tenders/#card-1", "عرض المصدر")</f>
        <v/>
      </c>
    </row>
    <row r="204">
      <c r="A204" s="13" t="inlineStr">
        <is>
          <t>و أ / 406/2026/2027</t>
        </is>
      </c>
      <c r="B204" s="13" t="inlineStr">
        <is>
          <t>وزارة الاعلام</t>
        </is>
      </c>
      <c r="C204" s="13" t="inlineStr">
        <is>
          <t>Eiman Ashkanani</t>
        </is>
      </c>
      <c r="D204" s="13" t="inlineStr">
        <is>
          <t>تجهيز خدمات التنظيف و النقل الداخلي و التخلص من النفايات بمبنى مجمع الاعلام و المحطات الخارجية التابعة له</t>
        </is>
      </c>
      <c r="E204" s="13" t="inlineStr">
        <is>
          <t>توفير خدمات وأعمال النظافة العامة والشاملة للمباني والمرافق وتوفير العمالة والمعدات والمستهلكات اللازمة.</t>
        </is>
      </c>
      <c r="F20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04" s="14" t="inlineStr">
        <is>
          <t>عام</t>
        </is>
      </c>
      <c r="H204" s="14" t="inlineStr">
        <is>
          <t>0.0%</t>
        </is>
      </c>
      <c r="I204" s="14" t="inlineStr">
        <is>
          <t>telecom_and_media</t>
        </is>
      </c>
      <c r="J204" s="14" t="inlineStr">
        <is>
          <t>2026-09-20</t>
        </is>
      </c>
      <c r="K204" s="14" t="inlineStr">
        <is>
          <t>2026-12-15</t>
        </is>
      </c>
      <c r="L204" s="14" t="inlineStr">
        <is>
          <t>23000.000 KWD</t>
        </is>
      </c>
      <c r="M204" s="14" t="inlineStr">
        <is>
          <t>1000.000 KWD</t>
        </is>
      </c>
      <c r="N204" s="26" t="inlineStr">
        <is>
          <t>UNCHANGED</t>
        </is>
      </c>
      <c r="O204" s="14" t="inlineStr">
        <is>
          <t>غير متوافقة مع اختصاصات KBM</t>
        </is>
      </c>
      <c r="P204" s="22">
        <f>HYPERLINK("https://capt.gov.kw/ar/tenders/opening-tenders/#card-3", "عرض المصدر")</f>
        <v/>
      </c>
    </row>
    <row r="205">
      <c r="A205" s="11" t="inlineStr">
        <is>
          <t>ه ز / م م/5/2026/2027</t>
        </is>
      </c>
      <c r="B205" s="11" t="inlineStr">
        <is>
          <t>الهيئة العامة لشؤون الزراعة والثروة السمكية</t>
        </is>
      </c>
      <c r="C205" s="11" t="inlineStr">
        <is>
          <t>Eiman Ashkanani</t>
        </is>
      </c>
      <c r="D205" s="11" t="inlineStr">
        <is>
          <t>تنفيذ و تطوير و صيانة الزراعات التجميلية و الري في الطرق السريعة و الخارجية (القطاع الشمالي)</t>
        </is>
      </c>
      <c r="E205" s="11" t="inlineStr">
        <is>
          <t>أعمال وتوريدات تنفيذ و تطوير و صيانة الزراعات التجميلية و الري في الطرق السريعة و الخارجية (القطاع الشمالي) لصالح الهيئة العامة لشؤون الزراعة والثروة السمكية وفقاً للشروط والمواصفات المعتمدة في وثائق الطرح.</t>
        </is>
      </c>
      <c r="F20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05" s="12" t="inlineStr">
        <is>
          <t>عام</t>
        </is>
      </c>
      <c r="H205" s="12" t="inlineStr">
        <is>
          <t>0.0%</t>
        </is>
      </c>
      <c r="I205" s="12" t="inlineStr">
        <is>
          <t>government</t>
        </is>
      </c>
      <c r="J205" s="12" t="inlineStr">
        <is>
          <t>2026-09-20</t>
        </is>
      </c>
      <c r="K205" s="12" t="inlineStr">
        <is>
          <t>2026-12-15</t>
        </is>
      </c>
      <c r="L205" s="12" t="inlineStr">
        <is>
          <t>23000.000 KWD</t>
        </is>
      </c>
      <c r="M205" s="12" t="inlineStr">
        <is>
          <t>1000.000 KWD</t>
        </is>
      </c>
      <c r="N205" s="26" t="inlineStr">
        <is>
          <t>UNCHANGED</t>
        </is>
      </c>
      <c r="O205" s="12" t="inlineStr">
        <is>
          <t>غير متوافقة مع اختصاصات KBM</t>
        </is>
      </c>
      <c r="P205" s="23">
        <f>HYPERLINK("https://capt.gov.kw/ar/tenders/opening-tenders/#card-2", "عرض المصدر")</f>
        <v/>
      </c>
    </row>
    <row r="206">
      <c r="A206" s="13" t="inlineStr">
        <is>
          <t>ص/م خ ع/13/2026/2027</t>
        </is>
      </c>
      <c r="B206" s="13" t="inlineStr">
        <is>
          <t>وزارة الصحة</t>
        </is>
      </c>
      <c r="C206" s="13" t="inlineStr">
        <is>
          <t>Jana Al-Obaid</t>
        </is>
      </c>
      <c r="D206" s="13" t="inlineStr">
        <is>
          <t>اعداد الدراسة و التصميم و الاشراف على تنفيذ مشروع مباني المحور الخدمي لمدينة صباح الاحمد الصحية</t>
        </is>
      </c>
      <c r="E206" s="13" t="inlineStr">
        <is>
          <t>أعمال وتوريدات اعداد الدراسة و التصميم و الاشراف على تنفيذ مشروع مباني المحور الخدمي لمدينة صباح الاحمد الصحية لصالح وزارة الصحة وفقاً للشروط والمواصفات المعتمدة في وثائق الطرح.</t>
        </is>
      </c>
      <c r="F20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06" s="14" t="inlineStr">
        <is>
          <t>عام</t>
        </is>
      </c>
      <c r="H206" s="14" t="inlineStr">
        <is>
          <t>15.0%</t>
        </is>
      </c>
      <c r="I206" s="14" t="inlineStr">
        <is>
          <t>healthcare</t>
        </is>
      </c>
      <c r="J206" s="14" t="inlineStr">
        <is>
          <t>2026-09-20</t>
        </is>
      </c>
      <c r="K206" s="18" t="inlineStr">
        <is>
          <t>2026-10-20</t>
        </is>
      </c>
      <c r="L206" s="14" t="inlineStr">
        <is>
          <t>45000.000 KWD</t>
        </is>
      </c>
      <c r="M206" s="14" t="inlineStr">
        <is>
          <t>1000.000 KWD</t>
        </is>
      </c>
      <c r="N206" s="26" t="inlineStr">
        <is>
          <t>UNCHANGED</t>
        </is>
      </c>
      <c r="O206" s="14" t="inlineStr">
        <is>
          <t>غير متوافقة مع اختصاصات KBM</t>
        </is>
      </c>
      <c r="P206" s="22">
        <f>HYPERLINK("https://capt.gov.kw/ar/tenders/opening-tenders/#card-1", "عرض المصدر")</f>
        <v/>
      </c>
    </row>
    <row r="207">
      <c r="A207" s="11" t="inlineStr">
        <is>
          <t>17/2026/2027</t>
        </is>
      </c>
      <c r="B207" s="11" t="inlineStr">
        <is>
          <t>الإدارة العامة للإطفاء</t>
        </is>
      </c>
      <c r="C207" s="11" t="inlineStr">
        <is>
          <t>Eiman Ashkanani</t>
        </is>
      </c>
      <c r="D207" s="11" t="inlineStr">
        <is>
          <t>صيانة أنظمة و أجهزة الاتصالات بقوة الإطفاء العام</t>
        </is>
      </c>
      <c r="E207" s="11" t="inlineStr">
        <is>
          <t>تنفيذ أعمال صيانة أنظمة و أجهزة الاتصالات بقوة الإطفاء العام، وتوفير كافة الأجهزة والمعدات والأنظمة وخدمات الدعم الفني والضمان وفقاً لكراسة الشروط والمواصفات الفنية.</t>
        </is>
      </c>
      <c r="F20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07" s="24" t="inlineStr">
        <is>
          <t>قطاع العمليات المدارة والدعم الفني متعدد الموردين</t>
        </is>
      </c>
      <c r="H207" s="12" t="inlineStr">
        <is>
          <t>85.0%</t>
        </is>
      </c>
      <c r="I207" s="12" t="inlineStr">
        <is>
          <t>defense_and_security</t>
        </is>
      </c>
      <c r="J207" s="12" t="inlineStr">
        <is>
          <t>2026-09-20</t>
        </is>
      </c>
      <c r="K207" s="12" t="inlineStr">
        <is>
          <t>2026-11-10</t>
        </is>
      </c>
      <c r="L207" s="12" t="inlineStr">
        <is>
          <t>23000.000 KWD</t>
        </is>
      </c>
      <c r="M207" s="12" t="inlineStr">
        <is>
          <t>1000.000 KWD</t>
        </is>
      </c>
      <c r="N207" s="26" t="inlineStr">
        <is>
          <t>UNCHANGED</t>
        </is>
      </c>
      <c r="O207" s="12" t="inlineStr">
        <is>
          <t>فرصة استراتيجية رئيسية (موصى بالتقديم)</t>
        </is>
      </c>
      <c r="P207" s="23">
        <f>HYPERLINK("https://capt.gov.kw/ar/tenders/opening-tenders/#card-0", "عرض المصدر")</f>
        <v/>
      </c>
    </row>
    <row r="208">
      <c r="A208" s="13" t="inlineStr">
        <is>
          <t>وك م/9/2025/2026</t>
        </is>
      </c>
      <c r="B208" s="13" t="inlineStr">
        <is>
          <t>وزارة الكهرباء والماء والطاقة المتجددة</t>
        </is>
      </c>
      <c r="C208" s="13" t="inlineStr">
        <is>
          <t>Raed Obeid</t>
        </is>
      </c>
      <c r="D208" s="13" t="inlineStr">
        <is>
          <t>أعمال النظافة في محطة الصبية لتوليد القوى الكهربائية وتقطير المياه</t>
        </is>
      </c>
      <c r="E208" s="13" t="inlineStr">
        <is>
          <t>توفير خدمات وأعمال النظافة العامة والشاملة للمباني والمرافق وتوفير العمالة والمعدات والمستهلكات اللازمة.</t>
        </is>
      </c>
      <c r="F20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08" s="14" t="inlineStr">
        <is>
          <t>عام</t>
        </is>
      </c>
      <c r="H208" s="14" t="inlineStr">
        <is>
          <t>0.0%</t>
        </is>
      </c>
      <c r="I208" s="14" t="inlineStr">
        <is>
          <t>oil_and_gas</t>
        </is>
      </c>
      <c r="J208" s="14" t="inlineStr">
        <is>
          <t>2026-09-27</t>
        </is>
      </c>
      <c r="K208" s="14" t="inlineStr">
        <is>
          <t>2026-10-27</t>
        </is>
      </c>
      <c r="L208" s="14" t="inlineStr">
        <is>
          <t>15000.000 KWD</t>
        </is>
      </c>
      <c r="M208" s="14" t="inlineStr">
        <is>
          <t>1000.000 KWD</t>
        </is>
      </c>
      <c r="N208" s="26" t="inlineStr">
        <is>
          <t>UNCHANGED</t>
        </is>
      </c>
      <c r="O208" s="14" t="inlineStr">
        <is>
          <t>غير متوافقة مع اختصاصات KBM</t>
        </is>
      </c>
      <c r="P208" s="22">
        <f>HYPERLINK("https://capt.gov.kw/ar/tenders/opening-tenders/#card-9", "عرض المصدر")</f>
        <v/>
      </c>
    </row>
    <row r="209">
      <c r="A209" s="11" t="inlineStr">
        <is>
          <t>و ع / 3/2026/2027</t>
        </is>
      </c>
      <c r="B209" s="11" t="inlineStr">
        <is>
          <t>وزارة العدل</t>
        </is>
      </c>
      <c r="C209" s="11" t="inlineStr">
        <is>
          <t>Eiman Ashkanani</t>
        </is>
      </c>
      <c r="D209" s="11" t="inlineStr">
        <is>
          <t>اعمال تنظيف شاملة لمباني وزارة العدل بمحافظات ( العاصمة - حولي - الأحمدي - مبارك الكبير ) مجزئة على مجموعتين</t>
        </is>
      </c>
      <c r="E209" s="11" t="inlineStr">
        <is>
          <t>توفير خدمات وأعمال النظافة العامة والشاملة للمباني والمرافق وتوفير العمالة والمعدات والمستهلكات اللازمة.</t>
        </is>
      </c>
      <c r="F20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09" s="12" t="inlineStr">
        <is>
          <t>عام</t>
        </is>
      </c>
      <c r="H209" s="12" t="inlineStr">
        <is>
          <t>0.0%</t>
        </is>
      </c>
      <c r="I209" s="12" t="inlineStr">
        <is>
          <t>government</t>
        </is>
      </c>
      <c r="J209" s="12" t="inlineStr">
        <is>
          <t>2026-09-27</t>
        </is>
      </c>
      <c r="K209" s="12" t="inlineStr">
        <is>
          <t>2026-12-22</t>
        </is>
      </c>
      <c r="L209" s="12" t="inlineStr">
        <is>
          <t>0.000 KWD</t>
        </is>
      </c>
      <c r="M209" s="12" t="inlineStr">
        <is>
          <t>250.000 KWD</t>
        </is>
      </c>
      <c r="N209" s="26" t="inlineStr">
        <is>
          <t>UNCHANGED</t>
        </is>
      </c>
      <c r="O209" s="12" t="inlineStr">
        <is>
          <t>غير متوافقة مع اختصاصات KBM</t>
        </is>
      </c>
      <c r="P209" s="23">
        <f>HYPERLINK("https://capt.gov.kw/ar/tenders/opening-tenders/#card-8", "عرض المصدر")</f>
        <v/>
      </c>
    </row>
    <row r="210">
      <c r="A210" s="13" t="inlineStr">
        <is>
          <t>هـ ز / م م / 9/2025/2026</t>
        </is>
      </c>
      <c r="B210" s="13" t="inlineStr">
        <is>
          <t>الهيئة العامة لشؤون الزراعة والثروة السمكية</t>
        </is>
      </c>
      <c r="C210" s="13" t="inlineStr">
        <is>
          <t>Eiman Ashkanani</t>
        </is>
      </c>
      <c r="D210" s="13" t="inlineStr">
        <is>
          <t>شراء و توريد أغذية متنوعة لحديقة الحيوان بالعمرية</t>
        </is>
      </c>
      <c r="E210" s="13" t="inlineStr">
        <is>
          <t>أعمال وتوريدات شراء و توريد أغذية متنوعة لحديقة الحيوان بالعمرية لصالح الهيئة العامة لشؤون الزراعة والثروة السمكية وفقاً للشروط والمواصفات المعتمدة في وثائق الطرح.</t>
        </is>
      </c>
      <c r="F21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10" s="14" t="inlineStr">
        <is>
          <t>عام</t>
        </is>
      </c>
      <c r="H210" s="14" t="inlineStr">
        <is>
          <t>0.0%</t>
        </is>
      </c>
      <c r="I210" s="14" t="inlineStr">
        <is>
          <t>government</t>
        </is>
      </c>
      <c r="J210" s="14" t="inlineStr">
        <is>
          <t>2026-09-27</t>
        </is>
      </c>
      <c r="K210" s="14" t="inlineStr">
        <is>
          <t>2026-12-22</t>
        </is>
      </c>
      <c r="L210" s="14" t="inlineStr">
        <is>
          <t>7500.000 KWD</t>
        </is>
      </c>
      <c r="M210" s="14" t="inlineStr">
        <is>
          <t>1000.000 KWD</t>
        </is>
      </c>
      <c r="N210" s="26" t="inlineStr">
        <is>
          <t>UNCHANGED</t>
        </is>
      </c>
      <c r="O210" s="14" t="inlineStr">
        <is>
          <t>غير متوافقة مع اختصاصات KBM</t>
        </is>
      </c>
      <c r="P210" s="22">
        <f>HYPERLINK("https://capt.gov.kw/ar/tenders/opening-tenders/#card-7", "عرض المصدر")</f>
        <v/>
      </c>
    </row>
    <row r="211">
      <c r="A211" s="11" t="inlineStr">
        <is>
          <t>م ع /6/2022/2023</t>
        </is>
      </c>
      <c r="B211" s="11" t="inlineStr">
        <is>
          <t>وزارة التربية</t>
        </is>
      </c>
      <c r="C211" s="11" t="inlineStr">
        <is>
          <t>Eiman Ashkanani</t>
        </is>
      </c>
      <c r="D211" s="11" t="inlineStr">
        <is>
          <t>أعمال  فحص واصلاح وتشغيل وصيانة شبكة الإنذار ومكافحة الحريق لمباني ومدارس تابعة لمنطقة العاصمة التعليمية</t>
        </is>
      </c>
      <c r="E211" s="11" t="inlineStr">
        <is>
          <t>تنفيذ أعمال أعمال  فحص واصلاح وتشغيل وصيانة شبكة الإنذار ومكافحة الحريق لمباني ومدارس تابعة لمنطقة العاصمة التعليمية، وتوفير كافة الأجهزة والمعدات والأنظمة وخدمات الدعم الفني والضمان وفقاً لكراسة الشروط والمواصفات الفنية.</t>
        </is>
      </c>
      <c r="F21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11" s="24" t="inlineStr">
        <is>
          <t>قطاع العمليات المدارة والدعم الفني متعدد الموردين</t>
        </is>
      </c>
      <c r="H211" s="12" t="inlineStr">
        <is>
          <t>64.0%</t>
        </is>
      </c>
      <c r="I211" s="12" t="inlineStr">
        <is>
          <t>education_and_research</t>
        </is>
      </c>
      <c r="J211" s="12" t="inlineStr">
        <is>
          <t>2026-09-27</t>
        </is>
      </c>
      <c r="K211" s="12" t="inlineStr">
        <is>
          <t>2026-12-22</t>
        </is>
      </c>
      <c r="L211" s="12" t="inlineStr">
        <is>
          <t>3500.000 KWD</t>
        </is>
      </c>
      <c r="M211" s="12" t="inlineStr">
        <is>
          <t>150.000 KWD</t>
        </is>
      </c>
      <c r="N211" s="26" t="inlineStr">
        <is>
          <t>UNCHANGED</t>
        </is>
      </c>
      <c r="O211" s="12" t="inlineStr">
        <is>
          <t>فرصة ICT متوافقة مع قدرات KBM</t>
        </is>
      </c>
      <c r="P211" s="23">
        <f>HYPERLINK("https://capt.gov.kw/ar/tenders/opening-tenders/#card-6", "عرض المصدر")</f>
        <v/>
      </c>
    </row>
    <row r="212">
      <c r="A212" s="13" t="inlineStr">
        <is>
          <t>RFP-2162140</t>
        </is>
      </c>
      <c r="B212" s="13" t="inlineStr">
        <is>
          <t>شركة البترول الوطنية الكويتية</t>
        </is>
      </c>
      <c r="C212" s="13" t="inlineStr">
        <is>
          <t>Abrar Al-Qallaf</t>
        </is>
      </c>
      <c r="D212" s="13" t="inlineStr">
        <is>
          <t>ممارسة رقم RFP-2162140: توريد مواد ومهمات تشغيلية لزوم شركة البترول الوطنية الكويتية - شركة البترول الوطنية الكويتية</t>
        </is>
      </c>
      <c r="E212" s="13" t="inlineStr">
        <is>
          <t>أعمال وتوريدات تخصصية لزوم شركة البترول الوطنية الكويتية حسب وثائق الممارسة رقم RFP-2162140 عبر منصة K-Tendering.</t>
        </is>
      </c>
      <c r="F212" s="13" t="inlineStr">
        <is>
          <t>وفقاً لشروط وإجراءات المناقصات والتوريد لدى شركة البترول الوطنية الكويتية (KNPC) عبر منصة K-Tendering.</t>
        </is>
      </c>
      <c r="G212" s="14" t="inlineStr">
        <is>
          <t>عام</t>
        </is>
      </c>
      <c r="H212" s="14" t="inlineStr">
        <is>
          <t>15.0%</t>
        </is>
      </c>
      <c r="I212" s="14" t="inlineStr">
        <is>
          <t>oil_and_gas</t>
        </is>
      </c>
      <c r="J212" s="14" t="inlineStr">
        <is>
          <t>2026-09-27</t>
        </is>
      </c>
      <c r="K212" s="14" t="inlineStr">
        <is>
          <t>2026-12-22</t>
        </is>
      </c>
      <c r="L212" s="14" t="inlineStr">
        <is>
          <t>170000.000 KWD</t>
        </is>
      </c>
      <c r="M212" s="14" t="inlineStr">
        <is>
          <t>3500.000 KWD</t>
        </is>
      </c>
      <c r="N212" s="26" t="inlineStr">
        <is>
          <t>UNCHANGED</t>
        </is>
      </c>
      <c r="O212" s="14" t="inlineStr">
        <is>
          <t>غير متوافقة</t>
        </is>
      </c>
      <c r="P212" s="22">
        <f>HYPERLINK("https://capt.gov.kw/ar/tenders/opening-tenders/#card-2", "عرض المصدر")</f>
        <v/>
      </c>
    </row>
    <row r="213">
      <c r="A213" s="11" t="inlineStr">
        <is>
          <t>CZ/LNGI/MP/012</t>
        </is>
      </c>
      <c r="B213" s="11" t="inlineStr">
        <is>
          <t>الشركة الكويتية للصناعات البترولية المتكاملة</t>
        </is>
      </c>
      <c r="C213" s="11" t="inlineStr">
        <is>
          <t>Eiman Ashkanani</t>
        </is>
      </c>
      <c r="D213" s="11" t="inlineStr">
        <is>
          <t>اعمال الهندسه ,التوريد,الانشاء,اعمال ماقبل التشغيل,المساعده في اعمال التشغيل,بدء التشغيل واختبارات الاداء لمشروع اضافه وحده اعاده اساله الغاز الطبيعي في مرافق استيراد الغاز الطبيعي المسال في منطقه الزور ,الكويت</t>
        </is>
      </c>
      <c r="E213" s="11" t="inlineStr">
        <is>
          <t>توريد المستلزمات والمواد والمستهلكات الطبية أو المخبرية المتخصصة لصالح المرافق الصحية.</t>
        </is>
      </c>
      <c r="F21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13" s="12" t="inlineStr">
        <is>
          <t>عام</t>
        </is>
      </c>
      <c r="H213" s="12" t="inlineStr">
        <is>
          <t>15.0%</t>
        </is>
      </c>
      <c r="I213" s="12" t="inlineStr">
        <is>
          <t>oil_and_gas</t>
        </is>
      </c>
      <c r="J213" s="12" t="inlineStr">
        <is>
          <t>2026-09-27</t>
        </is>
      </c>
      <c r="K213" s="12" t="inlineStr">
        <is>
          <t>2026-12-22</t>
        </is>
      </c>
      <c r="L213" s="12" t="inlineStr">
        <is>
          <t>450000.000 KWD</t>
        </is>
      </c>
      <c r="M213" s="12" t="inlineStr">
        <is>
          <t>5000.000 KWD</t>
        </is>
      </c>
      <c r="N213" s="26" t="inlineStr">
        <is>
          <t>UNCHANGED</t>
        </is>
      </c>
      <c r="O213" s="12" t="inlineStr">
        <is>
          <t>غير متوافقة مع اختصاصات KBM</t>
        </is>
      </c>
      <c r="P213" s="23">
        <f>HYPERLINK("https://capt.gov.kw/ar/tenders/opening-tenders/#card-4", "عرض المصدر")</f>
        <v/>
      </c>
    </row>
    <row r="214">
      <c r="A214" s="13" t="inlineStr">
        <is>
          <t>3 / 2025-2026</t>
        </is>
      </c>
      <c r="B214" s="13" t="inlineStr">
        <is>
          <t>وزارة المالية</t>
        </is>
      </c>
      <c r="C214" s="13" t="inlineStr">
        <is>
          <t>Eiman Ashkanani</t>
        </is>
      </c>
      <c r="D214" s="13" t="inlineStr">
        <is>
          <t>توفير خدمات الامن والحراسة البشرية لمبنى مجمع الوزارات ومباني المواقف التابعة له</t>
        </is>
      </c>
      <c r="E214" s="13" t="inlineStr">
        <is>
          <t>توفير خدمات الحراسة والأمن والسلامة للمباني والمنشآت وتأمين المداخل وتوفير الكوادر الأمنية المدربة.</t>
        </is>
      </c>
      <c r="F21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14" s="14" t="inlineStr">
        <is>
          <t>عام</t>
        </is>
      </c>
      <c r="H214" s="14" t="inlineStr">
        <is>
          <t>15.0%</t>
        </is>
      </c>
      <c r="I214" s="14" t="inlineStr">
        <is>
          <t>government</t>
        </is>
      </c>
      <c r="J214" s="14" t="inlineStr">
        <is>
          <t>2026-09-27</t>
        </is>
      </c>
      <c r="K214" s="14" t="inlineStr">
        <is>
          <t>2026-12-22</t>
        </is>
      </c>
      <c r="L214" s="14" t="inlineStr">
        <is>
          <t>23000.000 KWD</t>
        </is>
      </c>
      <c r="M214" s="14" t="inlineStr">
        <is>
          <t>1000.000 KWD</t>
        </is>
      </c>
      <c r="N214" s="26" t="inlineStr">
        <is>
          <t>UNCHANGED</t>
        </is>
      </c>
      <c r="O214" s="14" t="inlineStr">
        <is>
          <t>غير متوافقة مع اختصاصات KBM</t>
        </is>
      </c>
      <c r="P214" s="22">
        <f>HYPERLINK("https://capt.gov.kw/ar/tenders/opening-tenders/#card-3", "عرض المصدر")</f>
        <v/>
      </c>
    </row>
    <row r="215">
      <c r="A215" s="11" t="inlineStr">
        <is>
          <t>2/2026/2027</t>
        </is>
      </c>
      <c r="B215" s="11" t="inlineStr">
        <is>
          <t>الرئاسة العامة للحرس الوطني</t>
        </is>
      </c>
      <c r="C215" s="11" t="inlineStr">
        <is>
          <t>Eiman Ashkanani</t>
        </is>
      </c>
      <c r="D215" s="11" t="inlineStr">
        <is>
          <t>أعمال التظيف والعمالة لمنطقة التوسعة</t>
        </is>
      </c>
      <c r="E215" s="11" t="inlineStr">
        <is>
          <t>أعمال وتوريدات أعمال التظيف والعمالة لمنطقة التوسعة لصالح الرئاسة العامة للحرس الوطني وفقاً للشروط والمواصفات المعتمدة في وثائق الطرح.</t>
        </is>
      </c>
      <c r="F21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15" s="12" t="inlineStr">
        <is>
          <t>عام</t>
        </is>
      </c>
      <c r="H215" s="12" t="inlineStr">
        <is>
          <t>15.0%</t>
        </is>
      </c>
      <c r="I215" s="12" t="inlineStr">
        <is>
          <t>defense_and_security</t>
        </is>
      </c>
      <c r="J215" s="12" t="inlineStr">
        <is>
          <t>2026-09-27</t>
        </is>
      </c>
      <c r="K215" s="12" t="inlineStr">
        <is>
          <t>2026-10-27</t>
        </is>
      </c>
      <c r="L215" s="12" t="inlineStr">
        <is>
          <t>23000.000 KWD</t>
        </is>
      </c>
      <c r="M215" s="12" t="inlineStr">
        <is>
          <t>1000.000 KWD</t>
        </is>
      </c>
      <c r="N215" s="26" t="inlineStr">
        <is>
          <t>UNCHANGED</t>
        </is>
      </c>
      <c r="O215" s="12" t="inlineStr">
        <is>
          <t>غير متوافقة مع اختصاصات KBM</t>
        </is>
      </c>
      <c r="P215" s="23">
        <f>HYPERLINK("https://capt.gov.kw/ar/tenders/opening-tenders/#card-2", "عرض المصدر")</f>
        <v/>
      </c>
    </row>
    <row r="216">
      <c r="A216" s="13" t="inlineStr">
        <is>
          <t>14/2024/2025</t>
        </is>
      </c>
      <c r="B216" s="13" t="inlineStr">
        <is>
          <t>جامعة عبدالله السالم</t>
        </is>
      </c>
      <c r="C216" s="13" t="inlineStr">
        <is>
          <t>Eiman Ashkanani</t>
        </is>
      </c>
      <c r="D216" s="13" t="inlineStr">
        <is>
          <t>إحلال وصيانة وتشغيل وحدات مناولة الهواء وضواغط التكييف لمباني ( 11،2،10،35،31،32،12) بالخالدية</t>
        </is>
      </c>
      <c r="E216" s="13" t="inlineStr">
        <is>
          <t>أعمال صيانة وتشغيل وإصلاح وحدات ومحطات التكييف المركزي والمبردات وضواغط الهواء وشبكات مجاري الهواء.</t>
        </is>
      </c>
      <c r="F21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16" s="14" t="inlineStr">
        <is>
          <t>عام</t>
        </is>
      </c>
      <c r="H216" s="14" t="inlineStr">
        <is>
          <t>15.0%</t>
        </is>
      </c>
      <c r="I216" s="14" t="inlineStr">
        <is>
          <t>education_and_research</t>
        </is>
      </c>
      <c r="J216" s="14" t="inlineStr">
        <is>
          <t>سبتمبر 27, 2026</t>
        </is>
      </c>
      <c r="K216" s="14" t="inlineStr">
        <is>
          <t>2026-10-27</t>
        </is>
      </c>
      <c r="L216" s="14" t="inlineStr">
        <is>
          <t>6000.000 KWD</t>
        </is>
      </c>
      <c r="M216" s="14" t="inlineStr">
        <is>
          <t>300.000 KWD</t>
        </is>
      </c>
      <c r="N216" s="26" t="inlineStr">
        <is>
          <t>UNCHANGED</t>
        </is>
      </c>
      <c r="O216" s="14" t="inlineStr">
        <is>
          <t>غير متوافقة مع اختصاصات KBM</t>
        </is>
      </c>
      <c r="P216" s="22">
        <f>HYPERLINK("https://capt.gov.kw/ar/tenders/opening-tenders/#card-1", "عرض المصدر")</f>
        <v/>
      </c>
    </row>
    <row r="217">
      <c r="A217" s="11" t="inlineStr">
        <is>
          <t>12/2025</t>
        </is>
      </c>
      <c r="B217" s="11" t="inlineStr">
        <is>
          <t>الهيئة العامة للصناعة</t>
        </is>
      </c>
      <c r="C217" s="11" t="inlineStr">
        <is>
          <t>Eiman Ashkanani</t>
        </is>
      </c>
      <c r="D217" s="11" t="inlineStr">
        <is>
          <t>أعمال صيانة المعدات وصيانة الميكانيكية والكهربائية ومعدات التكييف المنشآت المدنية والبحرية لمحطات مياه التبريد بمنطقة الشعيبة الغربية</t>
        </is>
      </c>
      <c r="E217" s="11" t="inlineStr">
        <is>
          <t>أعمال صيانة وتشغيل وإصلاح وحدات ومحطات التكييف المركزي والمبردات وضواغط الهواء وشبكات مجاري الهواء.</t>
        </is>
      </c>
      <c r="F21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17" s="12" t="inlineStr">
        <is>
          <t>عام</t>
        </is>
      </c>
      <c r="H217" s="12" t="inlineStr">
        <is>
          <t>0.0%</t>
        </is>
      </c>
      <c r="I217" s="12" t="inlineStr">
        <is>
          <t>government</t>
        </is>
      </c>
      <c r="J217" s="12" t="inlineStr">
        <is>
          <t>سبتمبر 27, 2026</t>
        </is>
      </c>
      <c r="K217" s="12" t="inlineStr">
        <is>
          <t>2026-12-22</t>
        </is>
      </c>
      <c r="L217" s="12" t="inlineStr">
        <is>
          <t>45000.000 KWD</t>
        </is>
      </c>
      <c r="M217" s="12" t="inlineStr">
        <is>
          <t>1000.000 KWD</t>
        </is>
      </c>
      <c r="N217" s="26" t="inlineStr">
        <is>
          <t>UNCHANGED</t>
        </is>
      </c>
      <c r="O217" s="12" t="inlineStr">
        <is>
          <t>غير متوافقة مع اختصاصات KBM</t>
        </is>
      </c>
      <c r="P217" s="23">
        <f>HYPERLINK("https://capt.gov.kw/ar/tenders/opening-tenders/#card-0", "عرض المصدر")</f>
        <v/>
      </c>
    </row>
  </sheetData>
  <autoFilter ref="A1:P2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17"/>
  <sheetViews>
    <sheetView rightToLeft="1" workbookViewId="0">
      <pane ySplit="1" topLeftCell="A2" activePane="bottomLeft" state="frozen"/>
      <selection pane="bottomLeft" activeCell="A1" sqref="A1"/>
    </sheetView>
  </sheetViews>
  <sheetFormatPr baseColWidth="8" defaultRowHeight="15"/>
  <cols>
    <col width="29" customWidth="1" min="1" max="1"/>
    <col width="45" customWidth="1" min="2" max="2"/>
    <col width="33" customWidth="1" min="3" max="3"/>
    <col width="45" customWidth="1" min="4" max="4"/>
    <col width="45" customWidth="1" min="5" max="5"/>
    <col width="45" customWidth="1" min="6" max="6"/>
    <col width="45" customWidth="1" min="7" max="7"/>
    <col width="15" customWidth="1" min="8" max="8"/>
    <col width="25" customWidth="1" min="9" max="9"/>
    <col width="18" customWidth="1" min="10" max="10"/>
    <col width="19" customWidth="1" min="11" max="11"/>
    <col width="17" customWidth="1" min="12" max="12"/>
    <col width="16" customWidth="1" min="13" max="13"/>
    <col width="12" customWidth="1" min="14" max="14"/>
    <col width="41" customWidth="1" min="15" max="15"/>
    <col width="15" customWidth="1" min="16" max="16"/>
  </cols>
  <sheetData>
    <row r="1">
      <c r="A1" s="10" t="inlineStr">
        <is>
          <t>رقم المناقصة</t>
        </is>
      </c>
      <c r="B1" s="10" t="inlineStr">
        <is>
          <t>الجهة المصدرة</t>
        </is>
      </c>
      <c r="C1" s="10" t="inlineStr">
        <is>
          <t>مسؤول الحساب (Account Manager)</t>
        </is>
      </c>
      <c r="D1" s="10" t="inlineStr">
        <is>
          <t>موضوع المناقصة</t>
        </is>
      </c>
      <c r="E1" s="10" t="inlineStr">
        <is>
          <t>المطلوب في المناقصة ونطاق العمل والأجهزة (Required Scope &amp; Equipment)</t>
        </is>
      </c>
      <c r="F1" s="10" t="inlineStr">
        <is>
          <t>شروط ومتطلبات المشاركة (Requirements)</t>
        </is>
      </c>
      <c r="G1" s="10" t="inlineStr">
        <is>
          <t>قطاع KBM المختص</t>
        </is>
      </c>
      <c r="H1" s="10" t="inlineStr">
        <is>
          <t>درجة التوافق</t>
        </is>
      </c>
      <c r="I1" s="10" t="inlineStr">
        <is>
          <t>القطاع</t>
        </is>
      </c>
      <c r="J1" s="10" t="inlineStr">
        <is>
          <t>تاريخ النشر</t>
        </is>
      </c>
      <c r="K1" s="10" t="inlineStr">
        <is>
          <t>آخر موعد للتقديم</t>
        </is>
      </c>
      <c r="L1" s="10" t="inlineStr">
        <is>
          <t>التأمين الأولي</t>
        </is>
      </c>
      <c r="M1" s="10" t="inlineStr">
        <is>
          <t>سعر الكراسة</t>
        </is>
      </c>
      <c r="N1" s="10" t="inlineStr">
        <is>
          <t>الحالة</t>
        </is>
      </c>
      <c r="O1" s="10" t="inlineStr">
        <is>
          <t>قرار Presales</t>
        </is>
      </c>
      <c r="P1" s="10" t="inlineStr">
        <is>
          <t>رابط الإعلان</t>
        </is>
      </c>
    </row>
    <row r="2">
      <c r="A2" s="13" t="inlineStr">
        <is>
          <t>ع ت ا م/ ق/ 2/2025</t>
        </is>
      </c>
      <c r="B2" s="13" t="inlineStr">
        <is>
          <t>المؤسسة العامة للتأمينات الاجتماعية</t>
        </is>
      </c>
      <c r="C2" s="13" t="inlineStr">
        <is>
          <t>Jana Al-Obaid</t>
        </is>
      </c>
      <c r="D2" s="13" t="inlineStr">
        <is>
          <t>تفعيل تراخيص لنظام إدارة خدمات تكنولوجيا المعلومات BMC - ITSM وتقديم خدمات الصيانة والدعم الفني لها والتدريب عليها بالمؤسسة العامة للتأمينات الاجتماعية</t>
        </is>
      </c>
      <c r="E2" s="13" t="inlineStr">
        <is>
          <t>تنفيذ أعمال تفعيل تراخيص لنظام إدارة خدمات تكنولوجيا المعلومات BMC - ITSM وتقديم خدمات الصيانة والدعم الفني لها والتدريب عليها بالمؤسسة العامة للتأمينات الاجتماعية، وتوفير كافة الأجهزة والمعدات والأنظمة وخدمات الدعم الفني والضمان وفقاً لكراسة الشروط والمواصفات الفنية.</t>
        </is>
      </c>
      <c r="F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 s="24" t="inlineStr">
        <is>
          <t>قطاع العمليات المدارة والدعم الفني متعدد الموردين</t>
        </is>
      </c>
      <c r="H2" s="14" t="inlineStr">
        <is>
          <t>64.0%</t>
        </is>
      </c>
      <c r="I2" s="14" t="inlineStr">
        <is>
          <t>banking_and_finance</t>
        </is>
      </c>
      <c r="J2" s="14" t="inlineStr">
        <is>
          <t>2026-09-06</t>
        </is>
      </c>
      <c r="K2" s="14" t="inlineStr">
        <is>
          <t>2026-12-01</t>
        </is>
      </c>
      <c r="L2" s="14" t="inlineStr">
        <is>
          <t>3500.000 KWD</t>
        </is>
      </c>
      <c r="M2" s="14" t="inlineStr">
        <is>
          <t>150.000 KWD</t>
        </is>
      </c>
      <c r="N2" s="26" t="inlineStr">
        <is>
          <t>UNCHANGED</t>
        </is>
      </c>
      <c r="O2" s="14" t="inlineStr">
        <is>
          <t>فرصة ICT متوافقة مع قدرات KBM</t>
        </is>
      </c>
      <c r="P2" s="22">
        <f>HYPERLINK("https://capt.gov.kw/ar/tenders/opening-tenders/#card-7", "عرض المصدر")</f>
        <v/>
      </c>
    </row>
    <row r="3">
      <c r="A3" s="11" t="inlineStr">
        <is>
          <t>2030/2027/327</t>
        </is>
      </c>
      <c r="B3" s="11" t="inlineStr">
        <is>
          <t>الهيئة العامة للاستثمار</t>
        </is>
      </c>
      <c r="C3" s="11" t="inlineStr">
        <is>
          <t>Eiman Ashkanani</t>
        </is>
      </c>
      <c r="D3" s="11" t="inlineStr">
        <is>
          <t>ممارسة رقم 2030/2027/327: شراء جهاز توزيع الأحمال (App Load Balancer)</t>
        </is>
      </c>
      <c r="E3" s="11" t="inlineStr">
        <is>
          <t>أعمال وتوريدات شراء جهاز توزيع الأحمال (App Load Balancer) لصالح الهيئة العامة للاستثمار وفقاً للشروط والمواصفات المعتمدة في وثائق الطرح.</t>
        </is>
      </c>
      <c r="F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3" s="24" t="inlineStr">
        <is>
          <t>عام</t>
        </is>
      </c>
      <c r="H3" s="12" t="inlineStr">
        <is>
          <t>0.0%</t>
        </is>
      </c>
      <c r="I3" s="12" t="inlineStr">
        <is>
          <t>banking_and_finance</t>
        </is>
      </c>
      <c r="J3" s="12" t="inlineStr">
        <is>
          <t>2026-09-27</t>
        </is>
      </c>
      <c r="K3" s="12" t="inlineStr">
        <is>
          <t>-</t>
        </is>
      </c>
      <c r="L3" s="12" t="inlineStr">
        <is>
          <t>1500.0 KWD</t>
        </is>
      </c>
      <c r="M3" s="12" t="inlineStr">
        <is>
          <t>75.0 KWD</t>
        </is>
      </c>
      <c r="N3" s="21" t="inlineStr">
        <is>
          <t>UPDATED</t>
        </is>
      </c>
      <c r="O3" s="12" t="inlineStr">
        <is>
          <t>غير متوافقة مع اختصاصات KBM</t>
        </is>
      </c>
      <c r="P3" s="23">
        <f>HYPERLINK("https://kuwaitalyawm.media.gov.kw/Online/ViewAdsHTML?id=171676&amp;no=1", "عرض المصدر")</f>
        <v/>
      </c>
    </row>
    <row r="4">
      <c r="A4" s="13" t="inlineStr">
        <is>
          <t>2027/2026/6</t>
        </is>
      </c>
      <c r="B4" s="13" t="inlineStr">
        <is>
          <t>بنك الائتمان الكويتي</t>
        </is>
      </c>
      <c r="C4" s="13" t="inlineStr">
        <is>
          <t>Eiman Ashkanani</t>
        </is>
      </c>
      <c r="D4" s="13" t="inlineStr">
        <is>
          <t>ممارسة رقم 2027/2026/6: يعلن بنك الائتمان الكويتي عن اعلان إعادة طرح الممارسة رقم (6 -2026/2027) بصيانة وتطوير الكشوف الهندسية بالموقع، فعلى السادة الجهات الراغبة في التقدم بعطاءاتها الدخول على موقع البنك لشراء كراسة الشروط والمواصفات الفنية الخاصة بالممارسة المذكورة طبقاً للتفاصيل المحددة أدناه:</t>
        </is>
      </c>
      <c r="E4" s="13" t="inlineStr">
        <is>
          <t>أعمال وتوريدات يعلن بنك الائتمان الكويتي عن اعلان إعادة طرح الممارسة رقم (6 -2026/2027) بصيانة وتطوير الكشوف الهندسية بالموقع، فعلى السادة الجهات الراغبة في التقدم بعطاءاتها الدخول على موقع البنك لشراء كراسة الشروط والمواصفات الفنية الخاصة بالممارسة المذكورة طبقاً للتفاصيل المحددة أدناه: لصالح بنك الائتمان الكويتي وفقاً للشروط والمواصفات المعتمدة في وثائق الطرح.</t>
        </is>
      </c>
      <c r="F4" s="13" t="inlineStr">
        <is>
          <t>• رقم التواصل لأي استفسارات خاصة بلجنة الشراء لبنك الائتمان الكويتي.
• صورة حديثة ومعاصرة من شهادة تفيد تسجيله لدى الجهاز المركزي للمناقصات العامة.
• صورة حديثة لإعلان طرح الممارسة.
• صورة حديثة ومعاصرة لشهادة تحديد نسبة العمالة الوطنية الصادرة من الجهة المختصة.
• صورة حديثة ومعاصرة من شهادة حديثة ومعاصرة للسجل التجاري الخاص بالشركة.
• صورة حديثة ومعاصرة من شهادة تثبت التسجيل لدى غرفة تجارة صناعة الكويت.
• شهادة لمن يهمه الامر سارية وصادرة عن الهيئة العامة للقوى العاملة تتضمن عدم وجود وقف على ملف الممارس عن العقود الحكومية المسجلة لدى الهيئة عن أحد المخالفات المذكورة بالمادة (10) من القانون رقم (6) لسنة 2010 في شأن العمل في القطاع الأهلي.
• للشركات المدرجة ضمن المشاريع الصغيرة والمتوسطة:
• تقديم شهادة تسجيل من الصندوق الوطني لرعاية وتنمية المشروعات الصغيرة والمتوسطة.
• تقديم قوائم مالية معتمدة ومدققة من مكتب تدقيق محاسبي معتمد لدى وزارة التجارة والصناعة لآخر 3 سنوات وفي حال عدم انقضاء فترة 3 سنوات من تاريخ التأسيس يتم تقديم القوائم المالية للفترة المنقضية.
• تقديم شهادة من الهيئة العامة للقوى العاملة بعدد العمالة الاجمالية المسجلة على ملف الشركة متضمنة كافة العقود الحكومية.
• تقديم شهادة السجل التجاري والرخصة التجارية على ان تتضمن الرخصة النشاط التجاري المتوافق مع طبيعة اعمال المناقصة المطلوبة.
• موعد الاجتماع التمهيدي
• methker@KCB.GOV.KW
• A.Almojil@kcb.gov.kw
• آخر موعد لتلقي العطاءات
• تعنون العطاءات بالظرف لبنك الائتمان الكويتي وتودع بصندوق لجنة الشراء للبنك بالإدارة المالية لبنك الائتمان الكويتي بموعد أقصاه الساعة 12:00 ظهرا من يوم الخميس الموافق 08/10/2026
• أهمية الاطلاع على التعاميم الخاصة بممارسات لجنة الشراء لبنك الائتمان الكويتي والمتاحة في موقع البنك الرسمي تحت بند بمسمى تعاميم عامة وخاصة بنظم الشراء للجهات العامة.
• يجب على كافة الشركات المتقدمة (غير المسجلة لدى بنك الائتمان الكويتي) التسجيل عن طريق موقع البنك الالكتروني www.kcb.gov.kw ودفع رسوم التسجيل بقيمة 20 د.ك.
• يجب أن تكون جميع المستندات سارية الصلاحية.
• يجب أن تكون أظرف العطاءات مغلقة بإحكام بالشمع الأحمر.
• للبنك الحق في إلغاء الممارسة بدون ذكر الأسباب.</t>
        </is>
      </c>
      <c r="G4" s="14" t="inlineStr">
        <is>
          <t>عام</t>
        </is>
      </c>
      <c r="H4" s="14" t="inlineStr">
        <is>
          <t>0.0%</t>
        </is>
      </c>
      <c r="I4" s="14" t="inlineStr">
        <is>
          <t>banking_and_finance</t>
        </is>
      </c>
      <c r="J4" s="14" t="inlineStr">
        <is>
          <t>2026-09-27</t>
        </is>
      </c>
      <c r="K4" s="14" t="inlineStr">
        <is>
          <t>-</t>
        </is>
      </c>
      <c r="L4" s="14" t="inlineStr">
        <is>
          <t>2000.0 KWD</t>
        </is>
      </c>
      <c r="M4" s="14" t="inlineStr">
        <is>
          <t>20.0 KWD</t>
        </is>
      </c>
      <c r="N4" s="21" t="inlineStr">
        <is>
          <t>UPDATED</t>
        </is>
      </c>
      <c r="O4" s="14" t="inlineStr">
        <is>
          <t>غير متوافقة مع اختصاصات KBM</t>
        </is>
      </c>
      <c r="P4" s="22">
        <f>HYPERLINK("https://kuwaitalyawm.media.gov.kw/Online/ViewAdsHTML?id=171712&amp;no=1", "عرض المصدر")</f>
        <v/>
      </c>
    </row>
    <row r="5">
      <c r="A5" s="11" t="inlineStr">
        <is>
          <t>2027/2026/13</t>
        </is>
      </c>
      <c r="B5" s="11" t="inlineStr">
        <is>
          <t>بنك الائتمان الكويتي</t>
        </is>
      </c>
      <c r="C5" s="11" t="inlineStr">
        <is>
          <t>Eiman Ashkanani</t>
        </is>
      </c>
      <c r="D5" s="11" t="inlineStr">
        <is>
          <t>ممارسة رقم 2027/2026/13: يعـلـن بنك الائتمان الكويتي عن اعلان طرح الممارسة رقم (13-2026/2027) الخاصة بدعم وصيانة وتكامل نظام الأرشيف الإلكتروني في بنك الائتمان الكويتي فعلى السادة الجهات الراغبة في التقدم بعطاءاتها الدخول على موقع البنك لشراء كراسة الشروط والمواصفات الفنية الخاصة بالممارسة المذكورة طبقاً للتفاصيل المحددة أدناه:</t>
        </is>
      </c>
      <c r="E5" s="11" t="inlineStr">
        <is>
          <t>تنفيذ أعمال يعـلـن بنك الائتمان الكويتي عن اعلان طرح الممارسة رقم (13-2026/2027) الخاصة بدعم وصيانة وتكامل نظام الأرشيف الإلكتروني في بنك الائتمان الكويتي فعلى السادة الجهات الراغبة في التقدم بعطاءاتها الدخول على موقع البنك لشراء كراسة الشروط والمواصفات الفنية الخاصة بالممارسة المذكورة طبقاً للتفاصيل المحددة أدناه:، وتوفير كافة الأجهزة والمعدات والأنظمة وخدمات الدعم الفني والضمان وفقاً لكراسة الشروط والمواصفات الفنية.</t>
        </is>
      </c>
      <c r="F5" s="11" t="inlineStr">
        <is>
          <t>• رقم التواصل لأي استفسارات خاصة بلجنة الشراء لبنك الائتمان الكويتي.
• صورة حديثة ومعاصرة من شهادة تفيد تسجيله لدى الجهاز المركزي للمناقصات العامة.
• صورة حديثة لإعلان طرح الممارسة.
• صورة حديثة ومعاصرة لشهادة تحديد نسبة العمالة الوطنية الصادرة من الجهة المختصة.
• صورة حديثة ومعاصرة من شهادة حديثة ومعاصرة للسجل التجاري الخاص بالشركة.
• صورة حديثة ومعاصرة من شهادة تثبت التسجيل لدى غرفة تجارة صناعة الكويت.
• شهادة لمن يهمه الامر سارية وصادرة عن الهيئة العامة للقوى العاملة تتضمن عدم وجود وقف على ملف الممارس عن العقود الحكومية المسجلة لدى الهيئة عن أحد المخالفات المذكورة بالمادة (10) من القانون رقم (6) لسنة 2010 في شأن العمل في القطاع الأهلي.
• للشركات المدرجة ضمن المشاريع الصغيرة والمتوسطة:
• تقديم شهادة تسجيل من الصندوق الوطني لرعاية وتنمية المشروعات الصغيرة والمتوسطة.
• تقديم قوائم مالية معتمدة ومدققة من مكتب تدقيق محاسبي معتمد لدى وزارة التجارة والصناعة لآخر 3 سنوات وفي حال عدم انقضاء فترة 3 سنوات من تاريخ التأسيس يتم تقديم القوائم المالية للفترة المنقضية.
• تقديم شهادة من الهيئة العامة للقوى العاملة بعدد العمالة الاجمالية المسجلة على ملف الشركة متضمنة كافة العقود الحكومية.
• تقديم شهادة السجل التجاري والرخصة التجارية على ان تتضمن الرخصة النشاط التجاري المتوافق مع طبيعة اعمال المناقصة المطلوبة.
• موعد الاجتماع التمهيدي
• يوم الاحد الموافق 04/10/2026 في تمام الساعة 12:30 بمبنى البنك الرئيسي بجنوب السرة - الدور الرابع غرفة الاجتماعات
• آخر موعد لتلقي العطاءات
• تعنون العطاءات بالظرف لبنك الائتمان الكويتي وتودع بصندوق لجنة الشراء للبنك بالإدارة المالية لبنك الائتمان الكويتي بموعد أقصاه الساعة 01:00 ظهرا من يوم الخميس الموافق 15/10/2026
• أهمية الاطلاع على التعاميم الخاصة بممارسات لجنة الشراء لبنك الائتمان الكويتي والمتاحة في موقع البنك الرسمي تحت بند بمسمى تعاميم عامة وخاصة بنظم الشراء للجهات العامة.
• يجب على كافة الشركات المتقدمة (غير المسجلة لدى بنك الائتمان الكويتي) التسجيل عن طريق موقع البنك الالكتروني www.kcb.gov.kw ودفع رسوم التسجيل بقيمة 20 د.ك.
• يجب أن تكون جميع المستندات سارية الصلاحية.
• يجب ان تكون أظرف العطاءات مغلقة بإحكام بالشمع الأحمر.
• للبنك الحق في إلغاء الممارسة بدون ذكر الأسباب.</t>
        </is>
      </c>
      <c r="G5" s="12" t="inlineStr">
        <is>
          <t>عام</t>
        </is>
      </c>
      <c r="H5" s="12" t="inlineStr">
        <is>
          <t>0.0%</t>
        </is>
      </c>
      <c r="I5" s="12" t="inlineStr">
        <is>
          <t>banking_and_finance</t>
        </is>
      </c>
      <c r="J5" s="12" t="inlineStr">
        <is>
          <t>2026-09-27</t>
        </is>
      </c>
      <c r="K5" s="12" t="inlineStr">
        <is>
          <t>-</t>
        </is>
      </c>
      <c r="L5" s="12" t="inlineStr">
        <is>
          <t>2000.0 KWD</t>
        </is>
      </c>
      <c r="M5" s="12" t="inlineStr">
        <is>
          <t>20.0 KWD</t>
        </is>
      </c>
      <c r="N5" s="21" t="inlineStr">
        <is>
          <t>UPDATED</t>
        </is>
      </c>
      <c r="O5" s="12" t="inlineStr">
        <is>
          <t>غير متوافقة مع اختصاصات KBM</t>
        </is>
      </c>
      <c r="P5" s="23">
        <f>HYPERLINK("https://kuwaitalyawm.media.gov.kw/Online/ViewAdsHTML?id=171713&amp;no=1", "عرض المصدر")</f>
        <v/>
      </c>
    </row>
    <row r="6">
      <c r="A6" s="13" t="inlineStr">
        <is>
          <t>4/2024/2025</t>
        </is>
      </c>
      <c r="B6" s="13" t="inlineStr">
        <is>
          <t>بنك الكويت المركزي</t>
        </is>
      </c>
      <c r="C6" s="13" t="inlineStr">
        <is>
          <t>Eiman Ashkanani</t>
        </is>
      </c>
      <c r="D6" s="13" t="inlineStr">
        <is>
          <t>أعمال تأهيل المبنى المساند وإنشاء متحف بنك الكويت المركزي</t>
        </is>
      </c>
      <c r="E6" s="13" t="inlineStr">
        <is>
          <t>تنفيذ الأعمال المدنية والإنشائية والترميم والصيانة العامة للمباني والمنشآت والمرافق التابعة للجهة.</t>
        </is>
      </c>
      <c r="F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6" s="14" t="inlineStr">
        <is>
          <t>عام</t>
        </is>
      </c>
      <c r="H6" s="14" t="inlineStr">
        <is>
          <t>0.0%</t>
        </is>
      </c>
      <c r="I6" s="14" t="inlineStr">
        <is>
          <t>banking_and_finance</t>
        </is>
      </c>
      <c r="J6" s="14" t="inlineStr">
        <is>
          <t>2026-10-04</t>
        </is>
      </c>
      <c r="K6" s="14" t="inlineStr">
        <is>
          <t>2026-11-03</t>
        </is>
      </c>
      <c r="L6" s="14" t="inlineStr">
        <is>
          <t>170000.000 KWD</t>
        </is>
      </c>
      <c r="M6" s="14" t="inlineStr">
        <is>
          <t>3500.000 KWD</t>
        </is>
      </c>
      <c r="N6" s="26" t="inlineStr">
        <is>
          <t>UNCHANGED</t>
        </is>
      </c>
      <c r="O6" s="14" t="inlineStr">
        <is>
          <t>غير متوافقة مع اختصاصات KBM</t>
        </is>
      </c>
      <c r="P6" s="22">
        <f>HYPERLINK("https://capt.gov.kw/ar/tenders/opening-tenders/#card-0", "عرض المصدر")</f>
        <v/>
      </c>
    </row>
    <row r="7">
      <c r="A7" s="11" t="inlineStr">
        <is>
          <t>2027/2026/8</t>
        </is>
      </c>
      <c r="B7" s="11" t="inlineStr">
        <is>
          <t>الإدارة العامة للإطفاء</t>
        </is>
      </c>
      <c r="C7" s="11" t="inlineStr">
        <is>
          <t>Eiman Ashkanani</t>
        </is>
      </c>
      <c r="D7" s="11" t="inlineStr">
        <is>
          <t>ممارسة رقم 2027/2026/8: بشأن شراء وتجديد حزمة برامج Manage engine</t>
        </is>
      </c>
      <c r="E7" s="11" t="inlineStr">
        <is>
          <t>تنفيذ أعمال بشأن شراء وتجديد حزمة برامج Manage engine، وتوفير كافة الأجهزة والمعدات والأنظمة وخدمات الدعم الفني والضمان وفقاً لكراسة الشروط والمواصفات الفنية.</t>
        </is>
      </c>
      <c r="F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7" s="24" t="inlineStr">
        <is>
          <t>قطاع برمجيات IBM وحلول الذكاء الاصطناعي وRed Hat</t>
        </is>
      </c>
      <c r="H7" s="12" t="inlineStr">
        <is>
          <t>68.0%</t>
        </is>
      </c>
      <c r="I7" s="12" t="inlineStr">
        <is>
          <t>defense_and_security</t>
        </is>
      </c>
      <c r="J7" s="12" t="inlineStr">
        <is>
          <t>2026-09-27</t>
        </is>
      </c>
      <c r="K7" s="12" t="inlineStr">
        <is>
          <t>-</t>
        </is>
      </c>
      <c r="L7" s="12" t="inlineStr">
        <is>
          <t>-</t>
        </is>
      </c>
      <c r="M7" s="12" t="inlineStr">
        <is>
          <t>75.0 KWD</t>
        </is>
      </c>
      <c r="N7" s="21" t="inlineStr">
        <is>
          <t>UPDATED</t>
        </is>
      </c>
      <c r="O7" s="12" t="inlineStr">
        <is>
          <t>فرصة ICT متوافقة مع قدرات KBM</t>
        </is>
      </c>
      <c r="P7" s="23">
        <f>HYPERLINK("https://kuwaitalyawm.media.gov.kw/Online/ViewAdsHTML?id=171698&amp;no=1", "عرض المصدر")</f>
        <v/>
      </c>
    </row>
    <row r="8">
      <c r="A8" s="13" t="inlineStr">
        <is>
          <t>17/2026/2027</t>
        </is>
      </c>
      <c r="B8" s="13" t="inlineStr">
        <is>
          <t>الإدارة العامة للإطفاء</t>
        </is>
      </c>
      <c r="C8" s="13" t="inlineStr">
        <is>
          <t>Eiman Ashkanani</t>
        </is>
      </c>
      <c r="D8" s="13" t="inlineStr">
        <is>
          <t>صيانة أنظمة و أجهزة الاتصالات بقوة الإطفاء العام</t>
        </is>
      </c>
      <c r="E8" s="13" t="inlineStr">
        <is>
          <t>تنفيذ أعمال صيانة أنظمة و أجهزة الاتصالات بقوة الإطفاء العام، وتوفير كافة الأجهزة والمعدات والأنظمة وخدمات الدعم الفني والضمان وفقاً لكراسة الشروط والمواصفات الفنية.</t>
        </is>
      </c>
      <c r="F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8" s="24" t="inlineStr">
        <is>
          <t>قطاع العمليات المدارة والدعم الفني متعدد الموردين</t>
        </is>
      </c>
      <c r="H8" s="14" t="inlineStr">
        <is>
          <t>85.0%</t>
        </is>
      </c>
      <c r="I8" s="14" t="inlineStr">
        <is>
          <t>defense_and_security</t>
        </is>
      </c>
      <c r="J8" s="14" t="inlineStr">
        <is>
          <t>2026-09-20</t>
        </is>
      </c>
      <c r="K8" s="14" t="inlineStr">
        <is>
          <t>2026-11-10</t>
        </is>
      </c>
      <c r="L8" s="14" t="inlineStr">
        <is>
          <t>23000.000 KWD</t>
        </is>
      </c>
      <c r="M8" s="14" t="inlineStr">
        <is>
          <t>1000.000 KWD</t>
        </is>
      </c>
      <c r="N8" s="26" t="inlineStr">
        <is>
          <t>UNCHANGED</t>
        </is>
      </c>
      <c r="O8" s="14" t="inlineStr">
        <is>
          <t>فرصة استراتيجية رئيسية (موصى بالتقديم)</t>
        </is>
      </c>
      <c r="P8" s="22">
        <f>HYPERLINK("https://capt.gov.kw/ar/tenders/opening-tenders/#card-0", "عرض المصدر")</f>
        <v/>
      </c>
    </row>
    <row r="9">
      <c r="A9" s="11" t="inlineStr">
        <is>
          <t>2027/2026/12</t>
        </is>
      </c>
      <c r="B9" s="11" t="inlineStr">
        <is>
          <t>الرئاسة العامة للحرس الوطني</t>
        </is>
      </c>
      <c r="C9" s="11" t="inlineStr">
        <is>
          <t>Eiman Ashkanani</t>
        </is>
      </c>
      <c r="D9" s="11" t="inlineStr">
        <is>
          <t>ممارسة رقم 2027/2026/12: الخاصة بصيانة أجهزة توزيع أحمال الشبكة</t>
        </is>
      </c>
      <c r="E9" s="11" t="inlineStr">
        <is>
          <t>تنفيذ أعمال الخاصة بصيانة أجهزة توزيع أحمال الشبكة، وتوفير كافة الأجهزة والمعدات والأنظمة وخدمات الدعم الفني والضمان وفقاً لكراسة الشروط والمواصفات الفنية.</t>
        </is>
      </c>
      <c r="F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9" s="24" t="inlineStr">
        <is>
          <t>قطاع العمليات المدارة والدعم الفني متعدد الموردين</t>
        </is>
      </c>
      <c r="H9" s="12" t="inlineStr">
        <is>
          <t>64.0%</t>
        </is>
      </c>
      <c r="I9" s="12" t="inlineStr">
        <is>
          <t>defense_and_security</t>
        </is>
      </c>
      <c r="J9" s="12" t="inlineStr">
        <is>
          <t>2026-09-27</t>
        </is>
      </c>
      <c r="K9" s="12" t="inlineStr">
        <is>
          <t>-</t>
        </is>
      </c>
      <c r="L9" s="12" t="inlineStr">
        <is>
          <t>-</t>
        </is>
      </c>
      <c r="M9" s="12" t="inlineStr">
        <is>
          <t>75.0 KWD</t>
        </is>
      </c>
      <c r="N9" s="21" t="inlineStr">
        <is>
          <t>UPDATED</t>
        </is>
      </c>
      <c r="O9" s="12" t="inlineStr">
        <is>
          <t>فرصة ICT متوافقة مع قدرات KBM</t>
        </is>
      </c>
      <c r="P9" s="23">
        <f>HYPERLINK("https://kuwaitalyawm.media.gov.kw/Online/ViewAdsHTML?id=171707&amp;no=1", "عرض المصدر")</f>
        <v/>
      </c>
    </row>
    <row r="10">
      <c r="A10" s="13" t="inlineStr">
        <is>
          <t>2/2026/2027</t>
        </is>
      </c>
      <c r="B10" s="13" t="inlineStr">
        <is>
          <t>الرئاسة العامة للحرس الوطني</t>
        </is>
      </c>
      <c r="C10" s="13" t="inlineStr">
        <is>
          <t>Eiman Ashkanani</t>
        </is>
      </c>
      <c r="D10" s="13" t="inlineStr">
        <is>
          <t>أعمال التظيف والعمالة لمنطقة التوسعة</t>
        </is>
      </c>
      <c r="E10" s="13" t="inlineStr">
        <is>
          <t>أعمال وتوريدات أعمال التظيف والعمالة لمنطقة التوسعة لصالح الرئاسة العامة للحرس الوطني وفقاً للشروط والمواصفات المعتمدة في وثائق الطرح.</t>
        </is>
      </c>
      <c r="F1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0" s="14" t="inlineStr">
        <is>
          <t>عام</t>
        </is>
      </c>
      <c r="H10" s="14" t="inlineStr">
        <is>
          <t>15.0%</t>
        </is>
      </c>
      <c r="I10" s="14" t="inlineStr">
        <is>
          <t>defense_and_security</t>
        </is>
      </c>
      <c r="J10" s="14" t="inlineStr">
        <is>
          <t>2026-09-27</t>
        </is>
      </c>
      <c r="K10" s="14" t="inlineStr">
        <is>
          <t>2026-10-27</t>
        </is>
      </c>
      <c r="L10" s="14" t="inlineStr">
        <is>
          <t>23000.000 KWD</t>
        </is>
      </c>
      <c r="M10" s="14" t="inlineStr">
        <is>
          <t>1000.000 KWD</t>
        </is>
      </c>
      <c r="N10" s="26" t="inlineStr">
        <is>
          <t>UNCHANGED</t>
        </is>
      </c>
      <c r="O10" s="14" t="inlineStr">
        <is>
          <t>غير متوافقة مع اختصاصات KBM</t>
        </is>
      </c>
      <c r="P10" s="22">
        <f>HYPERLINK("https://capt.gov.kw/ar/tenders/opening-tenders/#card-2", "عرض المصدر")</f>
        <v/>
      </c>
    </row>
    <row r="11">
      <c r="A11" s="11" t="inlineStr">
        <is>
          <t>2414/105/19973/26</t>
        </is>
      </c>
      <c r="B11" s="11" t="inlineStr">
        <is>
          <t>وزارة الدفاع</t>
        </is>
      </c>
      <c r="C11" s="11" t="inlineStr">
        <is>
          <t>Eiman Ashkanani</t>
        </is>
      </c>
      <c r="D11" s="11" t="inlineStr">
        <is>
          <t>ممارسة رقم 2414/105/19973/26: طلب شراء مفروشات لزوم / وزارة الدفاع</t>
        </is>
      </c>
      <c r="E11" s="11" t="inlineStr">
        <is>
          <t>أعمال وتوريدات طلب شراء مفروشات لزوم / وزارة الدفاع لصالح وزارة الدفاع وفقاً للشروط والمواصفات المعتمدة في وثائق الطرح.</t>
        </is>
      </c>
      <c r="F11" s="11" t="inlineStr">
        <is>
          <t>• تقديم صورة عن كرت التسجيل لدى وزارة الدفاع / ادارة المشتريات والعقود المحلية لعام 2026.
• تقديم كتاب تفويض من الشركة بشـراء الوثائق.
• ان تكون الشركة متخصصة في هذا المجال ومصنفة لدى مراقبة تصنيف الشركات بالوزارة.
• تقديم صورة عن شهادة دعم العمالة الوطنية لدى الشركات غير الحكومية (السنوية
• تقديم كتاب رسمي لأية استفسارات يكون في خلال ( أسبوع واحـد ) من تاريخ نشـر الإعلان .
• سداد الرسوم المقررة لشراء وثائق الممارسة عن طريق (K. NET).</t>
        </is>
      </c>
      <c r="G11" s="12" t="inlineStr">
        <is>
          <t>عام</t>
        </is>
      </c>
      <c r="H11" s="12" t="inlineStr">
        <is>
          <t>15.0%</t>
        </is>
      </c>
      <c r="I11" s="12" t="inlineStr">
        <is>
          <t>defense_and_security</t>
        </is>
      </c>
      <c r="J11" s="12" t="inlineStr">
        <is>
          <t>2026-09-20</t>
        </is>
      </c>
      <c r="K11" s="18" t="inlineStr">
        <is>
          <t>2026-10-15</t>
        </is>
      </c>
      <c r="L11" s="12" t="inlineStr">
        <is>
          <t>2.0 KWD</t>
        </is>
      </c>
      <c r="M11" s="12" t="inlineStr">
        <is>
          <t>-</t>
        </is>
      </c>
      <c r="N11" s="21" t="inlineStr">
        <is>
          <t>UPDATED</t>
        </is>
      </c>
      <c r="O11" s="12" t="inlineStr">
        <is>
          <t>غير متوافقة مع اختصاصات KBM</t>
        </is>
      </c>
      <c r="P11" s="23">
        <f>HYPERLINK("https://kuwaitalyawm.media.gov.kw/Online/ViewAdsHTML?id=170977&amp;no=1", "عرض المصدر")</f>
        <v/>
      </c>
    </row>
    <row r="12">
      <c r="A12" s="13" t="inlineStr">
        <is>
          <t>24141071982026</t>
        </is>
      </c>
      <c r="B12" s="13" t="inlineStr">
        <is>
          <t>وزارة الدفاع</t>
        </is>
      </c>
      <c r="C12" s="13" t="inlineStr">
        <is>
          <t>Eiman Ashkanani</t>
        </is>
      </c>
      <c r="D12" s="13" t="inlineStr">
        <is>
          <t>ممارسة رقم 24141071982026: طلب شراء ملفات طبية للمرضى</t>
        </is>
      </c>
      <c r="E12" s="13" t="inlineStr">
        <is>
          <t>توريد المستلزمات والمواد والمستهلكات الطبية أو المخبرية المتخصصة لصالح المرافق الصحية.</t>
        </is>
      </c>
      <c r="F12" s="13" t="inlineStr">
        <is>
          <t>• تقديم صورة عن كرت التسجيل لدى وزارة الدفاع / ادارة المشتريات والعقود المحلية للعام 2026.
• تقديم كتاب تفويض من الشركة بشـراء الوثائق.
• ان تكون الشركة متخصصة في هذا المجال ومصنفة لدى مراقبة تصنيف الشركات بالوزارة.
• تقديم صورة عن شهادة دعم العمالة الوطنية لدى الشركات غير الحكومية (السنوية ).
• تقديم كتاب رسمي لأية استفسارات يكون في خلال ( أسبوع واحـد ) من تاريخ نشـر الإعلان .
• سداد الرسوم المقررة لشراء وثائق الممارسة عن طريق (K. NET).</t>
        </is>
      </c>
      <c r="G12" s="14" t="inlineStr">
        <is>
          <t>عام</t>
        </is>
      </c>
      <c r="H12" s="14" t="inlineStr">
        <is>
          <t>15.0%</t>
        </is>
      </c>
      <c r="I12" s="14" t="inlineStr">
        <is>
          <t>defense_and_security</t>
        </is>
      </c>
      <c r="J12" s="14" t="inlineStr">
        <is>
          <t>2026-09-27</t>
        </is>
      </c>
      <c r="K12" s="14" t="inlineStr">
        <is>
          <t>2026-10-22</t>
        </is>
      </c>
      <c r="L12" s="14" t="inlineStr">
        <is>
          <t>2000.0 KWD</t>
        </is>
      </c>
      <c r="M12" s="14" t="inlineStr">
        <is>
          <t>-</t>
        </is>
      </c>
      <c r="N12" s="21" t="inlineStr">
        <is>
          <t>UPDATED</t>
        </is>
      </c>
      <c r="O12" s="14" t="inlineStr">
        <is>
          <t>غير متوافقة مع اختصاصات KBM</t>
        </is>
      </c>
      <c r="P12" s="22">
        <f>HYPERLINK("https://kuwaitalyawm.media.gov.kw/Online/ViewAdsHTML?id=171541&amp;no=1", "عرض المصدر")</f>
        <v/>
      </c>
    </row>
    <row r="13">
      <c r="A13" s="11" t="inlineStr">
        <is>
          <t>24181118110</t>
        </is>
      </c>
      <c r="B13" s="11" t="inlineStr">
        <is>
          <t>وزارة الدفاع</t>
        </is>
      </c>
      <c r="C13" s="11" t="inlineStr">
        <is>
          <t>Eiman Ashkanani</t>
        </is>
      </c>
      <c r="D13" s="11" t="inlineStr">
        <is>
          <t>ممارسة رقم 24181118110: توريد وتركيب وتعريف واختبار أجهزة خوادم النظام المالي لزوم وزارة الدفاع</t>
        </is>
      </c>
      <c r="E13" s="11" t="inlineStr">
        <is>
          <t>توريد وتركيب وتعريف واختبار أجهزة خوادم عالية الأداء (Enterprise Servers) وأنظمة التخزين وحلول التشغيل الخاصة بالنظام المالي التابع لوزارة الدفاع بدولة الكويت مع الضمان والدعم الفني.</t>
        </is>
      </c>
      <c r="F13" s="11" t="inlineStr">
        <is>
          <t>• أن تكون الشركة مسجلة في وزارة الدفاع لسنة 2026 ومتخصصة في هذا المجال ومصنفة لدى مراقبة شئون الشركات بالوزارة مع تقديم الأوراق الدالة على نشاطها.
• تقديم كتاب تفويض من الشركة بشراء الوثائق.
• تقديم صورة عن شهادة دعم العمالة الوطنية لدى الشركات غير الحكومية (السنوية).
• تقديم كتاب رسمي لأية استفسارات يكون في خلال (أسبوع واحد) من تاريخ نشر الإعلان.
• للاستفسار هاتف: 1844411 (داخلي 61929).</t>
        </is>
      </c>
      <c r="G13" s="24" t="inlineStr">
        <is>
          <t>قطاع الخوادم وحلول التخزين والبنية التحتية</t>
        </is>
      </c>
      <c r="H13" s="12" t="inlineStr">
        <is>
          <t>85.0%</t>
        </is>
      </c>
      <c r="I13" s="12" t="inlineStr">
        <is>
          <t>defense_and_security</t>
        </is>
      </c>
      <c r="J13" s="12" t="inlineStr">
        <is>
          <t>2026-09-27</t>
        </is>
      </c>
      <c r="K13" s="12" t="inlineStr">
        <is>
          <t>2026-10-25</t>
        </is>
      </c>
      <c r="L13" s="12" t="inlineStr">
        <is>
          <t>5000.0 KWD</t>
        </is>
      </c>
      <c r="M13" s="12" t="inlineStr">
        <is>
          <t>150.0 KWD</t>
        </is>
      </c>
      <c r="N13" s="21" t="inlineStr">
        <is>
          <t>UPDATED</t>
        </is>
      </c>
      <c r="O13" s="12" t="inlineStr">
        <is>
          <t>موصى بالتقديم</t>
        </is>
      </c>
      <c r="P13" s="23">
        <f>HYPERLINK("https://kuwaitalyawm.media.gov.kw/Online/ViewAdsHTML?id=171540&amp;no=1", "عرض المصدر")</f>
        <v/>
      </c>
    </row>
    <row r="14">
      <c r="A14" s="13" t="inlineStr">
        <is>
          <t>24141071967826</t>
        </is>
      </c>
      <c r="B14" s="13" t="inlineStr">
        <is>
          <t>وزارة الدفاع</t>
        </is>
      </c>
      <c r="C14" s="13" t="inlineStr">
        <is>
          <t>Eiman Ashkanani</t>
        </is>
      </c>
      <c r="D14" s="13" t="inlineStr">
        <is>
          <t>ممارسة رقم 24141071967826: إعادة طرح توريد أجهزة تلفزيون لزوم / هيئة الإمداد والتموين</t>
        </is>
      </c>
      <c r="E14" s="13" t="inlineStr">
        <is>
          <t>تنفيذ أعمال إعادة طرح توريد أجهزة تلفزيون لزوم / هيئة الإمداد والتموين، وتوفير كافة الأجهزة والمعدات والأنظمة وخدمات الدعم الفني والضمان وفقاً لكراسة الشروط والمواصفات الفنية.</t>
        </is>
      </c>
      <c r="F14" s="13" t="inlineStr">
        <is>
          <t>• تقديم صورة عن كارت التسجيل لدى وزارة الدفاع / إدارة المشتريات والعقود المحلية للعام 2026.
• تقديم كتاب تفويض من الشركة بشـراء الوثائق.
• ان تكون الشركة متخصصة في هذا المجال ومصنفة لدى مراقبة تصنيف الشركات بالوزارة.
• تقديم صورة عن شهادة دعم العمالة الوطنية لدى الشركات غير الحكومية (السنوية ).
• تقديم كتاب رسمي لأية استفسارات يكون في خلال ( أسبوع واحـد ) من تاريخ نشـر الإعلان .
• سداد الرسوم المقررة لشراء وثائق الممارسة عن طريق (K. NET).</t>
        </is>
      </c>
      <c r="G14" s="14" t="inlineStr">
        <is>
          <t>عام</t>
        </is>
      </c>
      <c r="H14" s="14" t="inlineStr">
        <is>
          <t>15.0%</t>
        </is>
      </c>
      <c r="I14" s="14" t="inlineStr">
        <is>
          <t>defense_and_security</t>
        </is>
      </c>
      <c r="J14" s="14" t="inlineStr">
        <is>
          <t>2026-09-27</t>
        </is>
      </c>
      <c r="K14" s="14" t="inlineStr">
        <is>
          <t>-</t>
        </is>
      </c>
      <c r="L14" s="14" t="inlineStr">
        <is>
          <t>-</t>
        </is>
      </c>
      <c r="M14" s="14" t="inlineStr">
        <is>
          <t>-</t>
        </is>
      </c>
      <c r="N14" s="26" t="inlineStr">
        <is>
          <t>UNCHANGED</t>
        </is>
      </c>
      <c r="O14" s="14" t="inlineStr">
        <is>
          <t>غير متوافقة مع اختصاصات KBM</t>
        </is>
      </c>
      <c r="P14" s="22">
        <f>HYPERLINK("https://kuwaitalyawm.media.gov.kw/Online/ViewAdsHTML?id=171539&amp;no=1", "عرض المصدر")</f>
        <v/>
      </c>
    </row>
    <row r="15">
      <c r="A15" s="11" t="inlineStr">
        <is>
          <t>2414/109/20167/26</t>
        </is>
      </c>
      <c r="B15" s="11" t="inlineStr">
        <is>
          <t>وزارة الدفاع</t>
        </is>
      </c>
      <c r="C15" s="11" t="inlineStr">
        <is>
          <t>Eiman Ashkanani</t>
        </is>
      </c>
      <c r="D15" s="11" t="inlineStr">
        <is>
          <t>ممارسة رقم 24141092016726: الطلبية العامة لشراء مواد المطبخ</t>
        </is>
      </c>
      <c r="E15" s="11" t="inlineStr">
        <is>
          <t>أعمال وتوريدات الطلبية العامة لشراء مواد المطبخ لصالح وزارة الدفاع وفقاً للشروط والمواصفات المعتمدة في وثائق الطرح.</t>
        </is>
      </c>
      <c r="F15" s="11" t="inlineStr">
        <is>
          <t>• 1. تقديم صورة عن كرت التسجيل لدى وزارة الدفاع / ادارة المشتريات والعقود المحلية للعام 2026.
• 2. تقديم كتاب تفويض من الشركة بشراء الوثائق.
• 3. ان تكون الشركة متخصصة في هذا المجال ومصنفة لدى مراقبة تصنيف الشركات بالوزارة.
• 4. تقديم صورة عن شهادة دعم العمالة الوطنية لدى الشركات غير الحكومية ( السنوية ).
• 5. تقديم كتاب رسمي لأية استفسارات يكون في خلال ( أسبوع واحد ) من تاريخ نشر الإعلان .
• 6. سداد الرسوم المقررة لشراء وثائق الممارسة عن طريق (K. NET).</t>
        </is>
      </c>
      <c r="G15" s="12" t="inlineStr">
        <is>
          <t>عام</t>
        </is>
      </c>
      <c r="H15" s="12" t="inlineStr">
        <is>
          <t>15.0%</t>
        </is>
      </c>
      <c r="I15" s="12" t="inlineStr">
        <is>
          <t>defense_and_security</t>
        </is>
      </c>
      <c r="J15" s="12" t="inlineStr">
        <is>
          <t>2026-09-13</t>
        </is>
      </c>
      <c r="K15" s="18" t="inlineStr">
        <is>
          <t>2026-10-15</t>
        </is>
      </c>
      <c r="L15" s="12" t="inlineStr">
        <is>
          <t>2000.0 KWD</t>
        </is>
      </c>
      <c r="M15" s="12" t="inlineStr">
        <is>
          <t>75.0 KWD</t>
        </is>
      </c>
      <c r="N15" s="21" t="inlineStr">
        <is>
          <t>UPDATED</t>
        </is>
      </c>
      <c r="O15" s="12" t="inlineStr">
        <is>
          <t>غير متوافقة مع اختصاصات KBM</t>
        </is>
      </c>
      <c r="P15" s="23">
        <f>HYPERLINK("https://kuwaitalyawm.media.gov.kw/Online/ViewAdsHTML?id=171538&amp;no=1", "عرض المصدر")</f>
        <v/>
      </c>
    </row>
    <row r="16">
      <c r="A16" s="13" t="inlineStr">
        <is>
          <t>241717263</t>
        </is>
      </c>
      <c r="B16" s="13" t="inlineStr">
        <is>
          <t>وزارة الدفاع</t>
        </is>
      </c>
      <c r="C16" s="13" t="inlineStr">
        <is>
          <t>Eiman Ashkanani</t>
        </is>
      </c>
      <c r="D16" s="13" t="inlineStr">
        <is>
          <t>توريد زيت نباتي (ذرة) - لزوم / وحدات الجيش</t>
        </is>
      </c>
      <c r="E16" s="13" t="inlineStr">
        <is>
          <t>أعمال وتوريدات توريد زيت نباتي (ذرة) - لزوم / وحدات الجيش لصالح وزارة الدفاع وفقاً للشروط والمواصفات المعتمدة في وثائق الطرح.</t>
        </is>
      </c>
      <c r="F1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6" s="14" t="inlineStr">
        <is>
          <t>عام</t>
        </is>
      </c>
      <c r="H16" s="14" t="inlineStr">
        <is>
          <t>0.0%</t>
        </is>
      </c>
      <c r="I16" s="14" t="inlineStr">
        <is>
          <t>defense_and_security</t>
        </is>
      </c>
      <c r="J16" s="14" t="inlineStr">
        <is>
          <t>2026-08-30</t>
        </is>
      </c>
      <c r="K16" s="14" t="inlineStr">
        <is>
          <t>2026-11-24</t>
        </is>
      </c>
      <c r="L16" s="14" t="inlineStr">
        <is>
          <t>15000.000 KWD</t>
        </is>
      </c>
      <c r="M16" s="14" t="inlineStr">
        <is>
          <t>1000.000 KWD</t>
        </is>
      </c>
      <c r="N16" s="25" t="inlineStr">
        <is>
          <t>NEW</t>
        </is>
      </c>
      <c r="O16" s="14" t="inlineStr">
        <is>
          <t>غير متوافقة مع اختصاصات KBM</t>
        </is>
      </c>
      <c r="P16" s="22">
        <f>HYPERLINK("https://capt.gov.kw/ar/tenders/opening-tenders/#card-4", "عرض المصدر")</f>
        <v/>
      </c>
    </row>
    <row r="17">
      <c r="A17" s="11" t="inlineStr">
        <is>
          <t>2027/2026/2</t>
        </is>
      </c>
      <c r="B17" s="11" t="inlineStr">
        <is>
          <t>الهيئة العامة للتعليم التطبيقي والتدريب</t>
        </is>
      </c>
      <c r="C17" s="11" t="inlineStr">
        <is>
          <t>Eiman Ashkanani</t>
        </is>
      </c>
      <c r="D17" s="11" t="inlineStr">
        <is>
          <t>ممارسة رقم 2027/2026/2 - الهيئة العامة للتعليم التطبيقي والتدريب (العدد 1810)</t>
        </is>
      </c>
      <c r="E17" s="11" t="inlineStr">
        <is>
          <t>توريد المستلزمات والمواد والمستهلكات الطبية أو المخبرية المتخصصة لصالح المرافق الصحية.</t>
        </is>
      </c>
      <c r="F1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7" s="12" t="inlineStr">
        <is>
          <t>عام</t>
        </is>
      </c>
      <c r="H17" s="12" t="inlineStr">
        <is>
          <t>0.0%</t>
        </is>
      </c>
      <c r="I17" s="12" t="inlineStr">
        <is>
          <t>education_and_research</t>
        </is>
      </c>
      <c r="J17" s="12" t="inlineStr">
        <is>
          <t>2026-09-27</t>
        </is>
      </c>
      <c r="K17" s="12" t="inlineStr">
        <is>
          <t>-</t>
        </is>
      </c>
      <c r="L17" s="12" t="inlineStr">
        <is>
          <t>-</t>
        </is>
      </c>
      <c r="M17" s="12" t="inlineStr">
        <is>
          <t>75.0 KWD</t>
        </is>
      </c>
      <c r="N17" s="21" t="inlineStr">
        <is>
          <t>UPDATED</t>
        </is>
      </c>
      <c r="O17" s="12" t="inlineStr">
        <is>
          <t>غير متوافقة مع اختصاصات KBM</t>
        </is>
      </c>
      <c r="P17" s="23">
        <f>HYPERLINK("https://kuwaitalyawm.media.gov.kw/Online/ViewAdsHTML?id=171678&amp;no=1", "عرض المصدر")</f>
        <v/>
      </c>
    </row>
    <row r="18">
      <c r="A18" s="13" t="inlineStr">
        <is>
          <t>2027/2026/17</t>
        </is>
      </c>
      <c r="B18" s="13" t="inlineStr">
        <is>
          <t>الهيئة العامة للتعليم التطبيقي والتدريب</t>
        </is>
      </c>
      <c r="C18" s="13" t="inlineStr">
        <is>
          <t>Eiman Ashkanani</t>
        </is>
      </c>
      <c r="D18" s="13" t="inlineStr">
        <is>
          <t>ممارسة رقم 2027/2026/17 - الهيئة العامة للتعليم التطبيقي والتدريب (العدد 1810)</t>
        </is>
      </c>
      <c r="E18" s="13" t="inlineStr">
        <is>
          <t>توريد المستلزمات والمواد والمستهلكات الطبية أو المخبرية المتخصصة لصالح المرافق الصحية.</t>
        </is>
      </c>
      <c r="F1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8" s="14" t="inlineStr">
        <is>
          <t>عام</t>
        </is>
      </c>
      <c r="H18" s="14" t="inlineStr">
        <is>
          <t>0.0%</t>
        </is>
      </c>
      <c r="I18" s="14" t="inlineStr">
        <is>
          <t>education_and_research</t>
        </is>
      </c>
      <c r="J18" s="14" t="inlineStr">
        <is>
          <t>2026-09-27</t>
        </is>
      </c>
      <c r="K18" s="14" t="inlineStr">
        <is>
          <t>-</t>
        </is>
      </c>
      <c r="L18" s="14" t="inlineStr">
        <is>
          <t>-</t>
        </is>
      </c>
      <c r="M18" s="14" t="inlineStr">
        <is>
          <t>75.0 KWD</t>
        </is>
      </c>
      <c r="N18" s="21" t="inlineStr">
        <is>
          <t>UPDATED</t>
        </is>
      </c>
      <c r="O18" s="14" t="inlineStr">
        <is>
          <t>غير متوافقة مع اختصاصات KBM</t>
        </is>
      </c>
      <c r="P18" s="22">
        <f>HYPERLINK("https://kuwaitalyawm.media.gov.kw/Online/ViewAdsHTML?id=171680&amp;no=1", "عرض المصدر")</f>
        <v/>
      </c>
    </row>
    <row r="19">
      <c r="A19" s="11" t="inlineStr">
        <is>
          <t>2027/2026/27</t>
        </is>
      </c>
      <c r="B19" s="11" t="inlineStr">
        <is>
          <t>الهيئة العامة للتعليم التطبيقي والتدريب</t>
        </is>
      </c>
      <c r="C19" s="11" t="inlineStr">
        <is>
          <t>Eiman Ashkanani</t>
        </is>
      </c>
      <c r="D19" s="11" t="inlineStr">
        <is>
          <t>ممارسة رقم 2027/2026/27: على الشركات والمؤسسات الراغبة في الاشتراك في هذه الممارسة مراجعة موقع الهيئة العامة للتعليم التطبيقي والتدريب الالكتروني (www.paaet.edu.kw) وذلك لشراء عطاء الممارسـة المـــدرجـــة ضمن الخدمات الالكترونية رقــــم (8) وتسليم العطاءات في مقر الهيئة الجديد الكائن في منطقة الشويخ التعليمية الدور السابع - إدارة التوريدات خــلال أسبوعـــــين مقابل رســـوم قـدرهـا (75 د.ك ) لا ترد.</t>
        </is>
      </c>
      <c r="E19" s="11" t="inlineStr">
        <is>
          <t>تنفيذ أعمال على الشركات والمؤسسات الراغبة في الاشتراك في هذه الممارسة مراجعة موقع الهيئة العامة للتعليم التطبيقي والتدريب الالكتروني (www.paaet.edu.kw) وذلك لشراء عطاء الممارسـة المـــدرجـــة ضمن الخدمات الالكترونية رقــــم (8) وتسليم العطاءات في مقر الهيئة الجديد الكائن في منطقة الشويخ التعليمية الدور السابع، وتوفير كافة الأجهزة والمعدات والأنظمة وخدمات الدعم الفني والضمان وفقاً لكراسة الشروط والمواصفات الفنية.</t>
        </is>
      </c>
      <c r="F1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9" s="12" t="inlineStr">
        <is>
          <t>عام</t>
        </is>
      </c>
      <c r="H19" s="12" t="inlineStr">
        <is>
          <t>0.0%</t>
        </is>
      </c>
      <c r="I19" s="12" t="inlineStr">
        <is>
          <t>education_and_research</t>
        </is>
      </c>
      <c r="J19" s="12" t="inlineStr">
        <is>
          <t>2026-09-27</t>
        </is>
      </c>
      <c r="K19" s="12" t="inlineStr">
        <is>
          <t>-</t>
        </is>
      </c>
      <c r="L19" s="12" t="inlineStr">
        <is>
          <t>-</t>
        </is>
      </c>
      <c r="M19" s="12" t="inlineStr">
        <is>
          <t>75.0 KWD</t>
        </is>
      </c>
      <c r="N19" s="21" t="inlineStr">
        <is>
          <t>UPDATED</t>
        </is>
      </c>
      <c r="O19" s="12" t="inlineStr">
        <is>
          <t>غير متوافقة مع اختصاصات KBM</t>
        </is>
      </c>
      <c r="P19" s="23">
        <f>HYPERLINK("https://kuwaitalyawm.media.gov.kw/Online/ViewAdsHTML?id=171681&amp;no=1", "عرض المصدر")</f>
        <v/>
      </c>
    </row>
    <row r="20">
      <c r="A20" s="13" t="inlineStr">
        <is>
          <t>2027/2026/38</t>
        </is>
      </c>
      <c r="B20" s="13" t="inlineStr">
        <is>
          <t>الهيئة العامة للتعليم التطبيقي والتدريب</t>
        </is>
      </c>
      <c r="C20" s="13" t="inlineStr">
        <is>
          <t>Eiman Ashkanani</t>
        </is>
      </c>
      <c r="D20" s="13" t="inlineStr">
        <is>
          <t>ممارسة رقم 2027/2026/38: على الشركات والمؤسسات الراغبة في الاشتراك في هذه الممارسة مراجعة موقع الهيئة العامة للتعليم التطبيقي والتدريب الالكتروني (WWW.Paaet.edu.kw) وذلك لشراء عطاء الممارسـة المـــدرجـــة ضمن الخدمات الالكترونية (خدمات عامة) وتسليم العطاءات في مقر الهيئة الجديد الكائن في منطقة الشويخ التعليمية الدور السابع - إدارة التوريدات خــلال أسبوعـــــين مقابل رســـوم قـدرهـا (75 د.ك ) لا ترد.</t>
        </is>
      </c>
      <c r="E20" s="13" t="inlineStr">
        <is>
          <t>تنفيذ أعمال على الشركات والمؤسسات الراغبة في الاشتراك في هذه الممارسة مراجعة موقع الهيئة العامة للتعليم التطبيقي والتدريب الالكتروني (WWW.Paaet.edu.kw) وذلك لشراء عطاء الممارسـة المـــدرجـــة ضمن الخدمات الالكترونية (خدمات عامة) وتسليم العطاءات في مقر الهيئة الجديد الكائن في منطقة الشويخ التعليمية الدور السابع، وتوفير كافة الأجهزة والمعدات والأنظمة وخدمات الدعم الفني والضمان وفقاً لكراسة الشروط والمواصفات الفنية.</t>
        </is>
      </c>
      <c r="F2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0" s="24" t="inlineStr">
        <is>
          <t>عام</t>
        </is>
      </c>
      <c r="H20" s="14" t="inlineStr">
        <is>
          <t>24.0%</t>
        </is>
      </c>
      <c r="I20" s="14" t="inlineStr">
        <is>
          <t>education_and_research</t>
        </is>
      </c>
      <c r="J20" s="14" t="inlineStr">
        <is>
          <t>2026-09-27</t>
        </is>
      </c>
      <c r="K20" s="14" t="inlineStr">
        <is>
          <t>-</t>
        </is>
      </c>
      <c r="L20" s="14" t="inlineStr">
        <is>
          <t>-</t>
        </is>
      </c>
      <c r="M20" s="14" t="inlineStr">
        <is>
          <t>75.0 KWD</t>
        </is>
      </c>
      <c r="N20" s="21" t="inlineStr">
        <is>
          <t>UPDATED</t>
        </is>
      </c>
      <c r="O20" s="14" t="inlineStr">
        <is>
          <t>غير متوافقة مع اختصاصات KBM</t>
        </is>
      </c>
      <c r="P20" s="22">
        <f>HYPERLINK("https://kuwaitalyawm.media.gov.kw/Online/ViewAdsHTML?id=171682&amp;no=1", "عرض المصدر")</f>
        <v/>
      </c>
    </row>
    <row r="21">
      <c r="A21" s="11" t="inlineStr">
        <is>
          <t>2027/2026/40</t>
        </is>
      </c>
      <c r="B21" s="11" t="inlineStr">
        <is>
          <t>الهيئة العامة للتعليم التطبيقي والتدريب</t>
        </is>
      </c>
      <c r="C21" s="11" t="inlineStr">
        <is>
          <t>Eiman Ashkanani</t>
        </is>
      </c>
      <c r="D21" s="11" t="inlineStr">
        <is>
          <t>ممارسة رقم 2027/2026/40: على الشركات والمؤسسات الراغبة في الاشتراك في هذه الممارسة مراجعة موقع الهيئة العامة للتعليم التطبيقي والتدريب الالكتروني (WWW.Paaet.edu.kw) وذلك لشراء عطاء الممارسـة المـــدرجـــة ضمن الخدمات الالكترونية (خدمات عامة) وتسليم العطاءات في مقر الهيئة الجديد الكائن في منطقة الشويخ التعليمية الدور السابع - إدارة التوريدات خــلال أسبوعـــــين مقابل رســـوم قـدرهـا (75 د.ك ) لا ترد.</t>
        </is>
      </c>
      <c r="E21" s="11" t="inlineStr">
        <is>
          <t>تنفيذ أعمال على الشركات والمؤسسات الراغبة في الاشتراك في هذه الممارسة مراجعة موقع الهيئة العامة للتعليم التطبيقي والتدريب الالكتروني (WWW.Paaet.edu.kw) وذلك لشراء عطاء الممارسـة المـــدرجـــة ضمن الخدمات الالكترونية (خدمات عامة) وتسليم العطاءات في مقر الهيئة الجديد الكائن في منطقة الشويخ التعليمية الدور السابع، وتوفير كافة الأجهزة والمعدات والأنظمة وخدمات الدعم الفني والضمان وفقاً لكراسة الشروط والمواصفات الفنية.</t>
        </is>
      </c>
      <c r="F2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1" s="24" t="inlineStr">
        <is>
          <t>عام</t>
        </is>
      </c>
      <c r="H21" s="12" t="inlineStr">
        <is>
          <t>24.0%</t>
        </is>
      </c>
      <c r="I21" s="12" t="inlineStr">
        <is>
          <t>education_and_research</t>
        </is>
      </c>
      <c r="J21" s="12" t="inlineStr">
        <is>
          <t>2026-09-27</t>
        </is>
      </c>
      <c r="K21" s="12" t="inlineStr">
        <is>
          <t>-</t>
        </is>
      </c>
      <c r="L21" s="12" t="inlineStr">
        <is>
          <t>-</t>
        </is>
      </c>
      <c r="M21" s="12" t="inlineStr">
        <is>
          <t>75.0 KWD</t>
        </is>
      </c>
      <c r="N21" s="21" t="inlineStr">
        <is>
          <t>UPDATED</t>
        </is>
      </c>
      <c r="O21" s="12" t="inlineStr">
        <is>
          <t>غير متوافقة مع اختصاصات KBM</t>
        </is>
      </c>
      <c r="P21" s="23">
        <f>HYPERLINK("https://kuwaitalyawm.media.gov.kw/Online/ViewAdsHTML?id=171683&amp;no=1", "عرض المصدر")</f>
        <v/>
      </c>
    </row>
    <row r="22">
      <c r="A22" s="13" t="inlineStr">
        <is>
          <t>2027/2026/43</t>
        </is>
      </c>
      <c r="B22" s="13" t="inlineStr">
        <is>
          <t>الهيئة العامة للتعليم التطبيقي والتدريب</t>
        </is>
      </c>
      <c r="C22" s="13" t="inlineStr">
        <is>
          <t>Eiman Ashkanani</t>
        </is>
      </c>
      <c r="D22" s="13" t="inlineStr">
        <is>
          <t>ممارسة رقم 2027/2026/43 - الهيئة العامة للتعليم التطبيقي والتدريب (العدد 1810)</t>
        </is>
      </c>
      <c r="E22" s="13" t="inlineStr">
        <is>
          <t>توريد المستلزمات والمواد والمستهلكات الطبية أو المخبرية المتخصصة لصالح المرافق الصحية.</t>
        </is>
      </c>
      <c r="F2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2" s="14" t="inlineStr">
        <is>
          <t>عام</t>
        </is>
      </c>
      <c r="H22" s="14" t="inlineStr">
        <is>
          <t>0.0%</t>
        </is>
      </c>
      <c r="I22" s="14" t="inlineStr">
        <is>
          <t>education_and_research</t>
        </is>
      </c>
      <c r="J22" s="14" t="inlineStr">
        <is>
          <t>2026-09-27</t>
        </is>
      </c>
      <c r="K22" s="14" t="inlineStr">
        <is>
          <t>-</t>
        </is>
      </c>
      <c r="L22" s="14" t="inlineStr">
        <is>
          <t>-</t>
        </is>
      </c>
      <c r="M22" s="14" t="inlineStr">
        <is>
          <t>75.0 KWD</t>
        </is>
      </c>
      <c r="N22" s="21" t="inlineStr">
        <is>
          <t>UPDATED</t>
        </is>
      </c>
      <c r="O22" s="14" t="inlineStr">
        <is>
          <t>غير متوافقة مع اختصاصات KBM</t>
        </is>
      </c>
      <c r="P22" s="22">
        <f>HYPERLINK("https://kuwaitalyawm.media.gov.kw/Online/ViewAdsHTML?id=171684&amp;no=1", "عرض المصدر")</f>
        <v/>
      </c>
    </row>
    <row r="23">
      <c r="A23" s="11" t="inlineStr">
        <is>
          <t>هـ ع / ش أ م / 4/2026/2027</t>
        </is>
      </c>
      <c r="B23" s="11" t="inlineStr">
        <is>
          <t>الهيئة العامة للتعليم التطبيقي والتدريب</t>
        </is>
      </c>
      <c r="C23" s="11" t="inlineStr">
        <is>
          <t>Eiman Ashkanani</t>
        </is>
      </c>
      <c r="D23" s="11" t="inlineStr">
        <is>
          <t>توفير خدمة الانترنت و نقل المعلومات internet - wan للهيئة العامة للتعليم التطبيقي و التدريب</t>
        </is>
      </c>
      <c r="E23" s="11" t="inlineStr">
        <is>
          <t>تنفيذ أعمال توفير خدمة الانترنت و نقل المعلومات internet - wan للهيئة العامة للتعليم التطبيقي و التدريب، وتوفير كافة الأجهزة والمعدات والأنظمة وخدمات الدعم الفني والضمان وفقاً لكراسة الشروط والمواصفات الفنية.</t>
        </is>
      </c>
      <c r="F2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3" s="12" t="inlineStr">
        <is>
          <t>قطاع العمليات المدارة والدعم الفني متعدد الموردين</t>
        </is>
      </c>
      <c r="H23" s="12" t="inlineStr">
        <is>
          <t>49.0%</t>
        </is>
      </c>
      <c r="I23" s="12" t="inlineStr">
        <is>
          <t>education_and_research</t>
        </is>
      </c>
      <c r="J23" s="12" t="inlineStr">
        <is>
          <t>2026-09-06</t>
        </is>
      </c>
      <c r="K23" s="12" t="inlineStr">
        <is>
          <t>2026-11-03</t>
        </is>
      </c>
      <c r="L23" s="12" t="inlineStr">
        <is>
          <t>6000.000 KWD</t>
        </is>
      </c>
      <c r="M23" s="12" t="inlineStr">
        <is>
          <t>300.000 KWD</t>
        </is>
      </c>
      <c r="N23" s="26" t="inlineStr">
        <is>
          <t>UNCHANGED</t>
        </is>
      </c>
      <c r="O23" s="12" t="inlineStr">
        <is>
          <t>فرصة تتطلب شراكة أو دراسة نطاق</t>
        </is>
      </c>
      <c r="P23" s="23">
        <f>HYPERLINK("https://capt.gov.kw/ar/tenders/opening-tenders/#card-8", "عرض المصدر")</f>
        <v/>
      </c>
    </row>
    <row r="24">
      <c r="A24" s="13" t="inlineStr">
        <is>
          <t>72-516</t>
        </is>
      </c>
      <c r="B24" s="13" t="inlineStr">
        <is>
          <t>جامعة الكويت</t>
        </is>
      </c>
      <c r="C24" s="13" t="inlineStr">
        <is>
          <t>Eiman Ashkanani</t>
        </is>
      </c>
      <c r="D24" s="13" t="inlineStr">
        <is>
          <t>ممارسة رقم 72/2026-2027: صيانة أجهزة التعرف على الوجه والأجهزة العلمية بمراكز عمل جامعة الكويت</t>
        </is>
      </c>
      <c r="E24" s="13" t="inlineStr">
        <is>
          <t>صيانة دورية ودعم فني لأجهزة التحقق البيومتري والتعرف على الوجه (Face Recognition Systems) والأجهزة التابعة لها بجامعة الكويت.</t>
        </is>
      </c>
      <c r="F24" s="13" t="inlineStr">
        <is>
          <t>• بيع الوثائق 75 د.ك، تأمين أولي 2% من قيمة العطاء، إغلاق 20/10/2026 بمقر الجامعة بالشدادية.</t>
        </is>
      </c>
      <c r="G24" s="24" t="inlineStr">
        <is>
          <t>قطاع الأمن السيبراني والدفاع الرقمي</t>
        </is>
      </c>
      <c r="H24" s="14" t="inlineStr">
        <is>
          <t>55.0%</t>
        </is>
      </c>
      <c r="I24" s="14" t="inlineStr">
        <is>
          <t>education_and_research</t>
        </is>
      </c>
      <c r="J24" s="14" t="inlineStr">
        <is>
          <t>2026-09-27</t>
        </is>
      </c>
      <c r="K24" s="18" t="inlineStr">
        <is>
          <t>2026-10-20</t>
        </is>
      </c>
      <c r="L24" s="14" t="inlineStr">
        <is>
          <t>2000.0 KWD</t>
        </is>
      </c>
      <c r="M24" s="14" t="inlineStr">
        <is>
          <t>75.0 KWD</t>
        </is>
      </c>
      <c r="N24" s="21" t="inlineStr">
        <is>
          <t>UPDATED</t>
        </is>
      </c>
      <c r="O24" s="14" t="inlineStr">
        <is>
          <t>فرصة محتملة</t>
        </is>
      </c>
      <c r="P24" s="22">
        <f>HYPERLINK("https://kuwaitalyawm.media.gov.kw/Online/ViewAdsHTML?id=171702&amp;no=1", "عرض المصدر")</f>
        <v/>
      </c>
    </row>
    <row r="25">
      <c r="A25" s="11" t="inlineStr">
        <is>
          <t>2027/2026/536</t>
        </is>
      </c>
      <c r="B25" s="11" t="inlineStr">
        <is>
          <t>جامعة الكويت</t>
        </is>
      </c>
      <c r="C25" s="11" t="inlineStr">
        <is>
          <t>Eiman Ashkanani</t>
        </is>
      </c>
      <c r="D25" s="11" t="inlineStr">
        <is>
          <t>ممارسة رقم 2027/2026/536 - جامعة الكويت (العدد 1810)</t>
        </is>
      </c>
      <c r="E25" s="11" t="inlineStr">
        <is>
          <t>أعمال وتوريدات ممارسة رقم 2027/2026/536 لصالح جامعة الكويت وفقاً للشروط والمواصفات المعتمدة في وثائق الطرح.</t>
        </is>
      </c>
      <c r="F2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5" s="24" t="inlineStr">
        <is>
          <t>عام</t>
        </is>
      </c>
      <c r="H25" s="12" t="inlineStr">
        <is>
          <t>15.0%</t>
        </is>
      </c>
      <c r="I25" s="12" t="inlineStr">
        <is>
          <t>education_and_research</t>
        </is>
      </c>
      <c r="J25" s="12" t="inlineStr">
        <is>
          <t>2026-09-27</t>
        </is>
      </c>
      <c r="K25" s="12" t="inlineStr">
        <is>
          <t>2026-10-27</t>
        </is>
      </c>
      <c r="L25" s="12" t="inlineStr">
        <is>
          <t>2.0 KWD</t>
        </is>
      </c>
      <c r="M25" s="12" t="inlineStr">
        <is>
          <t>75.0 KWD</t>
        </is>
      </c>
      <c r="N25" s="21" t="inlineStr">
        <is>
          <t>UPDATED</t>
        </is>
      </c>
      <c r="O25" s="12" t="inlineStr">
        <is>
          <t>غير متوافقة مع اختصاصات KBM</t>
        </is>
      </c>
      <c r="P25" s="23">
        <f>HYPERLINK("https://kuwaitalyawm.media.gov.kw/Online/ViewAdsHTML?id=171703&amp;no=1", "عرض المصدر")</f>
        <v/>
      </c>
    </row>
    <row r="26">
      <c r="A26" s="13" t="inlineStr">
        <is>
          <t>2027/2026/537</t>
        </is>
      </c>
      <c r="B26" s="13" t="inlineStr">
        <is>
          <t>جامعة الكويت</t>
        </is>
      </c>
      <c r="C26" s="13" t="inlineStr">
        <is>
          <t>Eiman Ashkanani</t>
        </is>
      </c>
      <c r="D26" s="13" t="inlineStr">
        <is>
          <t>ممارسة رقم 2027/2026/537 - جامعة الكويت (العدد 1810)</t>
        </is>
      </c>
      <c r="E26" s="13" t="inlineStr">
        <is>
          <t>أعمال وتوريدات ممارسة رقم 2027/2026/537 لصالح جامعة الكويت وفقاً للشروط والمواصفات المعتمدة في وثائق الطرح.</t>
        </is>
      </c>
      <c r="F2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6" s="24" t="inlineStr">
        <is>
          <t>عام</t>
        </is>
      </c>
      <c r="H26" s="14" t="inlineStr">
        <is>
          <t>15.0%</t>
        </is>
      </c>
      <c r="I26" s="14" t="inlineStr">
        <is>
          <t>education_and_research</t>
        </is>
      </c>
      <c r="J26" s="14" t="inlineStr">
        <is>
          <t>2026-09-27</t>
        </is>
      </c>
      <c r="K26" s="14" t="inlineStr">
        <is>
          <t>2026-10-27</t>
        </is>
      </c>
      <c r="L26" s="14" t="inlineStr">
        <is>
          <t>2000.0 KWD</t>
        </is>
      </c>
      <c r="M26" s="14" t="inlineStr">
        <is>
          <t>75.0 KWD</t>
        </is>
      </c>
      <c r="N26" s="21" t="inlineStr">
        <is>
          <t>UPDATED</t>
        </is>
      </c>
      <c r="O26" s="14" t="inlineStr">
        <is>
          <t>غير متوافقة مع اختصاصات KBM</t>
        </is>
      </c>
      <c r="P26" s="22">
        <f>HYPERLINK("https://kuwaitalyawm.media.gov.kw/Online/ViewAdsHTML?id=171704&amp;no=1", "عرض المصدر")</f>
        <v/>
      </c>
    </row>
    <row r="27">
      <c r="A27" s="11" t="inlineStr">
        <is>
          <t>14/2024/2025</t>
        </is>
      </c>
      <c r="B27" s="11" t="inlineStr">
        <is>
          <t>جامعة عبدالله السالم</t>
        </is>
      </c>
      <c r="C27" s="11" t="inlineStr">
        <is>
          <t>Eiman Ashkanani</t>
        </is>
      </c>
      <c r="D27" s="11" t="inlineStr">
        <is>
          <t>إحلال وصيانة وتشغيل وحدات مناولة الهواء وضواغط التكييف لمباني ( 11،2،10،35،31،32،12) بالخالدية</t>
        </is>
      </c>
      <c r="E27" s="11" t="inlineStr">
        <is>
          <t>أعمال صيانة وتشغيل وإصلاح وحدات ومحطات التكييف المركزي والمبردات وضواغط الهواء وشبكات مجاري الهواء.</t>
        </is>
      </c>
      <c r="F2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7" s="12" t="inlineStr">
        <is>
          <t>عام</t>
        </is>
      </c>
      <c r="H27" s="12" t="inlineStr">
        <is>
          <t>15.0%</t>
        </is>
      </c>
      <c r="I27" s="12" t="inlineStr">
        <is>
          <t>education_and_research</t>
        </is>
      </c>
      <c r="J27" s="12" t="inlineStr">
        <is>
          <t>سبتمبر 27, 2026</t>
        </is>
      </c>
      <c r="K27" s="12" t="inlineStr">
        <is>
          <t>2026-10-27</t>
        </is>
      </c>
      <c r="L27" s="12" t="inlineStr">
        <is>
          <t>6000.000 KWD</t>
        </is>
      </c>
      <c r="M27" s="12" t="inlineStr">
        <is>
          <t>300.000 KWD</t>
        </is>
      </c>
      <c r="N27" s="26" t="inlineStr">
        <is>
          <t>UNCHANGED</t>
        </is>
      </c>
      <c r="O27" s="12" t="inlineStr">
        <is>
          <t>غير متوافقة مع اختصاصات KBM</t>
        </is>
      </c>
      <c r="P27" s="23">
        <f>HYPERLINK("https://capt.gov.kw/ar/tenders/opening-tenders/#card-1", "عرض المصدر")</f>
        <v/>
      </c>
    </row>
    <row r="28">
      <c r="A28" s="13" t="inlineStr">
        <is>
          <t>2027/2026/84</t>
        </is>
      </c>
      <c r="B28" s="13" t="inlineStr">
        <is>
          <t>معهد الكويت للأبحاث العلمية</t>
        </is>
      </c>
      <c r="C28" s="13" t="inlineStr">
        <is>
          <t>Eiman Ashkanani</t>
        </is>
      </c>
      <c r="D28" s="13" t="inlineStr">
        <is>
          <t>ممارسة رقم 2027/2026/84: يعلن معهد الكويت للأبحـاث العلمية عن طـــرح الممارسة رقم 84-M-2026/2027 توريد جهاز تحليل دم آلي بيطري 6 أجزاء لعينات الدواجن والثديات، ويمكن الحصول على وثائق الممارسة من موقع المعهد التالي:</t>
        </is>
      </c>
      <c r="E28" s="13" t="inlineStr">
        <is>
          <t>أعمال وتوريدات يعلن معهد الكويت للأبحـاث العلمية عن طـــرح الممارسة رقم 84-M-2026/2027 توريد جهاز تحليل دم آلي بيطري 6 أجزاء لعينات الدواجن والثديات، ويمكن الحصول على وثائق الممارسة من موقع المعهد التالي: لصالح معهد الكـويت للابحاث العلمية وفقاً للشروط والمواصفات المعتمدة في وثائق الطرح.</t>
        </is>
      </c>
      <c r="F2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8" s="14" t="inlineStr">
        <is>
          <t>عام</t>
        </is>
      </c>
      <c r="H28" s="14" t="inlineStr">
        <is>
          <t>0.0%</t>
        </is>
      </c>
      <c r="I28" s="14" t="inlineStr">
        <is>
          <t>education_and_research</t>
        </is>
      </c>
      <c r="J28" s="14" t="inlineStr">
        <is>
          <t>2026-09-27</t>
        </is>
      </c>
      <c r="K28" s="14" t="inlineStr">
        <is>
          <t>-</t>
        </is>
      </c>
      <c r="L28" s="14" t="inlineStr">
        <is>
          <t>-</t>
        </is>
      </c>
      <c r="M28" s="14" t="inlineStr">
        <is>
          <t>75.0 KWD</t>
        </is>
      </c>
      <c r="N28" s="21" t="inlineStr">
        <is>
          <t>UPDATED</t>
        </is>
      </c>
      <c r="O28" s="14" t="inlineStr">
        <is>
          <t>غير متوافقة مع اختصاصات KBM</t>
        </is>
      </c>
      <c r="P28" s="22">
        <f>HYPERLINK("https://kuwaitalyawm.media.gov.kw/Online/ViewAdsHTML?id=171717&amp;no=1", "عرض المصدر")</f>
        <v/>
      </c>
    </row>
    <row r="29">
      <c r="A29" s="11" t="inlineStr">
        <is>
          <t>2027/2026/16</t>
        </is>
      </c>
      <c r="B29" s="11" t="inlineStr">
        <is>
          <t>وزارة التربية</t>
        </is>
      </c>
      <c r="C29" s="11" t="inlineStr">
        <is>
          <t>Eiman Ashkanani</t>
        </is>
      </c>
      <c r="D29" s="11" t="inlineStr">
        <is>
          <t>ممارسة رقم 2027/2026/16: لتوريد ادوات و اجهزة رياضية متنوعة لحاجة التوجيه الفني العام للتربية البدنية</t>
        </is>
      </c>
      <c r="E29" s="11" t="inlineStr">
        <is>
          <t>أعمال وتوريدات لتوريد ادوات و اجهزة رياضية متنوعة لحاجة التوجيه الفني العام للتربية البدنية لصالح وزارة التربية وفقاً للشروط والمواصفات المعتمدة في وثائق الطرح.</t>
        </is>
      </c>
      <c r="F29" s="11" t="inlineStr">
        <is>
          <t>• الممارسة (عامة ) على الممارسين المعتمدين لدى وزارة التربية .
• يشترط فيمن يتقدم لهذه الممارسة أن تكون من المؤسسات / الشركات المتخصصة داخل الكويت في الأعمال موضوع الممارسة , و مقيد في السجل التجاري و غرفة تجارة و صناعة الكويت للعام الحالي و يرفق بعطائه شهادة بذلك على أن تكون تاريخها معاصر لتاريخ طرح الممارسة .
• هذه الممارسة (غير  قابلة للتجزئة ) ولا يحق لمقدم العطاء تقديم عروض بديلة.
• المقابل المادي للحصول على نسخة من وثائق الممارسة يتمثل في ( 75 ) خمسة و سبعون دينار كويتي لاغير .</t>
        </is>
      </c>
      <c r="G29" s="12" t="inlineStr">
        <is>
          <t>عام</t>
        </is>
      </c>
      <c r="H29" s="12" t="inlineStr">
        <is>
          <t>15.0%</t>
        </is>
      </c>
      <c r="I29" s="12" t="inlineStr">
        <is>
          <t>education_and_research</t>
        </is>
      </c>
      <c r="J29" s="12" t="inlineStr">
        <is>
          <t>2026-09-27</t>
        </is>
      </c>
      <c r="K29" s="12" t="inlineStr">
        <is>
          <t>-</t>
        </is>
      </c>
      <c r="L29" s="12" t="inlineStr">
        <is>
          <t>2000.0 KWD</t>
        </is>
      </c>
      <c r="M29" s="12" t="inlineStr">
        <is>
          <t>-</t>
        </is>
      </c>
      <c r="N29" s="26" t="inlineStr">
        <is>
          <t>UNCHANGED</t>
        </is>
      </c>
      <c r="O29" s="12" t="inlineStr">
        <is>
          <t>غير متوافقة مع اختصاصات KBM</t>
        </is>
      </c>
      <c r="P29" s="23">
        <f>HYPERLINK("https://kuwaitalyawm.media.gov.kw/Online/ViewAdsHTML?id=171532&amp;no=1", "عرض المصدر")</f>
        <v/>
      </c>
    </row>
    <row r="30">
      <c r="A30" s="13" t="inlineStr">
        <is>
          <t>م ع/23/2025/2026</t>
        </is>
      </c>
      <c r="B30" s="13" t="inlineStr">
        <is>
          <t>وزارة التربية</t>
        </is>
      </c>
      <c r="C30" s="13" t="inlineStr">
        <is>
          <t>Eiman Ashkanani</t>
        </is>
      </c>
      <c r="D30" s="13" t="inlineStr">
        <is>
          <t>تنفيذ أعمال التشغيل والصيانة وإدارة مبنى ديوان عام الوزارة الجديد بجنوب السرة</t>
        </is>
      </c>
      <c r="E30" s="13" t="inlineStr">
        <is>
          <t>أعمال وتوريدات تنفيذ أعمال التشغيل والصيانة وإدارة مبنى ديوان عام الوزارة الجديد بجنوب السرة لصالح وزارة التربية وفقاً للشروط والمواصفات المعتمدة في وثائق الطرح.</t>
        </is>
      </c>
      <c r="F3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30" s="14" t="inlineStr">
        <is>
          <t>عام</t>
        </is>
      </c>
      <c r="H30" s="14" t="inlineStr">
        <is>
          <t>0.0%</t>
        </is>
      </c>
      <c r="I30" s="14" t="inlineStr">
        <is>
          <t>education_and_research</t>
        </is>
      </c>
      <c r="J30" s="14" t="inlineStr">
        <is>
          <t>2026-08-23</t>
        </is>
      </c>
      <c r="K30" s="14" t="inlineStr">
        <is>
          <t>2026-11-17</t>
        </is>
      </c>
      <c r="L30" s="14" t="inlineStr">
        <is>
          <t>62000.000 KWD</t>
        </is>
      </c>
      <c r="M30" s="14" t="inlineStr">
        <is>
          <t>3500.000 KWD</t>
        </is>
      </c>
      <c r="N30" s="25" t="inlineStr">
        <is>
          <t>NEW</t>
        </is>
      </c>
      <c r="O30" s="14" t="inlineStr">
        <is>
          <t>غير متوافقة مع اختصاصات KBM</t>
        </is>
      </c>
      <c r="P30" s="22">
        <f>HYPERLINK("https://capt.gov.kw/ar/tenders/opening-tenders/#card-2", "عرض المصدر")</f>
        <v/>
      </c>
    </row>
    <row r="31">
      <c r="A31" s="11" t="inlineStr">
        <is>
          <t>م ع /6/2022/2023</t>
        </is>
      </c>
      <c r="B31" s="11" t="inlineStr">
        <is>
          <t>وزارة التربية</t>
        </is>
      </c>
      <c r="C31" s="11" t="inlineStr">
        <is>
          <t>Eiman Ashkanani</t>
        </is>
      </c>
      <c r="D31" s="11" t="inlineStr">
        <is>
          <t>أعمال  فحص واصلاح وتشغيل وصيانة شبكة الإنذار ومكافحة الحريق لمباني ومدارس تابعة لمنطقة العاصمة التعليمية</t>
        </is>
      </c>
      <c r="E31" s="11" t="inlineStr">
        <is>
          <t>تنفيذ أعمال أعمال  فحص واصلاح وتشغيل وصيانة شبكة الإنذار ومكافحة الحريق لمباني ومدارس تابعة لمنطقة العاصمة التعليمية، وتوفير كافة الأجهزة والمعدات والأنظمة وخدمات الدعم الفني والضمان وفقاً لكراسة الشروط والمواصفات الفنية.</t>
        </is>
      </c>
      <c r="F3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31" s="24" t="inlineStr">
        <is>
          <t>قطاع العمليات المدارة والدعم الفني متعدد الموردين</t>
        </is>
      </c>
      <c r="H31" s="12" t="inlineStr">
        <is>
          <t>64.0%</t>
        </is>
      </c>
      <c r="I31" s="12" t="inlineStr">
        <is>
          <t>education_and_research</t>
        </is>
      </c>
      <c r="J31" s="12" t="inlineStr">
        <is>
          <t>2026-09-27</t>
        </is>
      </c>
      <c r="K31" s="12" t="inlineStr">
        <is>
          <t>2026-12-22</t>
        </is>
      </c>
      <c r="L31" s="12" t="inlineStr">
        <is>
          <t>3500.000 KWD</t>
        </is>
      </c>
      <c r="M31" s="12" t="inlineStr">
        <is>
          <t>150.000 KWD</t>
        </is>
      </c>
      <c r="N31" s="26" t="inlineStr">
        <is>
          <t>UNCHANGED</t>
        </is>
      </c>
      <c r="O31" s="12" t="inlineStr">
        <is>
          <t>فرصة ICT متوافقة مع قدرات KBM</t>
        </is>
      </c>
      <c r="P31" s="23">
        <f>HYPERLINK("https://capt.gov.kw/ar/tenders/opening-tenders/#card-6", "عرض المصدر")</f>
        <v/>
      </c>
    </row>
    <row r="32">
      <c r="A32" s="13" t="inlineStr">
        <is>
          <t>2027/2026/5</t>
        </is>
      </c>
      <c r="B32" s="13" t="inlineStr">
        <is>
          <t>الإدارة المركزية للإحصاء</t>
        </is>
      </c>
      <c r="C32" s="13" t="inlineStr">
        <is>
          <t>Eiman Ashkanani</t>
        </is>
      </c>
      <c r="D32" s="13" t="inlineStr">
        <is>
          <t>ممارسة رقم 2027/2026/5 - الإدارة المركزية للاحصاء (العدد 1810)</t>
        </is>
      </c>
      <c r="E32" s="13" t="inlineStr">
        <is>
          <t>أعمال وتوريدات ممارسة رقم 2027/2026/5 - الإدارة المركزية للاحصاء لصالح الإدارة المركزية للاحصاء وفقاً للشروط والمواصفات المعتمدة في وثائق الطرح.</t>
        </is>
      </c>
      <c r="F3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32" s="14" t="inlineStr">
        <is>
          <t>عام</t>
        </is>
      </c>
      <c r="H32" s="14" t="inlineStr">
        <is>
          <t>0.0%</t>
        </is>
      </c>
      <c r="I32" s="14" t="inlineStr">
        <is>
          <t>government</t>
        </is>
      </c>
      <c r="J32" s="14" t="inlineStr">
        <is>
          <t>2026-09-27</t>
        </is>
      </c>
      <c r="K32" s="14" t="inlineStr">
        <is>
          <t>-</t>
        </is>
      </c>
      <c r="L32" s="14" t="inlineStr">
        <is>
          <t>-</t>
        </is>
      </c>
      <c r="M32" s="14" t="inlineStr">
        <is>
          <t>75.0 KWD</t>
        </is>
      </c>
      <c r="N32" s="21" t="inlineStr">
        <is>
          <t>UPDATED</t>
        </is>
      </c>
      <c r="O32" s="14" t="inlineStr">
        <is>
          <t>غير متوافقة مع اختصاصات KBM</t>
        </is>
      </c>
      <c r="P32" s="22">
        <f>HYPERLINK("https://kuwaitalyawm.media.gov.kw/Online/ViewAdsHTML?id=171697&amp;no=1", "عرض المصدر")</f>
        <v/>
      </c>
    </row>
    <row r="33">
      <c r="A33" s="11" t="inlineStr">
        <is>
          <t>6/2025/2026</t>
        </is>
      </c>
      <c r="B33" s="11" t="inlineStr">
        <is>
          <t>الادارة العامة للطيران المدني</t>
        </is>
      </c>
      <c r="C33" s="11" t="inlineStr">
        <is>
          <t>Eiman Ashkanani</t>
        </is>
      </c>
      <c r="D33" s="11" t="inlineStr">
        <is>
          <t>اعمال صيانة و ترميم المباني و الاعمال الانشائية و اية اعمال اخرى في مواقع مختلفة للطيران المدني</t>
        </is>
      </c>
      <c r="E33" s="11" t="inlineStr">
        <is>
          <t>تنفيذ الأعمال المدنية والإنشائية والترميم والصيانة العامة للمباني والمنشآت والمرافق التابعة للجهة.</t>
        </is>
      </c>
      <c r="F3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33" s="12" t="inlineStr">
        <is>
          <t>عام</t>
        </is>
      </c>
      <c r="H33" s="12" t="inlineStr">
        <is>
          <t>0.0%</t>
        </is>
      </c>
      <c r="I33" s="12" t="inlineStr">
        <is>
          <t>government</t>
        </is>
      </c>
      <c r="J33" s="12" t="inlineStr">
        <is>
          <t>2026-08-23</t>
        </is>
      </c>
      <c r="K33" s="12" t="inlineStr">
        <is>
          <t>2026-11-17</t>
        </is>
      </c>
      <c r="L33" s="12" t="inlineStr">
        <is>
          <t>170000.000 KWD</t>
        </is>
      </c>
      <c r="M33" s="12" t="inlineStr">
        <is>
          <t>3500.000 KWD</t>
        </is>
      </c>
      <c r="N33" s="25" t="inlineStr">
        <is>
          <t>NEW</t>
        </is>
      </c>
      <c r="O33" s="12" t="inlineStr">
        <is>
          <t>غير متوافقة مع اختصاصات KBM</t>
        </is>
      </c>
      <c r="P33" s="23">
        <f>HYPERLINK("https://capt.gov.kw/ar/tenders/opening-tenders/#card-0", "عرض المصدر")</f>
        <v/>
      </c>
    </row>
    <row r="34">
      <c r="A34" s="13" t="inlineStr">
        <is>
          <t>الاستشارية 8/2023/2024</t>
        </is>
      </c>
      <c r="B34" s="13" t="inlineStr">
        <is>
          <t>الادارة العامة للطيران المدني</t>
        </is>
      </c>
      <c r="C34" s="13" t="inlineStr">
        <is>
          <t>Eiman Ashkanani</t>
        </is>
      </c>
      <c r="D34" s="13" t="inlineStr">
        <is>
          <t>خدمات إدارة المشاريع لتنفيذ مشاريع المخطط الهيلكي 2020 وإعداد العقود والدراسات ومتابعة المشغلين والمستثمرين في مطار الكويت الدولي</t>
        </is>
      </c>
      <c r="E34" s="13" t="inlineStr">
        <is>
          <t>أعمال وتوريدات خدمات إدارة المشاريع لتنفيذ مشاريع المخطط الهيلكي 2020 وإعداد العقود والدراسات ومتابعة المشغلين والمستثمرين في مطار الكويت الدولي لصالح الادارة العامة للطيران المدني وفقاً للشروط والمواصفات المعتمدة في وثائق الطرح.</t>
        </is>
      </c>
      <c r="F3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34" s="14" t="inlineStr">
        <is>
          <t>عام</t>
        </is>
      </c>
      <c r="H34" s="14" t="inlineStr">
        <is>
          <t>0.0%</t>
        </is>
      </c>
      <c r="I34" s="14" t="inlineStr">
        <is>
          <t>government</t>
        </is>
      </c>
      <c r="J34" s="14" t="inlineStr">
        <is>
          <t>2026-09-13</t>
        </is>
      </c>
      <c r="K34" s="14" t="inlineStr">
        <is>
          <t>2026-12-08</t>
        </is>
      </c>
      <c r="L34" s="14" t="inlineStr">
        <is>
          <t>100000.000 KWD</t>
        </is>
      </c>
      <c r="M34" s="14" t="inlineStr">
        <is>
          <t>3500.000 KWD</t>
        </is>
      </c>
      <c r="N34" s="26" t="inlineStr">
        <is>
          <t>UNCHANGED</t>
        </is>
      </c>
      <c r="O34" s="14" t="inlineStr">
        <is>
          <t>غير متوافقة مع اختصاصات KBM</t>
        </is>
      </c>
      <c r="P34" s="22">
        <f>HYPERLINK("https://capt.gov.kw/ar/tenders/opening-tenders/#card-9", "عرض المصدر")</f>
        <v/>
      </c>
    </row>
    <row r="35">
      <c r="A35" s="11" t="inlineStr">
        <is>
          <t>2026/35</t>
        </is>
      </c>
      <c r="B35" s="11" t="inlineStr">
        <is>
          <t>الجهاز المركزي لتكنولوجيا المعلومات</t>
        </is>
      </c>
      <c r="C35" s="11" t="inlineStr">
        <is>
          <t>Eiman Ashkanani</t>
        </is>
      </c>
      <c r="D35" s="11" t="inlineStr">
        <is>
          <t>ممارسة رقم 2026/35: إعلان طرح الممارسة رقم (35-2026/2027) توفير خدمة الدعم الفني والصيانة لعدد 4 وحدات إمداد الطاقة الكهربائية اللامنقطعة UPS والبطاريات الملحقة بها للجهاز المركزي لتكنولوجيا المعلومات</t>
        </is>
      </c>
      <c r="E35" s="11" t="inlineStr">
        <is>
          <t>تنفيذ أعمال إعلان طرح الممارسة رقم (35-2026/2027) توفير خدمة الدعم الفني والصيانة لعدد 4 وحدات إمداد الطاقة الكهربائية اللامنقطعة UPS والبطاريات الملحقة بها للجهاز المركزي لتكنولوجيا المعلومات، وتوفير كافة الأجهزة والمعدات والأنظمة وخدمات الدعم الفني والضمان وفقاً لكراسة الشروط والمواصفات الفنية.</t>
        </is>
      </c>
      <c r="F3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35" s="24" t="inlineStr">
        <is>
          <t>قطاع العمليات المدارة والدعم الفني متعدد الموردين</t>
        </is>
      </c>
      <c r="H35" s="12" t="inlineStr">
        <is>
          <t>85.0%</t>
        </is>
      </c>
      <c r="I35" s="12" t="inlineStr">
        <is>
          <t>government</t>
        </is>
      </c>
      <c r="J35" s="12" t="inlineStr">
        <is>
          <t>2026-09-27</t>
        </is>
      </c>
      <c r="K35" s="18" t="inlineStr">
        <is>
          <t>2026-10-15</t>
        </is>
      </c>
      <c r="L35" s="12" t="inlineStr">
        <is>
          <t>-</t>
        </is>
      </c>
      <c r="M35" s="12" t="inlineStr">
        <is>
          <t>75.0 KWD</t>
        </is>
      </c>
      <c r="N35" s="21" t="inlineStr">
        <is>
          <t>UPDATED</t>
        </is>
      </c>
      <c r="O35" s="12" t="inlineStr">
        <is>
          <t>فرصة استراتيجية رئيسية (موصى بالتقديم)</t>
        </is>
      </c>
      <c r="P35" s="23">
        <f>HYPERLINK("https://kuwaitalyawm.media.gov.kw/Online/ViewAdsHTML?id=171699&amp;no=1", "عرض المصدر")</f>
        <v/>
      </c>
    </row>
    <row r="36">
      <c r="A36" s="13" t="inlineStr">
        <is>
          <t>ممارسة 3/2026/2027</t>
        </is>
      </c>
      <c r="B36" s="13" t="inlineStr">
        <is>
          <t>الجهاز المركزي للمناقصات العامة</t>
        </is>
      </c>
      <c r="C36" s="13" t="inlineStr">
        <is>
          <t>Eiman Ashkanani</t>
        </is>
      </c>
      <c r="D36" s="13" t="inlineStr">
        <is>
          <t>تصميم وتطوير خدمات الموقع الإلكتروني والبرامج الذكية للجهاز المركزي للمناقصات العامة</t>
        </is>
      </c>
      <c r="E36" s="13" t="inlineStr">
        <is>
          <t>تنفيذ أعمال تصميم وتطوير خدمات الموقع الإلكتروني والبرامج الذكية للجهاز المركزي للمناقصات العامة، وتوفير كافة الأجهزة والمعدات والأنظمة وخدمات الدعم الفني والضمان وفقاً لكراسة الشروط والمواصفات الفنية.</t>
        </is>
      </c>
      <c r="F3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36" s="14" t="inlineStr">
        <is>
          <t>عام</t>
        </is>
      </c>
      <c r="H36" s="14" t="inlineStr">
        <is>
          <t>28.0%</t>
        </is>
      </c>
      <c r="I36" s="14" t="inlineStr">
        <is>
          <t>government</t>
        </is>
      </c>
      <c r="J36" s="14" t="inlineStr">
        <is>
          <t>2026-09-13</t>
        </is>
      </c>
      <c r="K36" s="14" t="inlineStr">
        <is>
          <t>2026-10-06</t>
        </is>
      </c>
      <c r="L36" s="14" t="inlineStr">
        <is>
          <t>1000.000 KWD</t>
        </is>
      </c>
      <c r="M36" s="14" t="inlineStr">
        <is>
          <t>50.000 KWD</t>
        </is>
      </c>
      <c r="N36" s="25" t="inlineStr">
        <is>
          <t>NEW</t>
        </is>
      </c>
      <c r="O36" s="14" t="inlineStr">
        <is>
          <t>غير متوافقة مع اختصاصات KBM</t>
        </is>
      </c>
      <c r="P36" s="22">
        <f>HYPERLINK("https://capt.gov.kw/ar/tenders/opening-tenders/#card-0", "عرض المصدر")</f>
        <v/>
      </c>
    </row>
    <row r="37">
      <c r="A37" s="11" t="inlineStr">
        <is>
          <t>26/27-11</t>
        </is>
      </c>
      <c r="B37" s="11" t="inlineStr">
        <is>
          <t>الشركة الكويتية لتزويد الطائرات بالوقود</t>
        </is>
      </c>
      <c r="C37" s="11" t="inlineStr">
        <is>
          <t>Eiman Ashkanani</t>
        </is>
      </c>
      <c r="D37" s="11" t="inlineStr">
        <is>
          <t>مناقصة رقم 26/27-11 - الشركة الكويتية لتزويد الطائرات بالوقود</t>
        </is>
      </c>
      <c r="E37" s="11" t="inlineStr">
        <is>
          <t>أعمال وتوريدات مناقصة رقم 26/27-11 - الشركة الكويتية لتزويد الطائرات بالوقود لصالح الشركة الكويتية لتزويد الطائرات بالوقود وفقاً للشروط والمواصفات المعتمدة في وثائق الطرح.</t>
        </is>
      </c>
      <c r="F3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37" s="12" t="inlineStr">
        <is>
          <t>عام</t>
        </is>
      </c>
      <c r="H37" s="12" t="inlineStr">
        <is>
          <t>0.0%</t>
        </is>
      </c>
      <c r="I37" s="12" t="inlineStr">
        <is>
          <t>government</t>
        </is>
      </c>
      <c r="J37" s="12" t="inlineStr">
        <is>
          <t>2026-09-27</t>
        </is>
      </c>
      <c r="K37" s="12" t="inlineStr">
        <is>
          <t>-</t>
        </is>
      </c>
      <c r="L37" s="12" t="inlineStr">
        <is>
          <t>37400.0</t>
        </is>
      </c>
      <c r="M37" s="12" t="inlineStr">
        <is>
          <t>-</t>
        </is>
      </c>
      <c r="N37" s="25" t="inlineStr">
        <is>
          <t>NEW</t>
        </is>
      </c>
      <c r="O37" s="12" t="inlineStr">
        <is>
          <t>غير متوافقة مع اختصاصات KBM</t>
        </is>
      </c>
      <c r="P37" s="23">
        <f>HYPERLINK("https://kuwaitalyawm.media.gov.kw/Online/ViewAdsHTML?id=171719&amp;no=1", "عرض المصدر")</f>
        <v/>
      </c>
    </row>
    <row r="38">
      <c r="A38" s="13" t="inlineStr">
        <is>
          <t>25/26-38</t>
        </is>
      </c>
      <c r="B38" s="13" t="inlineStr">
        <is>
          <t>الشركة الكويتية لتزويد الطائرات بالوقود</t>
        </is>
      </c>
      <c r="C38" s="13" t="inlineStr">
        <is>
          <t>Eiman Ashkanani</t>
        </is>
      </c>
      <c r="D38" s="13" t="inlineStr">
        <is>
          <t>مناقصة رقم 25/26/38: تاريخ الاجتماع التمهيدي واخر موعد لشراء وثائق المناقصة</t>
        </is>
      </c>
      <c r="E38" s="13" t="inlineStr">
        <is>
          <t>أعمال وتوريدات تاريخ الاجتماع التمهيدي واخر موعد لشراء وثائق المناقصة لصالح الشركة الكويتية لتزويد الطائرات بالوقود وفقاً للشروط والمواصفات المعتمدة في وثائق الطرح.</t>
        </is>
      </c>
      <c r="F3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38" s="14" t="inlineStr">
        <is>
          <t>عام</t>
        </is>
      </c>
      <c r="H38" s="14" t="inlineStr">
        <is>
          <t>0.0%</t>
        </is>
      </c>
      <c r="I38" s="14" t="inlineStr">
        <is>
          <t>government</t>
        </is>
      </c>
      <c r="J38" s="14" t="inlineStr">
        <is>
          <t>2026-08-30</t>
        </is>
      </c>
      <c r="K38" s="14" t="inlineStr">
        <is>
          <t>2026-08-30</t>
        </is>
      </c>
      <c r="L38" s="14" t="inlineStr">
        <is>
          <t>1000.0</t>
        </is>
      </c>
      <c r="M38" s="14" t="inlineStr">
        <is>
          <t>100.0</t>
        </is>
      </c>
      <c r="N38" s="25" t="inlineStr">
        <is>
          <t>NEW</t>
        </is>
      </c>
      <c r="O38" s="14" t="inlineStr">
        <is>
          <t>غير متوافقة مع اختصاصات KBM</t>
        </is>
      </c>
      <c r="P38" s="22">
        <f>HYPERLINK("https://kuwaitalyawm.media.gov.kw/Online/ViewAdsHTML?id=171720&amp;no=1", "عرض المصدر")</f>
        <v/>
      </c>
    </row>
    <row r="39">
      <c r="A39" s="11" t="inlineStr">
        <is>
          <t>23/24-30</t>
        </is>
      </c>
      <c r="B39" s="11" t="inlineStr">
        <is>
          <t>الشركة الكويتية لتزويد الطائرات بالوقود</t>
        </is>
      </c>
      <c r="C39" s="11" t="inlineStr">
        <is>
          <t>Eiman Ashkanani</t>
        </is>
      </c>
      <c r="D39" s="11" t="inlineStr">
        <is>
          <t>مناقصة رقم 23/24/30: الحاقا الى الإعلان الصادر في الجريدة الرسمية (الكويت اليوم) العدد رقم (1804) الصفحة رقم (247 &amp; 248) بتاريخ 16/8/2026 بخصوص الموضوع اعلاه، تود لجنة الشراء العليا لمناقصات الشركة الكويتية لتزويد الطائرات بناء على طلب من الشركة الكويتية لتزويد الطائرات بالوقود، ان تسترعي انتباه السادة المناقصين / الشركات الى انه تم تمديد موعد الاغلاق للمناقصة الى يوم الثلاثاء الموافق 29/9/2026 بدلا من يوم الثلاثاء الموافق 15/9/2026</t>
        </is>
      </c>
      <c r="E39" s="11" t="inlineStr">
        <is>
          <t>أعمال وتوريدات الحاقا الى الإعلان الصادر في الجريدة الرسمية (الكويت اليوم) العدد رقم (1804) الصفحة رقم (247 &amp; 248) بتاريخ 16/8/2026 بخصوص الموضوع اعلاه، تود لجنة الشراء العليا لمناقصات الشركة الكويتية لتزويد الطائرات بناء على طلب من الشركة الكويتية لتزويد الطائرات بالوقود، ان تسترعي انتباه السادة المناقصين / الشركات الى انه تم تمديد موعد الاغلاق للمناقصة الى يوم الثلاثاء الموافق 29/9/2026 بدلا من يوم الثلاثاء الموافق 15/9/2026 لصالح الشركة الكويتية لتزويد الطائرات بالوقود وفقاً للشروط والمواصفات المعتمدة في وثائق الطرح.</t>
        </is>
      </c>
      <c r="F3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39" s="12" t="inlineStr">
        <is>
          <t>عام</t>
        </is>
      </c>
      <c r="H39" s="12" t="inlineStr">
        <is>
          <t>0.0%</t>
        </is>
      </c>
      <c r="I39" s="12" t="inlineStr">
        <is>
          <t>government</t>
        </is>
      </c>
      <c r="J39" s="12" t="inlineStr">
        <is>
          <t>2026-09-13</t>
        </is>
      </c>
      <c r="K39" s="12" t="inlineStr">
        <is>
          <t>2026-10-13</t>
        </is>
      </c>
      <c r="L39" s="12" t="inlineStr">
        <is>
          <t>-</t>
        </is>
      </c>
      <c r="M39" s="12" t="inlineStr">
        <is>
          <t>-</t>
        </is>
      </c>
      <c r="N39" s="25" t="inlineStr">
        <is>
          <t>NEW</t>
        </is>
      </c>
      <c r="O39" s="12" t="inlineStr">
        <is>
          <t>غير متوافقة مع اختصاصات KBM</t>
        </is>
      </c>
      <c r="P39" s="23">
        <f>HYPERLINK("https://kuwaitalyawm.media.gov.kw/Online/ViewAdsHTML?id=171721&amp;no=1", "عرض المصدر")</f>
        <v/>
      </c>
    </row>
    <row r="40">
      <c r="A40" s="13" t="inlineStr">
        <is>
          <t>26/25/33</t>
        </is>
      </c>
      <c r="B40" s="13" t="inlineStr">
        <is>
          <t>الشركة الكويتية لتزويد الطائرات بالوقود</t>
        </is>
      </c>
      <c r="C40" s="13" t="inlineStr">
        <is>
          <t>Eiman Ashkanani</t>
        </is>
      </c>
      <c r="D40" s="13" t="inlineStr">
        <is>
          <t>مناقصة رقم 26/25/33: الحاقا إلى الإعلان الصادر في الجريدة الرسمية ( الكويت اليوم ) العدد رقم (1806) الصفحة رقم (282 &amp; 283) بتاريخ 30/08/2026 بخصوص الموضوع اعلاه، تود لجنة الشراء العليا لمناقصات الشركة الكويتية لتزويد الطائرات بناء على طلب من الشركة الكويتية لتزويد الطائرات بالوقود شركة تابعة لشركة البترول الوطنية ، أن تسترعي انتباه السادة المناقصين / الشركات إلى أنه تم تمديد موعد الإغلاق للمناقصة إلى يوم الثلاثاء الموافق 22/9/2026 بدلا من يوم الثلاثاء الموافق 15/09/2026</t>
        </is>
      </c>
      <c r="E40" s="13" t="inlineStr">
        <is>
          <t>أعمال وتوريدات الحاقا إلى الإعلان الصادر في الجريدة الرسمية ( الكويت اليوم ) العدد رقم (1806) الصفحة رقم (282 &amp; 283) بتاريخ 30/08/2026 بخصوص الموضوع اعلاه، تود لجنة الشراء العليا لمناقصات الشركة الكويتية لتزويد الطائرات بناء على طلب من الشركة الكويتية لتزويد الطائرات بالوقود شركة تابعة لشركة البترول الوطنية ، أن تسترعي انتباه السادة المناقصين / الشركات إلى أنه تم تمديد موعد الإغلاق للمناقصة إلى يوم الثلاثاء الموافق 22/9/2026 بدلا من يوم الثلاثاء الموافق 15/09/2026 لصالح الشركة الكويتية لتزويد الطائرات بالوقود وفقاً للشروط والمواصفات المعتمدة في وثائق الطرح.</t>
        </is>
      </c>
      <c r="F4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40" s="14" t="inlineStr">
        <is>
          <t>عام</t>
        </is>
      </c>
      <c r="H40" s="14" t="inlineStr">
        <is>
          <t>0.0%</t>
        </is>
      </c>
      <c r="I40" s="14" t="inlineStr">
        <is>
          <t>government</t>
        </is>
      </c>
      <c r="J40" s="14" t="inlineStr">
        <is>
          <t>2026-09-27</t>
        </is>
      </c>
      <c r="K40" s="14" t="inlineStr">
        <is>
          <t>2026-09-22</t>
        </is>
      </c>
      <c r="L40" s="14" t="inlineStr">
        <is>
          <t>-</t>
        </is>
      </c>
      <c r="M40" s="14" t="inlineStr">
        <is>
          <t>-</t>
        </is>
      </c>
      <c r="N40" s="25" t="inlineStr">
        <is>
          <t>NEW</t>
        </is>
      </c>
      <c r="O40" s="14" t="inlineStr">
        <is>
          <t>غير متوافقة مع اختصاصات KBM</t>
        </is>
      </c>
      <c r="P40" s="22">
        <f>HYPERLINK("https://kuwaitalyawm.media.gov.kw/Online/ViewAdsHTML?id=171722&amp;no=1", "عرض المصدر")</f>
        <v/>
      </c>
    </row>
    <row r="41">
      <c r="A41" s="11" t="inlineStr">
        <is>
          <t>2026/2025/33</t>
        </is>
      </c>
      <c r="B41" s="11" t="inlineStr">
        <is>
          <t>الشركة الكويتية لتزويد الطائرات بالوقود</t>
        </is>
      </c>
      <c r="C41" s="11" t="inlineStr">
        <is>
          <t>Eiman Ashkanani</t>
        </is>
      </c>
      <c r="D41" s="11" t="inlineStr">
        <is>
          <t>مناقصة رقم 2026/2025/33: الحاقا إلى الإعلان الصادر في الجريدة الرسمية ( الكويت اليوم ) العدد رقم (1802) الصفحة رقم (258, 259 &amp; 260) بتاريخ 02/08/2026 بخصوص الموضوع اعلاه ، تود لجنة الشراء العليا لمناقصات الشركة الكويتية لتزويد الطائرات بناء على طلب من الشركة الكويتية لتزويد الطائرات بالوقود شركة تابعة لشركة البترول الوطنية ، أن تسترعي انتباه السادة المناقصين / الشركات إلى أنه تم تمديد موعد الإغلاق للمناقصة إلى يوم الثلاثاء الموافق 15/09/2026 بدلا من يوم الثلاثاء الموافق 01/09/2026</t>
        </is>
      </c>
      <c r="E41" s="11" t="inlineStr">
        <is>
          <t>أعمال وتوريدات الحاقا إلى الإعلان الصادر في الجريدة الرسمية ( الكويت اليوم ) العدد رقم (1802) الصفحة رقم (258, 259 &amp; 260) بتاريخ 02/08/2026 بخصوص الموضوع اعلاه ، تود لجنة الشراء العليا لمناقصات الشركة الكويتية لتزويد الطائرات بناء على طلب من الشركة الكويتية لتزويد الطائرات بالوقود شركة تابعة لشركة البترول الوطنية ، أن تسترعي انتباه السادة المناقصين / الشركات إلى أنه تم تمديد موعد الإغلاق للمناقصة إلى يوم الثلاثاء الموافق 15/09/2026 بدلا من يوم الثلاثاء الموافق 01/09/2026 لصالح الشركة الكويتية لتزويد الطائرات بالوقود وفقاً للشروط والمواصفات المعتمدة في وثائق الطرح.</t>
        </is>
      </c>
      <c r="F4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41" s="12" t="inlineStr">
        <is>
          <t>عام</t>
        </is>
      </c>
      <c r="H41" s="12" t="inlineStr">
        <is>
          <t>0.0%</t>
        </is>
      </c>
      <c r="I41" s="12" t="inlineStr">
        <is>
          <t>government</t>
        </is>
      </c>
      <c r="J41" s="12" t="inlineStr">
        <is>
          <t>2026-08-30</t>
        </is>
      </c>
      <c r="K41" s="12" t="inlineStr">
        <is>
          <t>2026-09-15</t>
        </is>
      </c>
      <c r="L41" s="12" t="inlineStr">
        <is>
          <t>-</t>
        </is>
      </c>
      <c r="M41" s="12" t="inlineStr">
        <is>
          <t>-</t>
        </is>
      </c>
      <c r="N41" s="25" t="inlineStr">
        <is>
          <t>NEW</t>
        </is>
      </c>
      <c r="O41" s="12" t="inlineStr">
        <is>
          <t>غير متوافقة مع اختصاصات KBM</t>
        </is>
      </c>
      <c r="P41" s="23">
        <f>HYPERLINK("https://kuwaitalyawm.media.gov.kw/Online/ViewAdsHTML?id=168756&amp;no=1", "عرض المصدر")</f>
        <v/>
      </c>
    </row>
    <row r="42">
      <c r="A42" s="13" t="inlineStr">
        <is>
          <t>2026/2025/15</t>
        </is>
      </c>
      <c r="B42" s="13" t="inlineStr">
        <is>
          <t>الشركة الكويتية لتزويد الطائرات بالوقود</t>
        </is>
      </c>
      <c r="C42" s="13" t="inlineStr">
        <is>
          <t>Eiman Ashkanani</t>
        </is>
      </c>
      <c r="D42" s="13" t="inlineStr">
        <is>
          <t>مناقصة رقم 2026/2025/15 - الشركة الكويتية لتزويد الطائرات بالوقود</t>
        </is>
      </c>
      <c r="E42" s="13" t="inlineStr">
        <is>
          <t>أعمال وتوريدات مناقصة رقم 2026/2025/15 - الشركة الكويتية لتزويد الطائرات بالوقود لصالح الشركة الكويتية لتزويد الطائرات بالوقود وفقاً للشروط والمواصفات المعتمدة في وثائق الطرح.</t>
        </is>
      </c>
      <c r="F4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42" s="14" t="inlineStr">
        <is>
          <t>عام</t>
        </is>
      </c>
      <c r="H42" s="14" t="inlineStr">
        <is>
          <t>0.0%</t>
        </is>
      </c>
      <c r="I42" s="14" t="inlineStr">
        <is>
          <t>government</t>
        </is>
      </c>
      <c r="J42" s="14" t="inlineStr">
        <is>
          <t>2026-08-23</t>
        </is>
      </c>
      <c r="K42" s="14" t="inlineStr">
        <is>
          <t>-</t>
        </is>
      </c>
      <c r="L42" s="14" t="inlineStr">
        <is>
          <t>19998.5</t>
        </is>
      </c>
      <c r="M42" s="14" t="inlineStr">
        <is>
          <t>-</t>
        </is>
      </c>
      <c r="N42" s="25" t="inlineStr">
        <is>
          <t>NEW</t>
        </is>
      </c>
      <c r="O42" s="14" t="inlineStr">
        <is>
          <t>غير متوافقة مع اختصاصات KBM</t>
        </is>
      </c>
      <c r="P42" s="22">
        <f>HYPERLINK("https://kuwaitalyawm.media.gov.kw/Online/ViewAdsHTML?id=167896&amp;no=1", "عرض المصدر")</f>
        <v/>
      </c>
    </row>
    <row r="43">
      <c r="A43" s="11" t="inlineStr">
        <is>
          <t>2024/2023/30</t>
        </is>
      </c>
      <c r="B43" s="11" t="inlineStr">
        <is>
          <t>الشركة الكويتية لتزويد الطائرات بالوقود</t>
        </is>
      </c>
      <c r="C43" s="11" t="inlineStr">
        <is>
          <t>Eiman Ashkanani</t>
        </is>
      </c>
      <c r="D43" s="11" t="inlineStr">
        <is>
          <t>مناقصة رقم 2024/2023/30: الحاقا الى الإعلان الصادر في الجريدة الرسمية (الكويت اليوم) العدد رقم (1804) الصفحة رقم (247 &amp; 248) بتاريخ 16/08/2026 بخصوص الموضوع اعلاه، تود لجنة الشراء العليا لمناقصات الشركة الكويتية لتزويد الطائرات بناء على طلب من الشركة الكويتية لتزويد الطائرات بالوقود، ان تسترعي انتباه السادة المناقصين / الشركات الى انه تم تغيير موعد تاريخ الاجتماع التمهيدي للمناقصة الى يوم الاثنين الموافق 1/9/2026 بدلا من يوم الخميس الموافق 27/8/2026</t>
        </is>
      </c>
      <c r="E43" s="11" t="inlineStr">
        <is>
          <t>أعمال وتوريدات الحاقا الى الإعلان الصادر في الجريدة الرسمية (الكويت اليوم) العدد رقم (1804) الصفحة رقم (247 &amp; 248) بتاريخ 16/08/2026 بخصوص الموضوع اعلاه، تود لجنة الشراء العليا لمناقصات الشركة الكويتية لتزويد الطائرات بناء على طلب من الشركة الكويتية لتزويد الطائرات بالوقود، ان تسترعي انتباه السادة المناقصين / الشركات الى انه تم تغيير موعد تاريخ الاجتماع التمهيدي للمناقصة الى يوم الاثنين الموافق 1/9/2026 بدلا من يوم الخميس الموافق 27/8/2026 لصالح الشركة الكويتية لتزويد الطائرات بالوقود وفقاً للشروط والمواصفات المعتمدة في وثائق الطرح.</t>
        </is>
      </c>
      <c r="F4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43" s="12" t="inlineStr">
        <is>
          <t>عام</t>
        </is>
      </c>
      <c r="H43" s="12" t="inlineStr">
        <is>
          <t>0.0%</t>
        </is>
      </c>
      <c r="I43" s="12" t="inlineStr">
        <is>
          <t>government</t>
        </is>
      </c>
      <c r="J43" s="12" t="inlineStr">
        <is>
          <t>2026-08-23</t>
        </is>
      </c>
      <c r="K43" s="12" t="inlineStr">
        <is>
          <t>-</t>
        </is>
      </c>
      <c r="L43" s="12" t="inlineStr">
        <is>
          <t>-</t>
        </is>
      </c>
      <c r="M43" s="12" t="inlineStr">
        <is>
          <t>-</t>
        </is>
      </c>
      <c r="N43" s="25" t="inlineStr">
        <is>
          <t>NEW</t>
        </is>
      </c>
      <c r="O43" s="12" t="inlineStr">
        <is>
          <t>غير متوافقة مع اختصاصات KBM</t>
        </is>
      </c>
      <c r="P43" s="23">
        <f>HYPERLINK("https://kuwaitalyawm.media.gov.kw/Online/ViewAdsHTML?id=167897&amp;no=1", "عرض المصدر")</f>
        <v/>
      </c>
    </row>
    <row r="44">
      <c r="A44" s="13" t="inlineStr">
        <is>
          <t>HO/CC066-R0/SV26</t>
        </is>
      </c>
      <c r="B44" s="13" t="inlineStr">
        <is>
          <t>الشركة الكويتية لنفط الخليج</t>
        </is>
      </c>
      <c r="C44" s="13" t="inlineStr">
        <is>
          <t>Eiman Ashkanani</t>
        </is>
      </c>
      <c r="D44" s="13" t="inlineStr">
        <is>
          <t>مناقصة رقم HO/CC066-R0/SV26 - الشركة الكويتية لنفط الخليج</t>
        </is>
      </c>
      <c r="E44" s="13" t="inlineStr">
        <is>
          <t>أعمال وتوريدات مناقصة رقم HO/CC066-R0/SV26 - الشركة الكويتية لنفط الخليج لصالح الشركة الكويتية لنفط الخليج وفقاً للشروط والمواصفات المعتمدة في وثائق الطرح.</t>
        </is>
      </c>
      <c r="F4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44" s="14" t="inlineStr">
        <is>
          <t>عام</t>
        </is>
      </c>
      <c r="H44" s="14" t="inlineStr">
        <is>
          <t>0.0%</t>
        </is>
      </c>
      <c r="I44" s="14" t="inlineStr">
        <is>
          <t>government</t>
        </is>
      </c>
      <c r="J44" s="14" t="inlineStr">
        <is>
          <t>2026-08-30</t>
        </is>
      </c>
      <c r="K44" s="14" t="inlineStr">
        <is>
          <t>2026-12-01</t>
        </is>
      </c>
      <c r="L44" s="14" t="inlineStr">
        <is>
          <t>50000.0</t>
        </is>
      </c>
      <c r="M44" s="14" t="inlineStr">
        <is>
          <t>-</t>
        </is>
      </c>
      <c r="N44" s="25" t="inlineStr">
        <is>
          <t>NEW</t>
        </is>
      </c>
      <c r="O44" s="14" t="inlineStr">
        <is>
          <t>غير متوافقة مع اختصاصات KBM</t>
        </is>
      </c>
      <c r="P44" s="22">
        <f>HYPERLINK("https://kuwaitalyawm.media.gov.kw/Online/ViewAdsHTML?id=168757&amp;no=1", "عرض المصدر")</f>
        <v/>
      </c>
    </row>
    <row r="45">
      <c r="A45" s="11" t="inlineStr">
        <is>
          <t>HO/TC146000/R0/PM&amp;E26</t>
        </is>
      </c>
      <c r="B45" s="11" t="inlineStr">
        <is>
          <t>الشركة الكويتية لنفط الخليج</t>
        </is>
      </c>
      <c r="C45" s="11" t="inlineStr">
        <is>
          <t>Eiman Ashkanani</t>
        </is>
      </c>
      <c r="D45" s="11" t="inlineStr">
        <is>
          <t>مناقصة رقم HO/TC146000/R0/PM&amp;E26 - الشركة الكويتية لنفط الخليج</t>
        </is>
      </c>
      <c r="E45" s="11" t="inlineStr">
        <is>
          <t>أعمال وتوريدات مناقصة رقم HO/TC146000/R0/PM&amp;E26 - الشركة الكويتية لنفط الخليج لصالح الشركة الكويتية لنفط الخليج وفقاً للشروط والمواصفات المعتمدة في وثائق الطرح.</t>
        </is>
      </c>
      <c r="F4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45" s="12" t="inlineStr">
        <is>
          <t>عام</t>
        </is>
      </c>
      <c r="H45" s="12" t="inlineStr">
        <is>
          <t>0.0%</t>
        </is>
      </c>
      <c r="I45" s="12" t="inlineStr">
        <is>
          <t>government</t>
        </is>
      </c>
      <c r="J45" s="12" t="inlineStr">
        <is>
          <t>2026-08-23</t>
        </is>
      </c>
      <c r="K45" s="12" t="inlineStr">
        <is>
          <t>2026-12-29</t>
        </is>
      </c>
      <c r="L45" s="12" t="inlineStr">
        <is>
          <t>10000000.0</t>
        </is>
      </c>
      <c r="M45" s="12" t="inlineStr">
        <is>
          <t>-</t>
        </is>
      </c>
      <c r="N45" s="25" t="inlineStr">
        <is>
          <t>NEW</t>
        </is>
      </c>
      <c r="O45" s="12" t="inlineStr">
        <is>
          <t>غير متوافقة مع اختصاصات KBM</t>
        </is>
      </c>
      <c r="P45" s="23">
        <f>HYPERLINK("https://kuwaitalyawm.media.gov.kw/Online/ViewAdsHTML?id=167899&amp;no=1", "عرض المصدر")</f>
        <v/>
      </c>
    </row>
    <row r="46">
      <c r="A46" s="13" t="inlineStr">
        <is>
          <t>2027/2026/1443</t>
        </is>
      </c>
      <c r="B46" s="13" t="inlineStr">
        <is>
          <t>المؤسسة العامة للرعاية السكنية</t>
        </is>
      </c>
      <c r="C46" s="13" t="inlineStr">
        <is>
          <t>Eiman Ashkanani</t>
        </is>
      </c>
      <c r="D46" s="13" t="inlineStr">
        <is>
          <t>مناقصة رقم 2027/2026/1443 - المؤسسة العامة للرعاية السكنية</t>
        </is>
      </c>
      <c r="E46" s="13" t="inlineStr">
        <is>
          <t>أعمال وتوريدات مناقصة رقم 2027/2026/1443 لصالح المؤسسة العامة للرعاية السكنية وفقاً للشروط والمواصفات المعتمدة في وثائق الطرح.</t>
        </is>
      </c>
      <c r="F46" s="13" t="inlineStr">
        <is>
          <t>• 1. يجب أن يكون قد مضى على تأسيس الشركة أو ممارسة النشاط بالنسبة للأفراد أكثر من عشر سنوات.
• 2. يجب ألا تقل قيمة رأس المال للشركة أو الأصول المملوكة للفرد عن (5,000,000 د.ك) خمسة ملايين دينار كويتي. (أو ما يعادلها).
• - ورقتا صيغة العطاء وإجمالي قيمة العطاء (نسخاً أصلية) مستكملة البيانات ومختومة وموقعة.</t>
        </is>
      </c>
      <c r="G46" s="14" t="inlineStr">
        <is>
          <t>عام</t>
        </is>
      </c>
      <c r="H46" s="14" t="inlineStr">
        <is>
          <t>28.0%</t>
        </is>
      </c>
      <c r="I46" s="14" t="inlineStr">
        <is>
          <t>government</t>
        </is>
      </c>
      <c r="J46" s="14" t="inlineStr">
        <is>
          <t>2026-08-30</t>
        </is>
      </c>
      <c r="K46" s="14" t="inlineStr">
        <is>
          <t>2026-09-30</t>
        </is>
      </c>
      <c r="L46" s="14" t="inlineStr">
        <is>
          <t>500000.0</t>
        </is>
      </c>
      <c r="M46" s="14" t="inlineStr">
        <is>
          <t>3500.0</t>
        </is>
      </c>
      <c r="N46" s="25" t="inlineStr">
        <is>
          <t>NEW</t>
        </is>
      </c>
      <c r="O46" s="14" t="inlineStr">
        <is>
          <t>غير متوافقة مع اختصاصات KBM</t>
        </is>
      </c>
      <c r="P46" s="22">
        <f>HYPERLINK("https://kuwaitalyawm.media.gov.kw/Online/ViewAdsHTML?id=171709&amp;no=1", "عرض المصدر")</f>
        <v/>
      </c>
    </row>
    <row r="47">
      <c r="A47" s="11" t="inlineStr">
        <is>
          <t>2027/2026/1444</t>
        </is>
      </c>
      <c r="B47" s="11" t="inlineStr">
        <is>
          <t>المؤسسة العامة للرعاية السكنية</t>
        </is>
      </c>
      <c r="C47" s="11" t="inlineStr">
        <is>
          <t>Eiman Ashkanani</t>
        </is>
      </c>
      <c r="D47" s="11" t="inlineStr">
        <is>
          <t>مناقصة رقم 2027/2026/1444 - المؤسسة العامة للرعاية السكنية</t>
        </is>
      </c>
      <c r="E47" s="11" t="inlineStr">
        <is>
          <t>أعمال وتوريدات مناقصة رقم 2027/2026/1444 لصالح المؤسسة العامة للرعاية السكنية وفقاً للشروط والمواصفات المعتمدة في وثائق الطرح.</t>
        </is>
      </c>
      <c r="F47" s="11" t="inlineStr">
        <is>
          <t>• 1. يجب أن يكون قد مضى على تأسيس الشركة أو ممارسة النشاط بالنسبة للأفراد أكثر من عشر سنوات.
• 2. يجب ألا تقل قيمة رأس المال للشركة أو الأصول المملوكة للفرد عن (5,000,000 د.ك) خمسة ملايين دينار كويتي. (أو ما يعادلها).
• - ورقتا صيغة العطاء وإجمالي قيمة العطاء (نسخاً أصلية) مستكملة البيانات ومختومة وموقعة.</t>
        </is>
      </c>
      <c r="G47" s="12" t="inlineStr">
        <is>
          <t>عام</t>
        </is>
      </c>
      <c r="H47" s="12" t="inlineStr">
        <is>
          <t>28.0%</t>
        </is>
      </c>
      <c r="I47" s="12" t="inlineStr">
        <is>
          <t>government</t>
        </is>
      </c>
      <c r="J47" s="12" t="inlineStr">
        <is>
          <t>2026-08-30</t>
        </is>
      </c>
      <c r="K47" s="12" t="inlineStr">
        <is>
          <t>2026-09-30</t>
        </is>
      </c>
      <c r="L47" s="12" t="inlineStr">
        <is>
          <t>500000.0</t>
        </is>
      </c>
      <c r="M47" s="12" t="inlineStr">
        <is>
          <t>3500.0</t>
        </is>
      </c>
      <c r="N47" s="25" t="inlineStr">
        <is>
          <t>NEW</t>
        </is>
      </c>
      <c r="O47" s="12" t="inlineStr">
        <is>
          <t>غير متوافقة مع اختصاصات KBM</t>
        </is>
      </c>
      <c r="P47" s="23">
        <f>HYPERLINK("https://kuwaitalyawm.media.gov.kw/Online/ViewAdsHTML?id=171710&amp;no=1", "عرض المصدر")</f>
        <v/>
      </c>
    </row>
    <row r="48">
      <c r="A48" s="13" t="inlineStr">
        <is>
          <t>2027/2026/1529</t>
        </is>
      </c>
      <c r="B48" s="13" t="inlineStr">
        <is>
          <t>المؤسسة العامة للرعاية السكنية</t>
        </is>
      </c>
      <c r="C48" s="13" t="inlineStr">
        <is>
          <t>Eiman Ashkanani</t>
        </is>
      </c>
      <c r="D48" s="13" t="inlineStr">
        <is>
          <t>مناقصة رقم 2027/2026/1529 - المؤسسة العامة للرعاية السكنية</t>
        </is>
      </c>
      <c r="E48" s="13" t="inlineStr">
        <is>
          <t>أعمال وتوريدات مناقصة رقم 2027/2026/1529 لصالح المؤسسة العامة للرعاية السكنية وفقاً للشروط والمواصفات المعتمدة في وثائق الطرح.</t>
        </is>
      </c>
      <c r="F48" s="13" t="inlineStr">
        <is>
          <t>• - ورقتا صيغة العطاء وإجمالي قيمة العطاء (نسخاً أصلية) مستكملة البيانات ومختومة وموقعة.</t>
        </is>
      </c>
      <c r="G48" s="14" t="inlineStr">
        <is>
          <t>عام</t>
        </is>
      </c>
      <c r="H48" s="14" t="inlineStr">
        <is>
          <t>0.0%</t>
        </is>
      </c>
      <c r="I48" s="14" t="inlineStr">
        <is>
          <t>government</t>
        </is>
      </c>
      <c r="J48" s="14" t="inlineStr">
        <is>
          <t>2026-09-13</t>
        </is>
      </c>
      <c r="K48" s="14" t="inlineStr">
        <is>
          <t>-</t>
        </is>
      </c>
      <c r="L48" s="14" t="inlineStr">
        <is>
          <t>6000.0</t>
        </is>
      </c>
      <c r="M48" s="14" t="inlineStr">
        <is>
          <t>150.0</t>
        </is>
      </c>
      <c r="N48" s="25" t="inlineStr">
        <is>
          <t>NEW</t>
        </is>
      </c>
      <c r="O48" s="14" t="inlineStr">
        <is>
          <t>غير متوافقة مع اختصاصات KBM</t>
        </is>
      </c>
      <c r="P48" s="22">
        <f>HYPERLINK("https://kuwaitalyawm.media.gov.kw/Online/ViewAdsHTML?id=170492&amp;no=1", "عرض المصدر")</f>
        <v/>
      </c>
    </row>
    <row r="49">
      <c r="A49" s="11" t="inlineStr">
        <is>
          <t>2027/2026/1526</t>
        </is>
      </c>
      <c r="B49" s="11" t="inlineStr">
        <is>
          <t>المؤسسة العامة للرعاية السكنية</t>
        </is>
      </c>
      <c r="C49" s="11" t="inlineStr">
        <is>
          <t>Eiman Ashkanani</t>
        </is>
      </c>
      <c r="D49" s="11" t="inlineStr">
        <is>
          <t>مناقصة رقم 2027/2026/1526 - المؤسسة العامة للرعاية السكنية</t>
        </is>
      </c>
      <c r="E49" s="11" t="inlineStr">
        <is>
          <t>أعمال وتوريدات مناقصة رقم 2027/2026/1526 لصالح المؤسسة العامة للرعاية السكنية وفقاً للشروط والمواصفات المعتمدة في وثائق الطرح.</t>
        </is>
      </c>
      <c r="F49" s="11" t="inlineStr">
        <is>
          <t>• - ورقتا صيغة العطاء وإجمالي قيمة العطاء (نسخاً أصلية) مستكملة البيانات ومختومة وموقعة.
• - التأمين الأولي (الكفالة الأولية)
• - شهادة استيفاء نسبة العمالة الوطنية الصادرة من قبل الهيئة العامة للقوى العاملة سارية المفعول، علما بأنه سيتم استبعاد العطاءات التي لا تتضمن تلك الشهادة.
• ثالثا: مستندات التأهيل (الأسس والمعايير):
• المستندات الفنية المطلوبة: -
• (1) أن يكون لدى المناقص خبرة سابقة مشابهة لطبيعة أعمال المناقصة المطروحة وأنه نفذ أعمال خلال العشر سنوات الأخيرة في مجال الاختصاص عن طريق الجهاز المركزي للمناقصات العامة أو الجهات الحكومية أو المؤسسات التابعة للحكومة بدولة الكويت.
• - مشروع لا تقل قيمته عن (250,000) مئتان وخمسون الفاً دينار كويتي متضمنة:
•  نسخة موثقة من وثيقة المشروع المنفذ موضحا به قيمة العقد ومدته التنفيذية، وشهادة الإنجاز صادرة من قبل الجهة التي تم التعاقد معها لتنفيذ الاعمال لنفس المشروع.
• المستندات المالية:
• - يجب ألا تقل قيمة رأس مال الشركة عن (1,000,000) دينار كويتي أو ما يعادلها بالعملات الأخرى مدعمة بمستندات ثبوتية.
• - على الشركة تقديم البيانات المالية الكاملة (قائمة الدخل الميزانية العمومية، قائمة التدفق النقدي) للشركة عن آخر (3) سنوات معتمدة من مكتب تدقيق ومصدقة من وزارة التجارة والصناعة. وسيتم التقييم المالي للشركات المتقدمة / المناقصين بناء على ما ورد في في المستند رقم (6) بالوثيقة رقم( 4-7) الشروط والمتطلبات الواجب توافرها في مقدم العطاء (الوضع المالي) .
• - على الشركة تقديم شهادات من البنوك التي يتعامل معها المناقص تبين وضعه المالي ومدى استعداد البنوك لتقديم تسهيلات له وعلى ان تكون الشهادات سارية المفعول وصادره خلال سنة طرح المناقصة.
• رابعاً: القواعد والشروط: -
• 1. يجب على المناقص تقديم عدد (1) نسخة ورقية أصلية من جداول الكميات وعدد (3) نسخ الكترونية وبحيث تكون كل نسخة كاملة على فلاش ميموري .
• 2. يجب أن تكون جميع المستندات والبيانات المقدمة من قبل الشركات والمؤسسات واضحة ومتسلسلة.
• 3. يحق للمؤسسة العامة للرعاية السكنية طلب أي نسخة أصلية للتأكد من مطابقتها لنسخ المستندات المرفقة.
• 4. يجب على المناقص تقديم إقرار وتعهد على صحة المعلومات والبيانات المقدمة مع تقديم العطاء.
• 6. ستخضع جميع المستندات المالية والقانونية للدراسة والتحليل المالي لتقييم القدرة المالية للشركة ومدى قابليتها للمشاركة بالمناقصة، وللمؤسسة العامة للرعاية السكنية الحق في رفض أي طلب إذا لم يكن مستوفي لشروط المناقصة.
• يعتبر هذا الاعلان جزء لا يتجزأ من وثائق المناقصة.
• المدير العام</t>
        </is>
      </c>
      <c r="G49" s="12" t="inlineStr">
        <is>
          <t>عام</t>
        </is>
      </c>
      <c r="H49" s="12" t="inlineStr">
        <is>
          <t>28.0%</t>
        </is>
      </c>
      <c r="I49" s="12" t="inlineStr">
        <is>
          <t>government</t>
        </is>
      </c>
      <c r="J49" s="12" t="inlineStr">
        <is>
          <t>2026-09-13</t>
        </is>
      </c>
      <c r="K49" s="12" t="inlineStr">
        <is>
          <t>2026-10-11</t>
        </is>
      </c>
      <c r="L49" s="12" t="inlineStr">
        <is>
          <t>10000.0</t>
        </is>
      </c>
      <c r="M49" s="12" t="inlineStr">
        <is>
          <t>300.0</t>
        </is>
      </c>
      <c r="N49" s="25" t="inlineStr">
        <is>
          <t>NEW</t>
        </is>
      </c>
      <c r="O49" s="12" t="inlineStr">
        <is>
          <t>غير متوافقة مع اختصاصات KBM</t>
        </is>
      </c>
      <c r="P49" s="23">
        <f>HYPERLINK("https://kuwaitalyawm.media.gov.kw/Online/ViewAdsHTML?id=170493&amp;no=1", "عرض المصدر")</f>
        <v/>
      </c>
    </row>
    <row r="50">
      <c r="A50" s="13" t="inlineStr">
        <is>
          <t>2027/2026/1532</t>
        </is>
      </c>
      <c r="B50" s="13" t="inlineStr">
        <is>
          <t>المؤسسة العامة للرعاية السكنية</t>
        </is>
      </c>
      <c r="C50" s="13" t="inlineStr">
        <is>
          <t>Eiman Ashkanani</t>
        </is>
      </c>
      <c r="D50" s="13" t="inlineStr">
        <is>
          <t>مناقصة رقم 2027/2026/1532: تاريخ الإقفال وتقديم العطاءات: 24/9/2026 بدلا من 6/9/2026م.</t>
        </is>
      </c>
      <c r="E50" s="13" t="inlineStr">
        <is>
          <t>أعمال وتوريدات 24/9/2026 بدلا من 6/9/2026م. لصالح المؤسسة العامة للرعاية السكنية وفقاً للشروط والمواصفات المعتمدة في وثائق الطرح.</t>
        </is>
      </c>
      <c r="F5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50" s="14" t="inlineStr">
        <is>
          <t>عام</t>
        </is>
      </c>
      <c r="H50" s="14" t="inlineStr">
        <is>
          <t>28.0%</t>
        </is>
      </c>
      <c r="I50" s="14" t="inlineStr">
        <is>
          <t>government</t>
        </is>
      </c>
      <c r="J50" s="14" t="inlineStr">
        <is>
          <t>2026-09-06</t>
        </is>
      </c>
      <c r="K50" s="14" t="inlineStr">
        <is>
          <t>2026-09-24</t>
        </is>
      </c>
      <c r="L50" s="14" t="inlineStr">
        <is>
          <t>-</t>
        </is>
      </c>
      <c r="M50" s="14" t="inlineStr">
        <is>
          <t>-</t>
        </is>
      </c>
      <c r="N50" s="25" t="inlineStr">
        <is>
          <t>NEW</t>
        </is>
      </c>
      <c r="O50" s="14" t="inlineStr">
        <is>
          <t>غير متوافقة مع اختصاصات KBM</t>
        </is>
      </c>
      <c r="P50" s="22">
        <f>HYPERLINK("https://kuwaitalyawm.media.gov.kw/Online/ViewAdsHTML?id=169402&amp;no=1", "عرض المصدر")</f>
        <v/>
      </c>
    </row>
    <row r="51">
      <c r="A51" s="11" t="inlineStr">
        <is>
          <t>2027/2026/1302</t>
        </is>
      </c>
      <c r="B51" s="11" t="inlineStr">
        <is>
          <t>المؤسسة العامة للرعاية السكنية</t>
        </is>
      </c>
      <c r="C51" s="11" t="inlineStr">
        <is>
          <t>Eiman Ashkanani</t>
        </is>
      </c>
      <c r="D51" s="11" t="inlineStr">
        <is>
          <t>مناقصة رقم 2027/2026/1302: أعمال إنشاء وإنـجاز وصيانة طبقة الاسفلت السطحية</t>
        </is>
      </c>
      <c r="E51" s="11" t="inlineStr">
        <is>
          <t>تنفيذ الأعمال المدنية والإنشائية والترميم والصيانة العامة للمباني والمنشآت والمرافق التابعة للجهة.</t>
        </is>
      </c>
      <c r="F5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51" s="12" t="inlineStr">
        <is>
          <t>عام</t>
        </is>
      </c>
      <c r="H51" s="12" t="inlineStr">
        <is>
          <t>28.0%</t>
        </is>
      </c>
      <c r="I51" s="12" t="inlineStr">
        <is>
          <t>government</t>
        </is>
      </c>
      <c r="J51" s="12" t="inlineStr">
        <is>
          <t>2026-08-23</t>
        </is>
      </c>
      <c r="K51" s="12" t="inlineStr">
        <is>
          <t>2026-09-13</t>
        </is>
      </c>
      <c r="L51" s="12" t="inlineStr">
        <is>
          <t>-</t>
        </is>
      </c>
      <c r="M51" s="12" t="inlineStr">
        <is>
          <t>-</t>
        </is>
      </c>
      <c r="N51" s="25" t="inlineStr">
        <is>
          <t>NEW</t>
        </is>
      </c>
      <c r="O51" s="12" t="inlineStr">
        <is>
          <t>غير متوافقة مع اختصاصات KBM</t>
        </is>
      </c>
      <c r="P51" s="23">
        <f>HYPERLINK("https://kuwaitalyawm.media.gov.kw/Online/ViewAdsHTML?id=167880&amp;no=1", "عرض المصدر")</f>
        <v/>
      </c>
    </row>
    <row r="52">
      <c r="A52" s="13" t="inlineStr">
        <is>
          <t>2027/2026/1434</t>
        </is>
      </c>
      <c r="B52" s="13" t="inlineStr">
        <is>
          <t>المؤسسة العامة للرعاية السكنية</t>
        </is>
      </c>
      <c r="C52" s="13" t="inlineStr">
        <is>
          <t>Eiman Ashkanani</t>
        </is>
      </c>
      <c r="D52" s="13" t="inlineStr">
        <is>
          <t>مناقصة رقم 2027/2026/1434 - المؤسسة العامة للرعاية السكنية</t>
        </is>
      </c>
      <c r="E52" s="13" t="inlineStr">
        <is>
          <t>أعمال وتوريدات مناقصة رقم 2027/2026/1434 لصالح المؤسسة العامة للرعاية السكنية وفقاً للشروط والمواصفات المعتمدة في وثائق الطرح.</t>
        </is>
      </c>
      <c r="F5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52" s="14" t="inlineStr">
        <is>
          <t>عام</t>
        </is>
      </c>
      <c r="H52" s="14" t="inlineStr">
        <is>
          <t>0.0%</t>
        </is>
      </c>
      <c r="I52" s="14" t="inlineStr">
        <is>
          <t>government</t>
        </is>
      </c>
      <c r="J52" s="14" t="inlineStr">
        <is>
          <t>2026-08-23</t>
        </is>
      </c>
      <c r="K52" s="14" t="inlineStr">
        <is>
          <t>2026-08-26</t>
        </is>
      </c>
      <c r="L52" s="14" t="inlineStr">
        <is>
          <t>-</t>
        </is>
      </c>
      <c r="M52" s="14" t="inlineStr">
        <is>
          <t>-</t>
        </is>
      </c>
      <c r="N52" s="25" t="inlineStr">
        <is>
          <t>NEW</t>
        </is>
      </c>
      <c r="O52" s="14" t="inlineStr">
        <is>
          <t>غير متوافقة مع اختصاصات KBM</t>
        </is>
      </c>
      <c r="P52" s="22">
        <f>HYPERLINK("https://kuwaitalyawm.media.gov.kw/Online/ViewAdsHTML?id=167881&amp;no=1", "عرض المصدر")</f>
        <v/>
      </c>
    </row>
    <row r="53">
      <c r="A53" s="11" t="inlineStr">
        <is>
          <t>2027/2026/1435</t>
        </is>
      </c>
      <c r="B53" s="11" t="inlineStr">
        <is>
          <t>المؤسسة العامة للرعاية السكنية</t>
        </is>
      </c>
      <c r="C53" s="11" t="inlineStr">
        <is>
          <t>Eiman Ashkanani</t>
        </is>
      </c>
      <c r="D53" s="11" t="inlineStr">
        <is>
          <t>مناقصة رقم 2027/2026/1435 - المؤسسة العامة للرعاية السكنية</t>
        </is>
      </c>
      <c r="E53" s="11" t="inlineStr">
        <is>
          <t>أعمال وتوريدات مناقصة رقم 2027/2026/1435 لصالح المؤسسة العامة للرعاية السكنية وفقاً للشروط والمواصفات المعتمدة في وثائق الطرح.</t>
        </is>
      </c>
      <c r="F5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53" s="12" t="inlineStr">
        <is>
          <t>عام</t>
        </is>
      </c>
      <c r="H53" s="12" t="inlineStr">
        <is>
          <t>0.0%</t>
        </is>
      </c>
      <c r="I53" s="12" t="inlineStr">
        <is>
          <t>government</t>
        </is>
      </c>
      <c r="J53" s="12" t="inlineStr">
        <is>
          <t>2026-08-23</t>
        </is>
      </c>
      <c r="K53" s="12" t="inlineStr">
        <is>
          <t>2026-08-26</t>
        </is>
      </c>
      <c r="L53" s="12" t="inlineStr">
        <is>
          <t>-</t>
        </is>
      </c>
      <c r="M53" s="12" t="inlineStr">
        <is>
          <t>-</t>
        </is>
      </c>
      <c r="N53" s="25" t="inlineStr">
        <is>
          <t>NEW</t>
        </is>
      </c>
      <c r="O53" s="12" t="inlineStr">
        <is>
          <t>غير متوافقة مع اختصاصات KBM</t>
        </is>
      </c>
      <c r="P53" s="23">
        <f>HYPERLINK("https://kuwaitalyawm.media.gov.kw/Online/ViewAdsHTML?id=167882&amp;no=1", "عرض المصدر")</f>
        <v/>
      </c>
    </row>
    <row r="54">
      <c r="A54" s="13" t="inlineStr">
        <is>
          <t>ه ز / م م/5/2026/2027</t>
        </is>
      </c>
      <c r="B54" s="13" t="inlineStr">
        <is>
          <t>الهيئة العامة لشؤون الزراعة والثروة السمكية</t>
        </is>
      </c>
      <c r="C54" s="13" t="inlineStr">
        <is>
          <t>Eiman Ashkanani</t>
        </is>
      </c>
      <c r="D54" s="13" t="inlineStr">
        <is>
          <t>تنفيذ و تطوير و صيانة الزراعات التجميلية و الري في الطرق السريعة و الخارجية (القطاع الشمالي)</t>
        </is>
      </c>
      <c r="E54" s="13" t="inlineStr">
        <is>
          <t>أعمال وتوريدات تنفيذ و تطوير و صيانة الزراعات التجميلية و الري في الطرق السريعة و الخارجية (القطاع الشمالي) لصالح الهيئة العامة لشؤون الزراعة والثروة السمكية وفقاً للشروط والمواصفات المعتمدة في وثائق الطرح.</t>
        </is>
      </c>
      <c r="F5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54" s="14" t="inlineStr">
        <is>
          <t>عام</t>
        </is>
      </c>
      <c r="H54" s="14" t="inlineStr">
        <is>
          <t>0.0%</t>
        </is>
      </c>
      <c r="I54" s="14" t="inlineStr">
        <is>
          <t>government</t>
        </is>
      </c>
      <c r="J54" s="14" t="inlineStr">
        <is>
          <t>2026-09-20</t>
        </is>
      </c>
      <c r="K54" s="14" t="inlineStr">
        <is>
          <t>2026-12-15</t>
        </is>
      </c>
      <c r="L54" s="14" t="inlineStr">
        <is>
          <t>23000.000 KWD</t>
        </is>
      </c>
      <c r="M54" s="14" t="inlineStr">
        <is>
          <t>1000.000 KWD</t>
        </is>
      </c>
      <c r="N54" s="26" t="inlineStr">
        <is>
          <t>UNCHANGED</t>
        </is>
      </c>
      <c r="O54" s="14" t="inlineStr">
        <is>
          <t>غير متوافقة مع اختصاصات KBM</t>
        </is>
      </c>
      <c r="P54" s="22">
        <f>HYPERLINK("https://capt.gov.kw/ar/tenders/opening-tenders/#card-2", "عرض المصدر")</f>
        <v/>
      </c>
    </row>
    <row r="55">
      <c r="A55" s="11" t="inlineStr">
        <is>
          <t>هـ ز / م م / 9/2025/2026</t>
        </is>
      </c>
      <c r="B55" s="11" t="inlineStr">
        <is>
          <t>الهيئة العامة لشؤون الزراعة والثروة السمكية</t>
        </is>
      </c>
      <c r="C55" s="11" t="inlineStr">
        <is>
          <t>Eiman Ashkanani</t>
        </is>
      </c>
      <c r="D55" s="11" t="inlineStr">
        <is>
          <t>شراء و توريد أغذية متنوعة لحديقة الحيوان بالعمرية</t>
        </is>
      </c>
      <c r="E55" s="11" t="inlineStr">
        <is>
          <t>أعمال وتوريدات شراء و توريد أغذية متنوعة لحديقة الحيوان بالعمرية لصالح الهيئة العامة لشؤون الزراعة والثروة السمكية وفقاً للشروط والمواصفات المعتمدة في وثائق الطرح.</t>
        </is>
      </c>
      <c r="F5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55" s="12" t="inlineStr">
        <is>
          <t>عام</t>
        </is>
      </c>
      <c r="H55" s="12" t="inlineStr">
        <is>
          <t>0.0%</t>
        </is>
      </c>
      <c r="I55" s="12" t="inlineStr">
        <is>
          <t>government</t>
        </is>
      </c>
      <c r="J55" s="12" t="inlineStr">
        <is>
          <t>2026-09-27</t>
        </is>
      </c>
      <c r="K55" s="12" t="inlineStr">
        <is>
          <t>2026-12-22</t>
        </is>
      </c>
      <c r="L55" s="12" t="inlineStr">
        <is>
          <t>7500.000 KWD</t>
        </is>
      </c>
      <c r="M55" s="12" t="inlineStr">
        <is>
          <t>1000.000 KWD</t>
        </is>
      </c>
      <c r="N55" s="26" t="inlineStr">
        <is>
          <t>UNCHANGED</t>
        </is>
      </c>
      <c r="O55" s="12" t="inlineStr">
        <is>
          <t>غير متوافقة مع اختصاصات KBM</t>
        </is>
      </c>
      <c r="P55" s="23">
        <f>HYPERLINK("https://capt.gov.kw/ar/tenders/opening-tenders/#card-7", "عرض المصدر")</f>
        <v/>
      </c>
    </row>
    <row r="56">
      <c r="A56" s="13" t="inlineStr">
        <is>
          <t>2027/2026/3</t>
        </is>
      </c>
      <c r="B56" s="13" t="inlineStr">
        <is>
          <t>الهيئة العامة للبيئة</t>
        </is>
      </c>
      <c r="C56" s="13" t="inlineStr">
        <is>
          <t>Eiman Ashkanani</t>
        </is>
      </c>
      <c r="D56" s="13" t="inlineStr">
        <is>
          <t>ممارسة رقم 2027/2026/3: توفير خدمات تقنية المعلومات والصيانة والدعم الفني</t>
        </is>
      </c>
      <c r="E56" s="13" t="inlineStr">
        <is>
          <t>تنفيذ أعمال توفير خدمات تقنية المعلومات والصيانة والدعم الفني، وتوفير كافة الأجهزة والمعدات والأنظمة وخدمات الدعم الفني والضمان وفقاً لكراسة الشروط والمواصفات الفنية.</t>
        </is>
      </c>
      <c r="F5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56" s="24" t="inlineStr">
        <is>
          <t>قطاع العمليات المدارة والدعم الفني متعدد الموردين</t>
        </is>
      </c>
      <c r="H56" s="14" t="inlineStr">
        <is>
          <t>64.0%</t>
        </is>
      </c>
      <c r="I56" s="14" t="inlineStr">
        <is>
          <t>government</t>
        </is>
      </c>
      <c r="J56" s="14" t="inlineStr">
        <is>
          <t>2026-09-27</t>
        </is>
      </c>
      <c r="K56" s="14" t="inlineStr">
        <is>
          <t>2026-10-27</t>
        </is>
      </c>
      <c r="L56" s="14" t="inlineStr">
        <is>
          <t>-</t>
        </is>
      </c>
      <c r="M56" s="14" t="inlineStr">
        <is>
          <t>30.0 KWD</t>
        </is>
      </c>
      <c r="N56" s="21" t="inlineStr">
        <is>
          <t>UPDATED</t>
        </is>
      </c>
      <c r="O56" s="14" t="inlineStr">
        <is>
          <t>فرصة ICT متوافقة مع قدرات KBM</t>
        </is>
      </c>
      <c r="P56" s="22">
        <f>HYPERLINK("https://kuwaitalyawm.media.gov.kw/Online/ViewAdsHTML?id=171677&amp;no=1", "عرض المصدر")</f>
        <v/>
      </c>
    </row>
    <row r="57">
      <c r="A57" s="11" t="inlineStr">
        <is>
          <t>هـ ع ر2/2026/2027</t>
        </is>
      </c>
      <c r="B57" s="11" t="inlineStr">
        <is>
          <t>الهيئة العامة للرياضة</t>
        </is>
      </c>
      <c r="C57" s="11" t="inlineStr">
        <is>
          <t>Eiman Ashkanani</t>
        </is>
      </c>
      <c r="D57" s="11" t="inlineStr">
        <is>
          <t>بشأن اعمال صيانة مشروع تهيئة البنية التحتية ومركز البيانات الخاص بالهيئة العامة للرياضة وغرفة البيانات الاحتياطية باستاد جابر</t>
        </is>
      </c>
      <c r="E57" s="11" t="inlineStr">
        <is>
          <t>أعمال وتوريدات بشأن اعمال صيانة مشروع تهيئة البنية التحتية ومركز البيانات الخاص بالهيئة العامة للرياضة وغرفة البيانات الاحتياطية باستاد جابر لصالح الهيئة العامة للرياضة وفقاً للشروط والمواصفات المعتمدة في وثائق الطرح.</t>
        </is>
      </c>
      <c r="F5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57" s="12" t="inlineStr">
        <is>
          <t>قطاع العمليات المدارة والدعم الفني متعدد الموردين</t>
        </is>
      </c>
      <c r="H57" s="12" t="inlineStr">
        <is>
          <t>49.0%</t>
        </is>
      </c>
      <c r="I57" s="12" t="inlineStr">
        <is>
          <t>government</t>
        </is>
      </c>
      <c r="J57" s="12" t="inlineStr">
        <is>
          <t>2026-10-11</t>
        </is>
      </c>
      <c r="K57" s="12" t="inlineStr">
        <is>
          <t>2027-01-10</t>
        </is>
      </c>
      <c r="L57" s="12" t="inlineStr">
        <is>
          <t>6000.000 KWD</t>
        </is>
      </c>
      <c r="M57" s="12" t="inlineStr">
        <is>
          <t>300.000 KWD</t>
        </is>
      </c>
      <c r="N57" s="26" t="inlineStr">
        <is>
          <t>UNCHANGED</t>
        </is>
      </c>
      <c r="O57" s="12" t="inlineStr">
        <is>
          <t>فرصة تتطلب شراكة أو دراسة نطاق</t>
        </is>
      </c>
      <c r="P57" s="23">
        <f>HYPERLINK("https://capt.gov.kw/ar/tenders/opening-tenders/#card-5", "عرض المصدر")</f>
        <v/>
      </c>
    </row>
    <row r="58">
      <c r="A58" s="13" t="inlineStr">
        <is>
          <t>هـ ع ص / 9 / 2024-2027</t>
        </is>
      </c>
      <c r="B58" s="13" t="inlineStr">
        <is>
          <t>الهيئة العامة للصناعة</t>
        </is>
      </c>
      <c r="C58" s="13" t="inlineStr">
        <is>
          <t>Eiman Ashkanani</t>
        </is>
      </c>
      <c r="D58" s="13" t="inlineStr">
        <is>
          <t>صيانة وتطوير وتشغيل الأنظمة ( الإجراءات الصناعية – المسار الواحد- المعالجة الذاتية- النماذج الالكترونية – نظام الصيانة – mobile app  - شؤون الاعتماد – استبيان العملاء  – log management - الفواتير الإلكترونية ) بالهيئة العامة للصناعة</t>
        </is>
      </c>
      <c r="E58" s="13" t="inlineStr">
        <is>
          <t>تنفيذ أعمال صيانة وتطوير وتشغيل الأنظمة ( الإجراءات الصناعية – المسار الواحد- المعالجة الذاتية- النماذج الالكترونية – نظام الصيانة – mobile app  - شؤون الاعتماد – استبيان العملاء  – log management - الفواتير الإلكترونية ) بالهيئة العامة للصناعة، وتوفير كافة الأجهزة والمعدات والأنظمة وخدمات الدعم الفني والضمان وفقاً لكراسة الشروط والمواصفات الفنية.</t>
        </is>
      </c>
      <c r="F5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58" s="24" t="inlineStr">
        <is>
          <t>عام</t>
        </is>
      </c>
      <c r="H58" s="14" t="inlineStr">
        <is>
          <t>0.0%</t>
        </is>
      </c>
      <c r="I58" s="14" t="inlineStr">
        <is>
          <t>government</t>
        </is>
      </c>
      <c r="J58" s="14" t="inlineStr">
        <is>
          <t>2026-08-23</t>
        </is>
      </c>
      <c r="K58" s="18" t="inlineStr">
        <is>
          <t>2026-10-20</t>
        </is>
      </c>
      <c r="L58" s="14" t="inlineStr">
        <is>
          <t>23000.000 KWD</t>
        </is>
      </c>
      <c r="M58" s="14" t="inlineStr">
        <is>
          <t>1000.000 KWD</t>
        </is>
      </c>
      <c r="N58" s="25" t="inlineStr">
        <is>
          <t>NEW</t>
        </is>
      </c>
      <c r="O58" s="14" t="inlineStr">
        <is>
          <t>غير متوافقة مع اختصاصات KBM</t>
        </is>
      </c>
      <c r="P58" s="22">
        <f>HYPERLINK("https://capt.gov.kw/ar/tenders/opening-tenders/#card-3", "عرض المصدر")</f>
        <v/>
      </c>
    </row>
    <row r="59">
      <c r="A59" s="11" t="inlineStr">
        <is>
          <t>14/2024</t>
        </is>
      </c>
      <c r="B59" s="11" t="inlineStr">
        <is>
          <t>الهيئة العامة للصناعة</t>
        </is>
      </c>
      <c r="C59" s="11" t="inlineStr">
        <is>
          <t>Eiman Ashkanani</t>
        </is>
      </c>
      <c r="D59" s="11" t="inlineStr">
        <is>
          <t>المناقصة رقم (هـ ع ص/2024/14) بشأن صيانة وتطوير وتشغيل وضمان أنظمة (المشاريع - العقود - المواصفات) بالهيئة العامة للصناعة</t>
        </is>
      </c>
      <c r="E59" s="11" t="inlineStr">
        <is>
          <t>تنفيذ أعمال المناقصة رقم (هـ ع ص/2024/14) بشأن صيانة وتطوير وتشغيل وضمان أنظمة (المشاريع - العقود - المواصفات) بالهيئة العامة للصناعة، وتوفير كافة الأجهزة والمعدات والأنظمة وخدمات الدعم الفني والضمان وفقاً لكراسة الشروط والمواصفات الفنية.</t>
        </is>
      </c>
      <c r="F5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59" s="24" t="inlineStr">
        <is>
          <t>عام</t>
        </is>
      </c>
      <c r="H59" s="12" t="inlineStr">
        <is>
          <t>0.0%</t>
        </is>
      </c>
      <c r="I59" s="12" t="inlineStr">
        <is>
          <t>government</t>
        </is>
      </c>
      <c r="J59" s="12" t="inlineStr">
        <is>
          <t>2026-09-06</t>
        </is>
      </c>
      <c r="K59" s="12" t="inlineStr">
        <is>
          <t>2026-11-03</t>
        </is>
      </c>
      <c r="L59" s="12" t="inlineStr">
        <is>
          <t>23000.000 KWD</t>
        </is>
      </c>
      <c r="M59" s="12" t="inlineStr">
        <is>
          <t>1000.000 KWD</t>
        </is>
      </c>
      <c r="N59" s="26" t="inlineStr">
        <is>
          <t>UNCHANGED</t>
        </is>
      </c>
      <c r="O59" s="12" t="inlineStr">
        <is>
          <t>غير متوافقة مع اختصاصات KBM</t>
        </is>
      </c>
      <c r="P59" s="23">
        <f>HYPERLINK("https://capt.gov.kw/ar/tenders/opening-tenders/#card-4", "عرض المصدر")</f>
        <v/>
      </c>
    </row>
    <row r="60">
      <c r="A60" s="13" t="inlineStr">
        <is>
          <t>12/2025</t>
        </is>
      </c>
      <c r="B60" s="13" t="inlineStr">
        <is>
          <t>الهيئة العامة للصناعة</t>
        </is>
      </c>
      <c r="C60" s="13" t="inlineStr">
        <is>
          <t>Eiman Ashkanani</t>
        </is>
      </c>
      <c r="D60" s="13" t="inlineStr">
        <is>
          <t>أعمال صيانة المعدات وصيانة الميكانيكية والكهربائية ومعدات التكييف المنشآت المدنية والبحرية لمحطات مياه التبريد بمنطقة الشعيبة الغربية</t>
        </is>
      </c>
      <c r="E60" s="13" t="inlineStr">
        <is>
          <t>أعمال صيانة وتشغيل وإصلاح وحدات ومحطات التكييف المركزي والمبردات وضواغط الهواء وشبكات مجاري الهواء.</t>
        </is>
      </c>
      <c r="F6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60" s="14" t="inlineStr">
        <is>
          <t>عام</t>
        </is>
      </c>
      <c r="H60" s="14" t="inlineStr">
        <is>
          <t>0.0%</t>
        </is>
      </c>
      <c r="I60" s="14" t="inlineStr">
        <is>
          <t>government</t>
        </is>
      </c>
      <c r="J60" s="14" t="inlineStr">
        <is>
          <t>سبتمبر 27, 2026</t>
        </is>
      </c>
      <c r="K60" s="14" t="inlineStr">
        <is>
          <t>2026-12-22</t>
        </is>
      </c>
      <c r="L60" s="14" t="inlineStr">
        <is>
          <t>45000.000 KWD</t>
        </is>
      </c>
      <c r="M60" s="14" t="inlineStr">
        <is>
          <t>1000.000 KWD</t>
        </is>
      </c>
      <c r="N60" s="26" t="inlineStr">
        <is>
          <t>UNCHANGED</t>
        </is>
      </c>
      <c r="O60" s="14" t="inlineStr">
        <is>
          <t>غير متوافقة مع اختصاصات KBM</t>
        </is>
      </c>
      <c r="P60" s="22">
        <f>HYPERLINK("https://capt.gov.kw/ar/tenders/opening-tenders/#card-0", "عرض المصدر")</f>
        <v/>
      </c>
    </row>
    <row r="61">
      <c r="A61" s="11" t="inlineStr">
        <is>
          <t>2027/2026/9</t>
        </is>
      </c>
      <c r="B61" s="11" t="inlineStr">
        <is>
          <t>الهيئة العامة للمعلومات المدنية</t>
        </is>
      </c>
      <c r="C61" s="11" t="inlineStr">
        <is>
          <t>Raed Obeid</t>
        </is>
      </c>
      <c r="D61" s="11" t="inlineStr">
        <is>
          <t>ممارسة رقم 2027/2026/9: بشـأن صيانة المعدات الميكانيكية والكهربائية بالهيئة</t>
        </is>
      </c>
      <c r="E61" s="11" t="inlineStr">
        <is>
          <t>أعمال وتوريدات بشـأن صيانة المعدات الميكانيكية والكهربائية بالهيئة لصالح الهيئة العامة للمعلومات المدنية وفقاً للشروط والمواصفات المعتمدة في وثائق الطرح.</t>
        </is>
      </c>
      <c r="F6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61" s="12" t="inlineStr">
        <is>
          <t>عام</t>
        </is>
      </c>
      <c r="H61" s="12" t="inlineStr">
        <is>
          <t>15.0%</t>
        </is>
      </c>
      <c r="I61" s="12" t="inlineStr">
        <is>
          <t>government</t>
        </is>
      </c>
      <c r="J61" s="12" t="inlineStr">
        <is>
          <t>2026-09-27</t>
        </is>
      </c>
      <c r="K61" s="12" t="inlineStr">
        <is>
          <t>-</t>
        </is>
      </c>
      <c r="L61" s="12" t="inlineStr">
        <is>
          <t>-</t>
        </is>
      </c>
      <c r="M61" s="12" t="inlineStr">
        <is>
          <t>50.0 KWD</t>
        </is>
      </c>
      <c r="N61" s="21" t="inlineStr">
        <is>
          <t>UPDATED</t>
        </is>
      </c>
      <c r="O61" s="12" t="inlineStr">
        <is>
          <t>غير متوافقة مع اختصاصات KBM</t>
        </is>
      </c>
      <c r="P61" s="23">
        <f>HYPERLINK("https://kuwaitalyawm.media.gov.kw/Online/ViewAdsHTML?id=171695&amp;no=1", "عرض المصدر")</f>
        <v/>
      </c>
    </row>
    <row r="62">
      <c r="A62" s="13" t="inlineStr">
        <is>
          <t>2026/16</t>
        </is>
      </c>
      <c r="B62" s="13" t="inlineStr">
        <is>
          <t>بيت الزكاة</t>
        </is>
      </c>
      <c r="C62" s="13" t="inlineStr">
        <is>
          <t>Eiman Ashkanani</t>
        </is>
      </c>
      <c r="D62" s="13" t="inlineStr">
        <is>
          <t>ممارسة رقم 2026/16: توفير خدمات إنشاء وتطوير وصيانة أنظمة أوراكل</t>
        </is>
      </c>
      <c r="E62" s="13" t="inlineStr">
        <is>
          <t>تنفيذ أعمال توفير خدمات إنشاء وتطوير وصيانة أنظمة أوراكل، وتوفير كافة الأجهزة والمعدات والأنظمة وخدمات الدعم الفني والضمان وفقاً لكراسة الشروط والمواصفات الفنية.</t>
        </is>
      </c>
      <c r="F62" s="13" t="inlineStr">
        <is>
          <t>• https://www.zakathouse.org.kw/tender.aspx</t>
        </is>
      </c>
      <c r="G62" s="24" t="inlineStr">
        <is>
          <t>قطاع العمليات المدارة والدعم الفني متعدد الموردين</t>
        </is>
      </c>
      <c r="H62" s="14" t="inlineStr">
        <is>
          <t>84.0%</t>
        </is>
      </c>
      <c r="I62" s="14" t="inlineStr">
        <is>
          <t>government</t>
        </is>
      </c>
      <c r="J62" s="14" t="inlineStr">
        <is>
          <t>2026-09-27</t>
        </is>
      </c>
      <c r="K62" s="14" t="inlineStr">
        <is>
          <t>-</t>
        </is>
      </c>
      <c r="L62" s="14" t="inlineStr">
        <is>
          <t>-</t>
        </is>
      </c>
      <c r="M62" s="14" t="inlineStr">
        <is>
          <t>75.0 KWD</t>
        </is>
      </c>
      <c r="N62" s="21" t="inlineStr">
        <is>
          <t>UPDATED</t>
        </is>
      </c>
      <c r="O62" s="14" t="inlineStr">
        <is>
          <t>فرصة استراتيجية رئيسية (موصى بالتقديم)</t>
        </is>
      </c>
      <c r="P62" s="22">
        <f>HYPERLINK("https://kuwaitalyawm.media.gov.kw/Online/ViewAdsHTML?id=171714&amp;no=1", "عرض المصدر")</f>
        <v/>
      </c>
    </row>
    <row r="63">
      <c r="A63" s="11" t="inlineStr">
        <is>
          <t>5/2025-2026</t>
        </is>
      </c>
      <c r="B63" s="11" t="inlineStr">
        <is>
          <t>ديوان المحاسبة</t>
        </is>
      </c>
      <c r="C63" s="11" t="inlineStr">
        <is>
          <t>Eiman Ashkanani</t>
        </is>
      </c>
      <c r="D63" s="11" t="inlineStr">
        <is>
          <t>توريد وتركيب وتشغيل وصيانة وضمان أجهزة  محــولات الشبكــة Access Switches وجهــاز إدارة الـمحــولات  Catalyst Center (بالإضــافــة للرخــص والـقـطــع الـمـلحقـــة(</t>
        </is>
      </c>
      <c r="E63" s="11" t="inlineStr">
        <is>
          <t>تنفيذ أعمال توريد وتركيب وتشغيل وصيانة وضمان أجهزة  محــولات الشبكــة Access Switches وجهــاز إدارة الـمحــولات  Catalyst Center (بالإضــافــة للرخــص والـقـطــع الـمـلحقـــة(، وتوفير كافة الأجهزة والمعدات والأنظمة وخدمات الدعم الفني والضمان وفقاً لكراسة الشروط والمواصفات الفنية.</t>
        </is>
      </c>
      <c r="F6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63" s="24" t="inlineStr">
        <is>
          <t>قطاع العمليات المدارة والدعم الفني متعدد الموردين</t>
        </is>
      </c>
      <c r="H63" s="12" t="inlineStr">
        <is>
          <t>49.0%</t>
        </is>
      </c>
      <c r="I63" s="12" t="inlineStr">
        <is>
          <t>government</t>
        </is>
      </c>
      <c r="J63" s="12" t="inlineStr">
        <is>
          <t>2026-09-06</t>
        </is>
      </c>
      <c r="K63" s="12" t="inlineStr">
        <is>
          <t>2026-10-27</t>
        </is>
      </c>
      <c r="L63" s="12" t="inlineStr">
        <is>
          <t>3500.000 KWD</t>
        </is>
      </c>
      <c r="M63" s="12" t="inlineStr">
        <is>
          <t>150.000 KWD</t>
        </is>
      </c>
      <c r="N63" s="21" t="inlineStr">
        <is>
          <t>UPDATED</t>
        </is>
      </c>
      <c r="O63" s="12" t="inlineStr">
        <is>
          <t>فرصة تتطلب شراكة أو دراسة نطاق</t>
        </is>
      </c>
      <c r="P63" s="23">
        <f>HYPERLINK("https://capt.gov.kw/ar/tenders/opening-tenders/#card-1", "عرض المصدر")</f>
        <v/>
      </c>
    </row>
    <row r="64">
      <c r="A64" s="13" t="inlineStr">
        <is>
          <t>2026/09/07</t>
        </is>
      </c>
      <c r="B64" s="13" t="inlineStr">
        <is>
          <t>شركة إدارة المرافق العمومية</t>
        </is>
      </c>
      <c r="C64" s="13" t="inlineStr">
        <is>
          <t>Eiman Ashkanani</t>
        </is>
      </c>
      <c r="D64" s="13" t="inlineStr">
        <is>
          <t>مناقصة رقم 2026/09/07: بخصـوص القيام بأعمال الصيانة والإصلاح وإعادة التأهيل</t>
        </is>
      </c>
      <c r="E64" s="13" t="inlineStr">
        <is>
          <t>أعمال وتوريدات بخصـوص القيام بأعمال الصيانة والإصلاح وإعادة التأهيل لصالح شركة إدارة المرافق العمومية وفقاً للشروط والمواصفات المعتمدة في وثائق الطرح.</t>
        </is>
      </c>
      <c r="F64" s="13" t="inlineStr">
        <is>
          <t>• علماً بأنه آخر موعد لتقديم العطاءات يوم الخميس الموافـق 08/10/2026 الساعة الواحدة ظهراً  وسيتم عقد اجتماع تمهيدي يوم الأحد الموافق 27/09/2026 الساعة 10:00 صباحاً بمقر الشركة.</t>
        </is>
      </c>
      <c r="G64" s="14" t="inlineStr">
        <is>
          <t>عام</t>
        </is>
      </c>
      <c r="H64" s="14" t="inlineStr">
        <is>
          <t>0.0%</t>
        </is>
      </c>
      <c r="I64" s="14" t="inlineStr">
        <is>
          <t>government</t>
        </is>
      </c>
      <c r="J64" s="14" t="inlineStr">
        <is>
          <t>2026-09-13</t>
        </is>
      </c>
      <c r="K64" s="14" t="inlineStr">
        <is>
          <t>2026-10-08</t>
        </is>
      </c>
      <c r="L64" s="14" t="inlineStr">
        <is>
          <t>1500.0</t>
        </is>
      </c>
      <c r="M64" s="14" t="inlineStr">
        <is>
          <t>150.0</t>
        </is>
      </c>
      <c r="N64" s="25" t="inlineStr">
        <is>
          <t>NEW</t>
        </is>
      </c>
      <c r="O64" s="14" t="inlineStr">
        <is>
          <t>غير متوافقة مع اختصاصات KBM</t>
        </is>
      </c>
      <c r="P64" s="22">
        <f>HYPERLINK("https://kuwaitalyawm.media.gov.kw/Online/ViewAdsHTML?id=170505&amp;no=1", "عرض المصدر")</f>
        <v/>
      </c>
    </row>
    <row r="65">
      <c r="A65" s="11" t="inlineStr">
        <is>
          <t>2026/8/10</t>
        </is>
      </c>
      <c r="B65" s="11" t="inlineStr">
        <is>
          <t>شركة إدارة المرافق العمومية</t>
        </is>
      </c>
      <c r="C65" s="11" t="inlineStr">
        <is>
          <t>Eiman Ashkanani</t>
        </is>
      </c>
      <c r="D65" s="11" t="inlineStr">
        <is>
          <t>مناقصة رقم 2026/8/10: بخصـوص القيام بأعمـال تعديل وصيانة وإعادة توزيع مكاتب مقر شركة إدارة المرافق العمومية - بموقف الأحمدية متعدد الأدوار</t>
        </is>
      </c>
      <c r="E65" s="11" t="inlineStr">
        <is>
          <t>أعمال وتوريدات بخصـوص القيام بأعمـال تعديل وصيانة وإعادة توزيع مكاتب مقر شركة إدارة المرافق العمومية - بموقف الأحمدية متعدد الأدوار لصالح شركة إدارة المرافق العمومية وفقاً للشروط والمواصفات المعتمدة في وثائق الطرح.</t>
        </is>
      </c>
      <c r="F65" s="11" t="inlineStr">
        <is>
          <t>• علماً بأنه آخر موعد لتقديم العطاءات يوم الخميس الموافـق 10/09/2026 الساعة 01:00 ظهراً
• وسيتم عقد اجتماع تمهيدي يوم الاثنين الموافق 31/08/2026 الساعة 10:00 صباحا بمقر الشركة.</t>
        </is>
      </c>
      <c r="G65" s="12" t="inlineStr">
        <is>
          <t>عام</t>
        </is>
      </c>
      <c r="H65" s="12" t="inlineStr">
        <is>
          <t>0.0%</t>
        </is>
      </c>
      <c r="I65" s="12" t="inlineStr">
        <is>
          <t>government</t>
        </is>
      </c>
      <c r="J65" s="12" t="inlineStr">
        <is>
          <t>2026-08-30</t>
        </is>
      </c>
      <c r="K65" s="12" t="inlineStr">
        <is>
          <t>2026-09-10</t>
        </is>
      </c>
      <c r="L65" s="12" t="inlineStr">
        <is>
          <t>2000.0</t>
        </is>
      </c>
      <c r="M65" s="12" t="inlineStr">
        <is>
          <t>150.0</t>
        </is>
      </c>
      <c r="N65" s="25" t="inlineStr">
        <is>
          <t>NEW</t>
        </is>
      </c>
      <c r="O65" s="12" t="inlineStr">
        <is>
          <t>غير متوافقة مع اختصاصات KBM</t>
        </is>
      </c>
      <c r="P65" s="23">
        <f>HYPERLINK("https://kuwaitalyawm.media.gov.kw/Online/ViewAdsHTML?id=168758&amp;no=1", "عرض المصدر")</f>
        <v/>
      </c>
    </row>
    <row r="66">
      <c r="A66" s="13" t="inlineStr">
        <is>
          <t>PR 901782</t>
        </is>
      </c>
      <c r="B66" s="13" t="inlineStr">
        <is>
          <t>شركة البترول الكويتية العالمية</t>
        </is>
      </c>
      <c r="C66" s="13" t="inlineStr">
        <is>
          <t>Eiman Ashkanani</t>
        </is>
      </c>
      <c r="D66" s="13" t="inlineStr">
        <is>
          <t>مناقصة رقم PR 901782 - شركة البترول الكويتية العالمية</t>
        </is>
      </c>
      <c r="E66" s="13" t="inlineStr">
        <is>
          <t>أعمال وتوريدات مناقصة رقم PR 901782 لصالح شركة البترول الكويتية العالمية وفقاً للشروط والمواصفات المعتمدة في وثائق الطرح.</t>
        </is>
      </c>
      <c r="F6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66" s="14" t="inlineStr">
        <is>
          <t>عام</t>
        </is>
      </c>
      <c r="H66" s="14" t="inlineStr">
        <is>
          <t>28.0%</t>
        </is>
      </c>
      <c r="I66" s="14" t="inlineStr">
        <is>
          <t>government</t>
        </is>
      </c>
      <c r="J66" s="14" t="inlineStr">
        <is>
          <t>2026-09-27</t>
        </is>
      </c>
      <c r="K66" s="14" t="inlineStr">
        <is>
          <t>2026-10-27</t>
        </is>
      </c>
      <c r="L66" s="14" t="inlineStr">
        <is>
          <t>15000.0</t>
        </is>
      </c>
      <c r="M66" s="14" t="inlineStr">
        <is>
          <t>-</t>
        </is>
      </c>
      <c r="N66" s="25" t="inlineStr">
        <is>
          <t>NEW</t>
        </is>
      </c>
      <c r="O66" s="14" t="inlineStr">
        <is>
          <t>غير متوافقة مع اختصاصات KBM</t>
        </is>
      </c>
      <c r="P66" s="22">
        <f>HYPERLINK("https://kuwaitalyawm.media.gov.kw/Online/ViewAdsHTML?id=171723&amp;no=1", "عرض المصدر")</f>
        <v/>
      </c>
    </row>
    <row r="67">
      <c r="A67" s="11" t="inlineStr">
        <is>
          <t>601750</t>
        </is>
      </c>
      <c r="B67" s="11" t="inlineStr">
        <is>
          <t>شركة البترول الكويتية العالمية</t>
        </is>
      </c>
      <c r="C67" s="11" t="inlineStr">
        <is>
          <t>Eiman Ashkanani</t>
        </is>
      </c>
      <c r="D67" s="11" t="inlineStr">
        <is>
          <t>مناقصة رقم 601750 - شركة البترول الكويتية العالمية</t>
        </is>
      </c>
      <c r="E67" s="11" t="inlineStr">
        <is>
          <t>أعمال وتوريدات مناقصة رقم 601750 لصالح شركة البترول الكويتية العالمية وفقاً للشروط والمواصفات المعتمدة في وثائق الطرح.</t>
        </is>
      </c>
      <c r="F6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67" s="12" t="inlineStr">
        <is>
          <t>عام</t>
        </is>
      </c>
      <c r="H67" s="12" t="inlineStr">
        <is>
          <t>0.0%</t>
        </is>
      </c>
      <c r="I67" s="12" t="inlineStr">
        <is>
          <t>government</t>
        </is>
      </c>
      <c r="J67" s="12" t="inlineStr">
        <is>
          <t>2026-08-30</t>
        </is>
      </c>
      <c r="K67" s="12" t="inlineStr">
        <is>
          <t>2026-09-29</t>
        </is>
      </c>
      <c r="L67" s="12" t="inlineStr">
        <is>
          <t>2500.0</t>
        </is>
      </c>
      <c r="M67" s="12" t="inlineStr">
        <is>
          <t>-</t>
        </is>
      </c>
      <c r="N67" s="25" t="inlineStr">
        <is>
          <t>NEW</t>
        </is>
      </c>
      <c r="O67" s="12" t="inlineStr">
        <is>
          <t>غير متوافقة مع اختصاصات KBM</t>
        </is>
      </c>
      <c r="P67" s="23">
        <f>HYPERLINK("https://kuwaitalyawm.media.gov.kw/Online/ViewAdsHTML?id=168759&amp;no=1", "عرض المصدر")</f>
        <v/>
      </c>
    </row>
    <row r="68">
      <c r="A68" s="13" t="inlineStr">
        <is>
          <t>MNA-14-2026</t>
        </is>
      </c>
      <c r="B68" s="13" t="inlineStr">
        <is>
          <t>شركة صناعة الكيماويات البترولية</t>
        </is>
      </c>
      <c r="C68" s="13" t="inlineStr">
        <is>
          <t>Abrar Al-Qallaf</t>
        </is>
      </c>
      <c r="D68" s="13" t="inlineStr">
        <is>
          <t>مناقصة رقم MNA-14-2026 - شركة صناعة الكيماويات البترولية</t>
        </is>
      </c>
      <c r="E68" s="13" t="inlineStr">
        <is>
          <t>أعمال وتوريدات مناقصة رقم MNA-14-2026 لصالح شركة صناعة الكيماويات البترولية وفقاً للشروط والمواصفات المعتمدة في وثائق الطرح.</t>
        </is>
      </c>
      <c r="F6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68" s="14" t="inlineStr">
        <is>
          <t>عام</t>
        </is>
      </c>
      <c r="H68" s="14" t="inlineStr">
        <is>
          <t>15.0%</t>
        </is>
      </c>
      <c r="I68" s="14" t="inlineStr">
        <is>
          <t>government</t>
        </is>
      </c>
      <c r="J68" s="14" t="inlineStr">
        <is>
          <t>2026-09-06</t>
        </is>
      </c>
      <c r="K68" s="14" t="inlineStr">
        <is>
          <t>2026-10-11</t>
        </is>
      </c>
      <c r="L68" s="14" t="inlineStr">
        <is>
          <t>750.0</t>
        </is>
      </c>
      <c r="M68" s="14" t="inlineStr">
        <is>
          <t>-</t>
        </is>
      </c>
      <c r="N68" s="25" t="inlineStr">
        <is>
          <t>NEW</t>
        </is>
      </c>
      <c r="O68" s="14" t="inlineStr">
        <is>
          <t>غير متوافقة مع اختصاصات KBM</t>
        </is>
      </c>
      <c r="P68" s="22">
        <f>HYPERLINK("https://kuwaitalyawm.media.gov.kw/Online/ViewAdsHTML?id=169423&amp;no=1", "عرض المصدر")</f>
        <v/>
      </c>
    </row>
    <row r="69">
      <c r="A69" s="11" t="inlineStr">
        <is>
          <t>2026/1</t>
        </is>
      </c>
      <c r="B69" s="11" t="inlineStr">
        <is>
          <t>شركة ناقلات النفط الكويتية</t>
        </is>
      </c>
      <c r="C69" s="11" t="inlineStr">
        <is>
          <t>Ahmed Habib</t>
        </is>
      </c>
      <c r="D69" s="11" t="inlineStr">
        <is>
          <t>مناقصة رقم 2026/1: إعلان طرح المناقصة الخاصة بتقديم خدمات الانترنت</t>
        </is>
      </c>
      <c r="E69" s="11" t="inlineStr">
        <is>
          <t>أعمال وتوريدات إعلان طرح المناقصة الخاصة بتقديم خدمات الانترنت لصالح شركة ناقلات النفط الكويتية وفقاً للشروط والمواصفات المعتمدة في وثائق الطرح.</t>
        </is>
      </c>
      <c r="F6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69" s="12" t="inlineStr">
        <is>
          <t>عام</t>
        </is>
      </c>
      <c r="H69" s="12" t="inlineStr">
        <is>
          <t>0.0%</t>
        </is>
      </c>
      <c r="I69" s="12" t="inlineStr">
        <is>
          <t>government</t>
        </is>
      </c>
      <c r="J69" s="12" t="inlineStr">
        <is>
          <t>2026-09-13</t>
        </is>
      </c>
      <c r="K69" s="18" t="inlineStr">
        <is>
          <t>2026-10-20</t>
        </is>
      </c>
      <c r="L69" s="12" t="inlineStr">
        <is>
          <t>2500.0</t>
        </is>
      </c>
      <c r="M69" s="12" t="inlineStr">
        <is>
          <t>100.0</t>
        </is>
      </c>
      <c r="N69" s="25" t="inlineStr">
        <is>
          <t>NEW</t>
        </is>
      </c>
      <c r="O69" s="12" t="inlineStr">
        <is>
          <t>غير متوافقة مع اختصاصات KBM</t>
        </is>
      </c>
      <c r="P69" s="23">
        <f>HYPERLINK("https://kuwaitalyawm.media.gov.kw/Online/ViewAdsHTML?id=170514&amp;no=1", "عرض المصدر")</f>
        <v/>
      </c>
    </row>
    <row r="70">
      <c r="A70" s="13" t="inlineStr">
        <is>
          <t>2026/4</t>
        </is>
      </c>
      <c r="B70" s="13" t="inlineStr">
        <is>
          <t>شركة ناقلات النفط الكويتية</t>
        </is>
      </c>
      <c r="C70" s="13" t="inlineStr">
        <is>
          <t>Ahmed Habib</t>
        </is>
      </c>
      <c r="D70" s="13" t="inlineStr">
        <is>
          <t>مناقصة رقم 2026/4: إعلان طرح المناقصة الخاصة بتقديم خدمات النظافة والمناولة لشركة ناقلات النفط الكويتية</t>
        </is>
      </c>
      <c r="E70" s="13" t="inlineStr">
        <is>
          <t>توفير خدمات وأعمال النظافة العامة والشاملة للمباني والمرافق وتوفير العمالة والمعدات والمستهلكات اللازمة.</t>
        </is>
      </c>
      <c r="F7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70" s="14" t="inlineStr">
        <is>
          <t>عام</t>
        </is>
      </c>
      <c r="H70" s="14" t="inlineStr">
        <is>
          <t>0.0%</t>
        </is>
      </c>
      <c r="I70" s="14" t="inlineStr">
        <is>
          <t>government</t>
        </is>
      </c>
      <c r="J70" s="14" t="inlineStr">
        <is>
          <t>2026-08-30</t>
        </is>
      </c>
      <c r="K70" s="14" t="inlineStr">
        <is>
          <t>2026-10-13</t>
        </is>
      </c>
      <c r="L70" s="14" t="inlineStr">
        <is>
          <t>15000.0</t>
        </is>
      </c>
      <c r="M70" s="14" t="inlineStr">
        <is>
          <t>-</t>
        </is>
      </c>
      <c r="N70" s="25" t="inlineStr">
        <is>
          <t>NEW</t>
        </is>
      </c>
      <c r="O70" s="14" t="inlineStr">
        <is>
          <t>غير متوافقة مع اختصاصات KBM</t>
        </is>
      </c>
      <c r="P70" s="22">
        <f>HYPERLINK("https://kuwaitalyawm.media.gov.kw/Online/ViewAdsHTML?id=168772&amp;no=1", "عرض المصدر")</f>
        <v/>
      </c>
    </row>
    <row r="71">
      <c r="A71" s="11" t="inlineStr">
        <is>
          <t>CATEGORY KS 01.21</t>
        </is>
      </c>
      <c r="B71" s="11" t="inlineStr">
        <is>
          <t>شركة نفط الكويت</t>
        </is>
      </c>
      <c r="C71" s="11" t="inlineStr">
        <is>
          <t>Ahmed Habib</t>
        </is>
      </c>
      <c r="D71" s="11" t="inlineStr">
        <is>
          <t>مناقصة رقم CATEGORY KS 01.21 - شركة نفط الكويت</t>
        </is>
      </c>
      <c r="E71" s="11" t="inlineStr">
        <is>
          <t>أعمال وتوريدات مناقصة رقم CATEGORY KS 01.21 لصالح شركة نفط الكويت وفقاً للشروط والمواصفات المعتمدة في وثائق الطرح.</t>
        </is>
      </c>
      <c r="F7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71" s="12" t="inlineStr">
        <is>
          <t>عام</t>
        </is>
      </c>
      <c r="H71" s="12" t="inlineStr">
        <is>
          <t>15.0%</t>
        </is>
      </c>
      <c r="I71" s="12" t="inlineStr">
        <is>
          <t>government</t>
        </is>
      </c>
      <c r="J71" s="12" t="inlineStr">
        <is>
          <t>2026-09-13</t>
        </is>
      </c>
      <c r="K71" s="12" t="inlineStr">
        <is>
          <t>-</t>
        </is>
      </c>
      <c r="L71" s="12" t="inlineStr">
        <is>
          <t>-</t>
        </is>
      </c>
      <c r="M71" s="12" t="inlineStr">
        <is>
          <t>-</t>
        </is>
      </c>
      <c r="N71" s="25" t="inlineStr">
        <is>
          <t>NEW</t>
        </is>
      </c>
      <c r="O71" s="12" t="inlineStr">
        <is>
          <t>غير متوافقة مع اختصاصات KBM</t>
        </is>
      </c>
      <c r="P71" s="23">
        <f>HYPERLINK("https://kuwaitalyawm.media.gov.kw/Online/ViewAdsHTML?id=170537&amp;no=1", "عرض المصدر")</f>
        <v/>
      </c>
    </row>
    <row r="72">
      <c r="A72" s="13" t="inlineStr">
        <is>
          <t>507</t>
        </is>
      </c>
      <c r="B72" s="13" t="inlineStr">
        <is>
          <t>مؤسسة البترول الكويتية</t>
        </is>
      </c>
      <c r="C72" s="13" t="inlineStr">
        <is>
          <t>Eiman Ashkanani</t>
        </is>
      </c>
      <c r="D72" s="13" t="inlineStr">
        <is>
          <t>مناقصة رقم 507: استئجار آلات تصوير مستندات</t>
        </is>
      </c>
      <c r="E72" s="13" t="inlineStr">
        <is>
          <t>أعمال وتوريدات استئجار آلات تصوير مستندات لصالح مؤسسة البترول الكويتية وفقاً للشروط والمواصفات المعتمدة في وثائق الطرح.</t>
        </is>
      </c>
      <c r="F7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72" s="14" t="inlineStr">
        <is>
          <t>عام</t>
        </is>
      </c>
      <c r="H72" s="14" t="inlineStr">
        <is>
          <t>0.0%</t>
        </is>
      </c>
      <c r="I72" s="14" t="inlineStr">
        <is>
          <t>government</t>
        </is>
      </c>
      <c r="J72" s="14" t="inlineStr">
        <is>
          <t>2026-09-06</t>
        </is>
      </c>
      <c r="K72" s="14" t="inlineStr">
        <is>
          <t>2026-10-13</t>
        </is>
      </c>
      <c r="L72" s="14" t="inlineStr">
        <is>
          <t>2500.0</t>
        </is>
      </c>
      <c r="M72" s="14" t="inlineStr">
        <is>
          <t>100.0</t>
        </is>
      </c>
      <c r="N72" s="25" t="inlineStr">
        <is>
          <t>NEW</t>
        </is>
      </c>
      <c r="O72" s="14" t="inlineStr">
        <is>
          <t>غير متوافقة مع اختصاصات KBM</t>
        </is>
      </c>
      <c r="P72" s="22">
        <f>HYPERLINK("https://kuwaitalyawm.media.gov.kw/Online/ViewAdsHTML?id=169407&amp;no=1", "عرض المصدر")</f>
        <v/>
      </c>
    </row>
    <row r="73">
      <c r="A73" s="11" t="inlineStr">
        <is>
          <t>2026/504</t>
        </is>
      </c>
      <c r="B73" s="11" t="inlineStr">
        <is>
          <t>مؤسسة البترول الكويتية</t>
        </is>
      </c>
      <c r="C73" s="11" t="inlineStr">
        <is>
          <t>Eiman Ashkanani</t>
        </is>
      </c>
      <c r="D73" s="11" t="inlineStr">
        <is>
          <t>مناقصة رقم 2026/504: توريد مواد تموينية غذائية</t>
        </is>
      </c>
      <c r="E73" s="11" t="inlineStr">
        <is>
          <t>أعمال وتوريدات توريد مواد تموينية غذائية لصالح مؤسسة البترول الكويتية وفقاً للشروط والمواصفات المعتمدة في وثائق الطرح.</t>
        </is>
      </c>
      <c r="F7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73" s="12" t="inlineStr">
        <is>
          <t>عام</t>
        </is>
      </c>
      <c r="H73" s="12" t="inlineStr">
        <is>
          <t>0.0%</t>
        </is>
      </c>
      <c r="I73" s="12" t="inlineStr">
        <is>
          <t>government</t>
        </is>
      </c>
      <c r="J73" s="12" t="inlineStr">
        <is>
          <t>2026-08-30</t>
        </is>
      </c>
      <c r="K73" s="12" t="inlineStr">
        <is>
          <t>-</t>
        </is>
      </c>
      <c r="L73" s="12" t="inlineStr">
        <is>
          <t>-</t>
        </is>
      </c>
      <c r="M73" s="12" t="inlineStr">
        <is>
          <t>-</t>
        </is>
      </c>
      <c r="N73" s="25" t="inlineStr">
        <is>
          <t>NEW</t>
        </is>
      </c>
      <c r="O73" s="12" t="inlineStr">
        <is>
          <t>غير متوافقة مع اختصاصات KBM</t>
        </is>
      </c>
      <c r="P73" s="23">
        <f>HYPERLINK("https://kuwaitalyawm.media.gov.kw/Online/ViewAdsHTML?id=168747&amp;no=1", "عرض المصدر")</f>
        <v/>
      </c>
    </row>
    <row r="74">
      <c r="A74" s="13" t="inlineStr">
        <is>
          <t>2027/2026/4</t>
        </is>
      </c>
      <c r="B74" s="13" t="inlineStr">
        <is>
          <t>مؤسسة الموانئ الكويتية</t>
        </is>
      </c>
      <c r="C74" s="13" t="inlineStr">
        <is>
          <t>Eiman Ashkanani</t>
        </is>
      </c>
      <c r="D74" s="13" t="inlineStr">
        <is>
          <t>ممارسة رقم 2027/2026/4: تمديد موعد الاقفال الممارسة رقم م م ك (/2026/4/2027) بشأن عمل مسح بحري للأرصفة والأحواض</t>
        </is>
      </c>
      <c r="E74" s="13" t="inlineStr">
        <is>
          <t>أعمال وتوريدات تمديد موعد الاقفال الممارسة رقم م م ك (/2026/4/2027) بشأن عمل مسح بحري للأرصفة والأحواض لصالح مؤسسة الموانئ الكويتية وفقاً للشروط والمواصفات المعتمدة في وثائق الطرح.</t>
        </is>
      </c>
      <c r="F7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74" s="14" t="inlineStr">
        <is>
          <t>عام</t>
        </is>
      </c>
      <c r="H74" s="14" t="inlineStr">
        <is>
          <t>0.0%</t>
        </is>
      </c>
      <c r="I74" s="14" t="inlineStr">
        <is>
          <t>government</t>
        </is>
      </c>
      <c r="J74" s="14" t="inlineStr">
        <is>
          <t>2026-09-27</t>
        </is>
      </c>
      <c r="K74" s="14" t="inlineStr">
        <is>
          <t>-</t>
        </is>
      </c>
      <c r="L74" s="14" t="inlineStr">
        <is>
          <t>-</t>
        </is>
      </c>
      <c r="M74" s="14" t="inlineStr">
        <is>
          <t>-</t>
        </is>
      </c>
      <c r="N74" s="21" t="inlineStr">
        <is>
          <t>UPDATED</t>
        </is>
      </c>
      <c r="O74" s="14" t="inlineStr">
        <is>
          <t>غير متوافقة مع اختصاصات KBM</t>
        </is>
      </c>
      <c r="P74" s="22">
        <f>HYPERLINK("https://kuwaitalyawm.media.gov.kw/Online/ViewAdsHTML?id=171716&amp;no=1", "عرض المصدر")</f>
        <v/>
      </c>
    </row>
    <row r="75">
      <c r="A75" s="11" t="inlineStr">
        <is>
          <t>ممارسة 1 /2026/2027</t>
        </is>
      </c>
      <c r="B75" s="11" t="inlineStr">
        <is>
          <t>هيئة تشجيع الاستثمار المباشر</t>
        </is>
      </c>
      <c r="C75" s="11" t="inlineStr">
        <is>
          <t>Eiman Ashkanani</t>
        </is>
      </c>
      <c r="D75" s="11" t="inlineStr">
        <is>
          <t>مراجعة التصميم والإشراف على تنفيذ مشروع المناقصة (1/2025/2026) بإنشاء و إنجاز و تأثيث و صيانة و تشغيل مبنى المقر الرئيسي لهيئة تشجيع الاستثمار المباشر</t>
        </is>
      </c>
      <c r="E75" s="11" t="inlineStr">
        <is>
          <t>تنفيذ الأعمال المدنية والإنشائية والترميم والصيانة العامة للمباني والمنشآت والمرافق التابعة للجهة.</t>
        </is>
      </c>
      <c r="F7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75" s="12" t="inlineStr">
        <is>
          <t>عام</t>
        </is>
      </c>
      <c r="H75" s="12" t="inlineStr">
        <is>
          <t>0.0%</t>
        </is>
      </c>
      <c r="I75" s="12" t="inlineStr">
        <is>
          <t>government</t>
        </is>
      </c>
      <c r="J75" s="12" t="inlineStr">
        <is>
          <t>2026-08-30</t>
        </is>
      </c>
      <c r="K75" s="12" t="inlineStr">
        <is>
          <t>2026-10-13</t>
        </is>
      </c>
      <c r="L75" s="12" t="inlineStr">
        <is>
          <t>62000.000 KWD</t>
        </is>
      </c>
      <c r="M75" s="12" t="inlineStr">
        <is>
          <t>3500.000 KWD</t>
        </is>
      </c>
      <c r="N75" s="25" t="inlineStr">
        <is>
          <t>NEW</t>
        </is>
      </c>
      <c r="O75" s="12" t="inlineStr">
        <is>
          <t>غير متوافقة مع اختصاصات KBM</t>
        </is>
      </c>
      <c r="P75" s="23">
        <f>HYPERLINK("https://capt.gov.kw/ar/tenders/opening-tenders/#card-7", "عرض المصدر")</f>
        <v/>
      </c>
    </row>
    <row r="76">
      <c r="A76" s="13" t="inlineStr">
        <is>
          <t>هـ ص/ط/337</t>
        </is>
      </c>
      <c r="B76" s="13" t="inlineStr">
        <is>
          <t>وزارة الأشغال العامة</t>
        </is>
      </c>
      <c r="C76" s="13" t="inlineStr">
        <is>
          <t>Eiman Ashkanani</t>
        </is>
      </c>
      <c r="D76" s="13" t="inlineStr">
        <is>
          <t>تشغيل وصيانه محطات ضخ مياه الامطار للانفاق التي تقع على الطرق السريعه</t>
        </is>
      </c>
      <c r="E76" s="13" t="inlineStr">
        <is>
          <t>أعمال وتوريدات تشغيل وصيانه محطات ضخ مياه الامطار للانفاق التي تقع على الطرق السريعه لصالح وزارة الأشغال العامة وفقاً للشروط والمواصفات المعتمدة في وثائق الطرح.</t>
        </is>
      </c>
      <c r="F7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76" s="24" t="inlineStr">
        <is>
          <t>قطاع العمليات المدارة والدعم الفني متعدد الموردين</t>
        </is>
      </c>
      <c r="H76" s="14" t="inlineStr">
        <is>
          <t>64.0%</t>
        </is>
      </c>
      <c r="I76" s="14" t="inlineStr">
        <is>
          <t>government</t>
        </is>
      </c>
      <c r="J76" s="14" t="inlineStr">
        <is>
          <t>2026-10-11</t>
        </is>
      </c>
      <c r="K76" s="14" t="inlineStr">
        <is>
          <t>2026-11-10</t>
        </is>
      </c>
      <c r="L76" s="14" t="inlineStr">
        <is>
          <t>45000.000 KWD</t>
        </is>
      </c>
      <c r="M76" s="14" t="inlineStr">
        <is>
          <t>1000.000 KWD</t>
        </is>
      </c>
      <c r="N76" s="26" t="inlineStr">
        <is>
          <t>UNCHANGED</t>
        </is>
      </c>
      <c r="O76" s="14" t="inlineStr">
        <is>
          <t>فرصة ICT متوافقة مع قدرات KBM</t>
        </is>
      </c>
      <c r="P76" s="22">
        <f>HYPERLINK("https://capt.gov.kw/ar/tenders/opening-tenders/#card-4", "عرض المصدر")</f>
        <v/>
      </c>
    </row>
    <row r="77">
      <c r="A77" s="11" t="inlineStr">
        <is>
          <t>2026/2</t>
        </is>
      </c>
      <c r="B77" s="11" t="inlineStr">
        <is>
          <t>وزارة الأوقاف والشئون الإسلامية</t>
        </is>
      </c>
      <c r="C77" s="11" t="inlineStr">
        <is>
          <t>Eiman Ashkanani</t>
        </is>
      </c>
      <c r="D77" s="11" t="inlineStr">
        <is>
          <t>مناقصة رقم 2026/2: الخاصة بأعمال توريد وتركيب سجاد ولباد للمساجد التابعة</t>
        </is>
      </c>
      <c r="E77" s="11" t="inlineStr">
        <is>
          <t>أعمال وتوريدات الخاصة بأعمال توريد وتركيب سجاد ولباد للمساجد التابعة لصالح وزارة الأوقاف والشئون الإسلامية وفقاً للشروط والمواصفات المعتمدة في وثائق الطرح.</t>
        </is>
      </c>
      <c r="F7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77" s="12" t="inlineStr">
        <is>
          <t>عام</t>
        </is>
      </c>
      <c r="H77" s="12" t="inlineStr">
        <is>
          <t>15.0%</t>
        </is>
      </c>
      <c r="I77" s="12" t="inlineStr">
        <is>
          <t>government</t>
        </is>
      </c>
      <c r="J77" s="12" t="inlineStr">
        <is>
          <t>2026-09-27</t>
        </is>
      </c>
      <c r="K77" s="18" t="inlineStr">
        <is>
          <t>2026-10-15</t>
        </is>
      </c>
      <c r="L77" s="12" t="inlineStr">
        <is>
          <t>500.0</t>
        </is>
      </c>
      <c r="M77" s="12" t="inlineStr">
        <is>
          <t>500.0</t>
        </is>
      </c>
      <c r="N77" s="25" t="inlineStr">
        <is>
          <t>NEW</t>
        </is>
      </c>
      <c r="O77" s="12" t="inlineStr">
        <is>
          <t>غير متوافقة مع اختصاصات KBM</t>
        </is>
      </c>
      <c r="P77" s="23">
        <f>HYPERLINK("https://kuwaitalyawm.media.gov.kw/Online/ViewAdsHTML?id=171071&amp;no=1", "عرض المصدر")</f>
        <v/>
      </c>
    </row>
    <row r="78">
      <c r="A78" s="13" t="inlineStr">
        <is>
          <t>2027/2026/25</t>
        </is>
      </c>
      <c r="B78" s="13" t="inlineStr">
        <is>
          <t>وزارة الأوقاف والشئون الإسلامية</t>
        </is>
      </c>
      <c r="C78" s="13" t="inlineStr">
        <is>
          <t>Eiman Ashkanani</t>
        </is>
      </c>
      <c r="D78" s="13" t="inlineStr">
        <is>
          <t>ممارسة رقم 2027/2026/25: أعمال النظافة الخاصة بالمباني والمراكز التابعة لإدارتي الدراسات وعلوم القرآن الكريم بمحافظتي الأحمدي ومبارك الكبير</t>
        </is>
      </c>
      <c r="E78" s="13" t="inlineStr">
        <is>
          <t>توفير خدمات وأعمال النظافة العامة والشاملة للمباني والمرافق وتوفير العمالة والمعدات والمستهلكات اللازمة.</t>
        </is>
      </c>
      <c r="F7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78" s="14" t="inlineStr">
        <is>
          <t>عام</t>
        </is>
      </c>
      <c r="H78" s="14" t="inlineStr">
        <is>
          <t>0.0%</t>
        </is>
      </c>
      <c r="I78" s="14" t="inlineStr">
        <is>
          <t>government</t>
        </is>
      </c>
      <c r="J78" s="14" t="inlineStr">
        <is>
          <t>2026-10-04</t>
        </is>
      </c>
      <c r="K78" s="18" t="inlineStr">
        <is>
          <t>2026-10-18</t>
        </is>
      </c>
      <c r="L78" s="14" t="inlineStr">
        <is>
          <t>-</t>
        </is>
      </c>
      <c r="M78" s="14" t="inlineStr">
        <is>
          <t>75.0 KWD</t>
        </is>
      </c>
      <c r="N78" s="21" t="inlineStr">
        <is>
          <t>UPDATED</t>
        </is>
      </c>
      <c r="O78" s="14" t="inlineStr">
        <is>
          <t>غير متوافقة مع اختصاصات KBM</t>
        </is>
      </c>
      <c r="P78" s="22">
        <f>HYPERLINK("https://kuwaitalyawm.media.gov.kw/Online/ViewAdsHTML?id=171813&amp;no=1", "عرض المصدر")</f>
        <v/>
      </c>
    </row>
    <row r="79">
      <c r="A79" s="11" t="inlineStr">
        <is>
          <t>2027/2026/24</t>
        </is>
      </c>
      <c r="B79" s="11" t="inlineStr">
        <is>
          <t>وزارة الداخلية</t>
        </is>
      </c>
      <c r="C79" s="11" t="inlineStr">
        <is>
          <t>Khaled Alabdallah</t>
        </is>
      </c>
      <c r="D79" s="11" t="inlineStr">
        <is>
          <t>مناقصة رقم 2027/2026/24: توريد وتركيب وتشغيل وصيانة وضمان مع تنفيذ مشروع منظومة مركز اتصال العمليات (112) للإدارة العامة لهندسة الاتصالات.</t>
        </is>
      </c>
      <c r="E79" s="11" t="inlineStr">
        <is>
          <t>تنفيذ أعمال توريد وتركيب وتشغيل وصيانة وضمان مع تنفيذ مشروع منظومة مركز اتصال العمليات (112) للإدارة العامة لهندسة الاتصالات.، وتوفير كافة الأجهزة والمعدات والأنظمة وخدمات الدعم الفني والضمان وفقاً لكراسة الشروط والمواصفات الفنية.</t>
        </is>
      </c>
      <c r="F7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79" s="24" t="inlineStr">
        <is>
          <t>قطاع العمليات المدارة والدعم الفني متعدد الموردين</t>
        </is>
      </c>
      <c r="H79" s="12" t="inlineStr">
        <is>
          <t>85.0%</t>
        </is>
      </c>
      <c r="I79" s="12" t="inlineStr">
        <is>
          <t>government</t>
        </is>
      </c>
      <c r="J79" s="12" t="inlineStr">
        <is>
          <t>2026-09-20</t>
        </is>
      </c>
      <c r="K79" s="12" t="inlineStr">
        <is>
          <t>2026-11-11</t>
        </is>
      </c>
      <c r="L79" s="12" t="inlineStr">
        <is>
          <t>1000.0</t>
        </is>
      </c>
      <c r="M79" s="12" t="inlineStr">
        <is>
          <t>-</t>
        </is>
      </c>
      <c r="N79" s="25" t="inlineStr">
        <is>
          <t>NEW</t>
        </is>
      </c>
      <c r="O79" s="12" t="inlineStr">
        <is>
          <t>فرصة استراتيجية رئيسية (موصى بالتقديم)</t>
        </is>
      </c>
      <c r="P79" s="23">
        <f>HYPERLINK("https://kuwaitalyawm.media.gov.kw/Online/ViewAdsHTML?id=170975&amp;no=1", "عرض المصدر")</f>
        <v/>
      </c>
    </row>
    <row r="80">
      <c r="A80" s="13" t="inlineStr">
        <is>
          <t>2027/2026/18</t>
        </is>
      </c>
      <c r="B80" s="13" t="inlineStr">
        <is>
          <t>وزارة الداخلية</t>
        </is>
      </c>
      <c r="C80" s="13" t="inlineStr">
        <is>
          <t>Khaled Alabdallah</t>
        </is>
      </c>
      <c r="D80" s="13" t="inlineStr">
        <is>
          <t>مناقصة رقم 2027/2026/18: توريد المواد الكيميائية ـ الطلبية السنوية للسنة المالية</t>
        </is>
      </c>
      <c r="E80" s="13" t="inlineStr">
        <is>
          <t>أعمال وتوريدات توريد المواد الكيميائية ـ الطلبية السنوية للسنة المالية لصالح وزارة الداخلية وفقاً للشروط والمواصفات المعتمدة في وثائق الطرح.</t>
        </is>
      </c>
      <c r="F8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80" s="14" t="inlineStr">
        <is>
          <t>عام</t>
        </is>
      </c>
      <c r="H80" s="14" t="inlineStr">
        <is>
          <t>15.0%</t>
        </is>
      </c>
      <c r="I80" s="14" t="inlineStr">
        <is>
          <t>government</t>
        </is>
      </c>
      <c r="J80" s="14" t="inlineStr">
        <is>
          <t>2026-09-06</t>
        </is>
      </c>
      <c r="K80" s="14" t="inlineStr">
        <is>
          <t>2026-10-12</t>
        </is>
      </c>
      <c r="L80" s="14" t="inlineStr">
        <is>
          <t>-</t>
        </is>
      </c>
      <c r="M80" s="14" t="inlineStr">
        <is>
          <t>-</t>
        </is>
      </c>
      <c r="N80" s="25" t="inlineStr">
        <is>
          <t>NEW</t>
        </is>
      </c>
      <c r="O80" s="14" t="inlineStr">
        <is>
          <t>غير متوافقة مع اختصاصات KBM</t>
        </is>
      </c>
      <c r="P80" s="22">
        <f>HYPERLINK("https://kuwaitalyawm.media.gov.kw/Online/ViewAdsHTML?id=169855&amp;no=1", "عرض المصدر")</f>
        <v/>
      </c>
    </row>
    <row r="81">
      <c r="A81" s="11" t="inlineStr">
        <is>
          <t>2027/2026/33</t>
        </is>
      </c>
      <c r="B81" s="11" t="inlineStr">
        <is>
          <t>وزارة الداخلية</t>
        </is>
      </c>
      <c r="C81" s="11" t="inlineStr">
        <is>
          <t>Khaled Alabdallah</t>
        </is>
      </c>
      <c r="D81" s="11" t="inlineStr">
        <is>
          <t>مناقصة رقم 2027/2026/33 - وزارة الداخلية</t>
        </is>
      </c>
      <c r="E81" s="11" t="inlineStr">
        <is>
          <t>أعمال وتوريدات مناقصة رقم 2027/2026/33 لصالح وزارة الداخلية وفقاً للشروط والمواصفات المعتمدة في وثائق الطرح.</t>
        </is>
      </c>
      <c r="F8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81" s="12" t="inlineStr">
        <is>
          <t>عام</t>
        </is>
      </c>
      <c r="H81" s="12" t="inlineStr">
        <is>
          <t>15.0%</t>
        </is>
      </c>
      <c r="I81" s="12" t="inlineStr">
        <is>
          <t>government</t>
        </is>
      </c>
      <c r="J81" s="12" t="inlineStr">
        <is>
          <t>2026-09-13</t>
        </is>
      </c>
      <c r="K81" s="12" t="inlineStr">
        <is>
          <t>2026-11-09</t>
        </is>
      </c>
      <c r="L81" s="12" t="inlineStr">
        <is>
          <t>-</t>
        </is>
      </c>
      <c r="M81" s="12" t="inlineStr">
        <is>
          <t>75.0</t>
        </is>
      </c>
      <c r="N81" s="25" t="inlineStr">
        <is>
          <t>NEW</t>
        </is>
      </c>
      <c r="O81" s="12" t="inlineStr">
        <is>
          <t>غير متوافقة مع اختصاصات KBM</t>
        </is>
      </c>
      <c r="P81" s="23">
        <f>HYPERLINK("https://kuwaitalyawm.media.gov.kw/Online/ViewAdsHTML?id=169856&amp;no=1", "عرض المصدر")</f>
        <v/>
      </c>
    </row>
    <row r="82">
      <c r="A82" s="13" t="inlineStr">
        <is>
          <t>2026/2025/37</t>
        </is>
      </c>
      <c r="B82" s="13" t="inlineStr">
        <is>
          <t>وزارة الداخلية</t>
        </is>
      </c>
      <c r="C82" s="13" t="inlineStr">
        <is>
          <t>Khaled Alabdallah</t>
        </is>
      </c>
      <c r="D82" s="13" t="inlineStr">
        <is>
          <t>مناقصة رقم 2026/2025/37: تطوير أنظمة الإدارة والمراقبة وتوفير خدمات تشغيلية لمراكز البيانات</t>
        </is>
      </c>
      <c r="E82" s="13" t="inlineStr">
        <is>
          <t>تنفيذ أعمال تطوير أنظمة الإدارة والمراقبة وتوفير خدمات تشغيلية لمراكز البيانات، وتوفير كافة الأجهزة والمعدات والأنظمة وخدمات الدعم الفني والضمان وفقاً لكراسة الشروط والمواصفات الفنية.</t>
        </is>
      </c>
      <c r="F8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82" s="14" t="inlineStr">
        <is>
          <t>عام</t>
        </is>
      </c>
      <c r="H82" s="14" t="inlineStr">
        <is>
          <t>15.0%</t>
        </is>
      </c>
      <c r="I82" s="14" t="inlineStr">
        <is>
          <t>government</t>
        </is>
      </c>
      <c r="J82" s="14" t="inlineStr">
        <is>
          <t>2026-08-30</t>
        </is>
      </c>
      <c r="K82" s="14" t="inlineStr">
        <is>
          <t>2026-09-23</t>
        </is>
      </c>
      <c r="L82" s="14" t="inlineStr">
        <is>
          <t>-</t>
        </is>
      </c>
      <c r="M82" s="14" t="inlineStr">
        <is>
          <t>-</t>
        </is>
      </c>
      <c r="N82" s="25" t="inlineStr">
        <is>
          <t>NEW</t>
        </is>
      </c>
      <c r="O82" s="14" t="inlineStr">
        <is>
          <t>غير متوافقة مع اختصاصات KBM</t>
        </is>
      </c>
      <c r="P82" s="22">
        <f>HYPERLINK("https://kuwaitalyawm.media.gov.kw/Online/ViewAdsHTML?id=168277&amp;no=1", "عرض المصدر")</f>
        <v/>
      </c>
    </row>
    <row r="83">
      <c r="A83" s="11" t="inlineStr">
        <is>
          <t>2026/2025/41</t>
        </is>
      </c>
      <c r="B83" s="11" t="inlineStr">
        <is>
          <t>وزارة الداخلية</t>
        </is>
      </c>
      <c r="C83" s="11" t="inlineStr">
        <is>
          <t>Khaled Alabdallah</t>
        </is>
      </c>
      <c r="D83" s="11" t="inlineStr">
        <is>
          <t>مناقصة رقم 2026/2025/41: يرجـى العلم بأنه تم تعديل قيمة التأمين الأولي بشأن المناقصة المذكورة أعــــــلاه ليصبح مبلغ (-/12,000 د.ك) فقط إثنى عشر ألف دينار كويتي لا غير.</t>
        </is>
      </c>
      <c r="E83" s="11" t="inlineStr">
        <is>
          <t>أعمال وتوريدات يرجـى العلم بأنه تم تعديل قيمة التأمين الأولي بشأن المناقصة المذكورة أعــــــلاه ليصبح مبلغ (-/12,000 د.ك) فقط إثنى عشر ألف دينار كويتي لا غير. لصالح وزارة الداخلية وفقاً للشروط والمواصفات المعتمدة في وثائق الطرح.</t>
        </is>
      </c>
      <c r="F8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83" s="12" t="inlineStr">
        <is>
          <t>عام</t>
        </is>
      </c>
      <c r="H83" s="12" t="inlineStr">
        <is>
          <t>0.0%</t>
        </is>
      </c>
      <c r="I83" s="12" t="inlineStr">
        <is>
          <t>government</t>
        </is>
      </c>
      <c r="J83" s="12" t="inlineStr">
        <is>
          <t>2026-08-23</t>
        </is>
      </c>
      <c r="K83" s="12" t="inlineStr">
        <is>
          <t>-</t>
        </is>
      </c>
      <c r="L83" s="12" t="inlineStr">
        <is>
          <t>12000.0</t>
        </is>
      </c>
      <c r="M83" s="12" t="inlineStr">
        <is>
          <t>-</t>
        </is>
      </c>
      <c r="N83" s="25" t="inlineStr">
        <is>
          <t>NEW</t>
        </is>
      </c>
      <c r="O83" s="12" t="inlineStr">
        <is>
          <t>غير متوافقة مع اختصاصات KBM</t>
        </is>
      </c>
      <c r="P83" s="23">
        <f>HYPERLINK("https://kuwaitalyawm.media.gov.kw/Online/ViewAdsHTML?id=167483&amp;no=1", "عرض المصدر")</f>
        <v/>
      </c>
    </row>
    <row r="84">
      <c r="A84" s="13" t="inlineStr">
        <is>
          <t>241121234261</t>
        </is>
      </c>
      <c r="B84" s="13" t="inlineStr">
        <is>
          <t>وزارة الدفاع</t>
        </is>
      </c>
      <c r="C84" s="13" t="inlineStr">
        <is>
          <t>Eiman Ashkanani</t>
        </is>
      </c>
      <c r="D84" s="13" t="inlineStr">
        <is>
          <t>مناقصة رقم 241121234261: لتوريد إطارات للآليات العسكرية الثقيلة والخفيفة لمدة سنة</t>
        </is>
      </c>
      <c r="E84" s="13" t="inlineStr">
        <is>
          <t>أعمال وتوريدات لتوريد إطارات للآليات العسكرية الثقيلة والخفيفة لمدة سنة لصالح وزارة الدفاع وفقاً للشروط والمواصفات المعتمدة في وثائق الطرح.</t>
        </is>
      </c>
      <c r="F84" s="13" t="inlineStr">
        <is>
          <t>• 1/ تقديم كتاب تفويض من الشركة بشراء وثائق المناقصة.
• 2/ تقديم صورة عن شهادة دعم العمالة الوطنية لدى الشركات غير الحكومية ( السنوية).</t>
        </is>
      </c>
      <c r="G84" s="14" t="inlineStr">
        <is>
          <t>عام</t>
        </is>
      </c>
      <c r="H84" s="14" t="inlineStr">
        <is>
          <t>15.0%</t>
        </is>
      </c>
      <c r="I84" s="14" t="inlineStr">
        <is>
          <t>government</t>
        </is>
      </c>
      <c r="J84" s="14" t="inlineStr">
        <is>
          <t>2026-09-20</t>
        </is>
      </c>
      <c r="K84" s="14" t="inlineStr">
        <is>
          <t>-</t>
        </is>
      </c>
      <c r="L84" s="14" t="inlineStr">
        <is>
          <t>14000.0</t>
        </is>
      </c>
      <c r="M84" s="14" t="inlineStr">
        <is>
          <t>1000.0</t>
        </is>
      </c>
      <c r="N84" s="25" t="inlineStr">
        <is>
          <t>NEW</t>
        </is>
      </c>
      <c r="O84" s="14" t="inlineStr">
        <is>
          <t>غير متوافقة مع اختصاصات KBM</t>
        </is>
      </c>
      <c r="P84" s="22">
        <f>HYPERLINK("https://kuwaitalyawm.media.gov.kw/Online/ViewAdsHTML?id=170978&amp;no=1", "عرض المصدر")</f>
        <v/>
      </c>
    </row>
    <row r="85">
      <c r="A85" s="11" t="inlineStr">
        <is>
          <t>241113235253</t>
        </is>
      </c>
      <c r="B85" s="11" t="inlineStr">
        <is>
          <t>وزارة الدفاع</t>
        </is>
      </c>
      <c r="C85" s="11" t="inlineStr">
        <is>
          <t>Eiman Ashkanani</t>
        </is>
      </c>
      <c r="D85" s="11" t="inlineStr">
        <is>
          <t>مناقصة رقم 241113235253: لإصلاح وصيانة القاطرات والمقطورات</t>
        </is>
      </c>
      <c r="E85" s="11" t="inlineStr">
        <is>
          <t>أعمال وتوريدات لإصلاح وصيانة القاطرات والمقطورات لصالح وزارة الدفاع وفقاً للشروط والمواصفات المعتمدة في وثائق الطرح.</t>
        </is>
      </c>
      <c r="F85" s="11" t="inlineStr">
        <is>
          <t>• كتاب تفويض من الشركة / المؤسسة بشراء الوثائق .
• أن تكون الشركة / المؤسسة متخصصة فى هذا المجال مع تقديم الأوراق الدالة على نشاطه .
• تقديم صورة عن شهادة دعم العمالة الوطنية السنوية لدى الشركات غير الحكومية شريطة أن تكون سارية .
• سداد الرسوم المقررة لشراء وثائق المناقصة عن طريق (K-NET ) .</t>
        </is>
      </c>
      <c r="G85" s="12" t="inlineStr">
        <is>
          <t>عام</t>
        </is>
      </c>
      <c r="H85" s="12" t="inlineStr">
        <is>
          <t>15.0%</t>
        </is>
      </c>
      <c r="I85" s="12" t="inlineStr">
        <is>
          <t>government</t>
        </is>
      </c>
      <c r="J85" s="12" t="inlineStr">
        <is>
          <t>2026-09-20</t>
        </is>
      </c>
      <c r="K85" s="12" t="inlineStr">
        <is>
          <t>2026-10-04</t>
        </is>
      </c>
      <c r="L85" s="12" t="inlineStr">
        <is>
          <t>2.0</t>
        </is>
      </c>
      <c r="M85" s="12" t="inlineStr">
        <is>
          <t>1000.0</t>
        </is>
      </c>
      <c r="N85" s="25" t="inlineStr">
        <is>
          <t>NEW</t>
        </is>
      </c>
      <c r="O85" s="12" t="inlineStr">
        <is>
          <t>غير متوافقة مع اختصاصات KBM</t>
        </is>
      </c>
      <c r="P85" s="23">
        <f>HYPERLINK("https://kuwaitalyawm.media.gov.kw/Online/ViewAdsHTML?id=170979&amp;no=1", "عرض المصدر")</f>
        <v/>
      </c>
    </row>
    <row r="86">
      <c r="A86" s="13" t="inlineStr">
        <is>
          <t>24114235253</t>
        </is>
      </c>
      <c r="B86" s="13" t="inlineStr">
        <is>
          <t>وزارة الدفاع</t>
        </is>
      </c>
      <c r="C86" s="13" t="inlineStr">
        <is>
          <t>Eiman Ashkanani</t>
        </is>
      </c>
      <c r="D86" s="13" t="inlineStr">
        <is>
          <t>مناقصة رقم 24114235253: لإصلاح وصيانة القاطرات والمقطورات والآليات المتوسطة شامل</t>
        </is>
      </c>
      <c r="E86" s="13" t="inlineStr">
        <is>
          <t>أعمال وتوريدات لإصلاح وصيانة القاطرات والمقطورات والآليات المتوسطة شامل لصالح وزارة الدفاع وفقاً للشروط والمواصفات المعتمدة في وثائق الطرح.</t>
        </is>
      </c>
      <c r="F86" s="13" t="inlineStr">
        <is>
          <t>• 1- كتاب تفويض من الشركة / المؤسسة بشراء الوثائق .
• 2- أن تكون الشركة / المؤسسة متخصصة فى هذا المجال مع تقديم الأوراق الدالة على نشاطه .
• 3- تقديم صورة عن شهادة دعم العمالة الوطنية السنوية لدى الشركات غير الحكومية شريطة أن تكون سارية .
• 4- سداد الرسوم المقررة لشراء وثائق المناقصة عن طريق (K-NET ) .</t>
        </is>
      </c>
      <c r="G86" s="14" t="inlineStr">
        <is>
          <t>عام</t>
        </is>
      </c>
      <c r="H86" s="14" t="inlineStr">
        <is>
          <t>15.0%</t>
        </is>
      </c>
      <c r="I86" s="14" t="inlineStr">
        <is>
          <t>government</t>
        </is>
      </c>
      <c r="J86" s="14" t="inlineStr">
        <is>
          <t>2026-09-06</t>
        </is>
      </c>
      <c r="K86" s="14" t="inlineStr">
        <is>
          <t>2026-10-04</t>
        </is>
      </c>
      <c r="L86" s="14" t="inlineStr">
        <is>
          <t>2.0</t>
        </is>
      </c>
      <c r="M86" s="14" t="inlineStr">
        <is>
          <t>1000.0</t>
        </is>
      </c>
      <c r="N86" s="25" t="inlineStr">
        <is>
          <t>NEW</t>
        </is>
      </c>
      <c r="O86" s="14" t="inlineStr">
        <is>
          <t>غير متوافقة مع اختصاصات KBM</t>
        </is>
      </c>
      <c r="P86" s="22">
        <f>HYPERLINK("https://kuwaitalyawm.media.gov.kw/Online/ViewAdsHTML?id=169152&amp;no=1", "عرض المصدر")</f>
        <v/>
      </c>
    </row>
    <row r="87">
      <c r="A87" s="11" t="inlineStr">
        <is>
          <t>1092925</t>
        </is>
      </c>
      <c r="B87" s="11" t="inlineStr">
        <is>
          <t>وزارة الدفاع</t>
        </is>
      </c>
      <c r="C87" s="11" t="inlineStr">
        <is>
          <t>Eiman Ashkanani</t>
        </is>
      </c>
      <c r="D87" s="11" t="inlineStr">
        <is>
          <t>مناقصة رقم 1092925: أعمال صيانة شاملة للمعسكرات التابعة لمراقبة لواء مبارك 15</t>
        </is>
      </c>
      <c r="E87" s="11" t="inlineStr">
        <is>
          <t>أعمال وتوريدات أعمال صيانة شاملة للمعسكرات التابعة لمراقبة لواء مبارك 15 لصالح وزارة الدفاع وفقاً للشروط والمواصفات المعتمدة في وثائق الطرح.</t>
        </is>
      </c>
      <c r="F8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87" s="12" t="inlineStr">
        <is>
          <t>عام</t>
        </is>
      </c>
      <c r="H87" s="12" t="inlineStr">
        <is>
          <t>15.0%</t>
        </is>
      </c>
      <c r="I87" s="12" t="inlineStr">
        <is>
          <t>government</t>
        </is>
      </c>
      <c r="J87" s="12" t="inlineStr">
        <is>
          <t>2026-08-30</t>
        </is>
      </c>
      <c r="K87" s="12" t="inlineStr">
        <is>
          <t>-</t>
        </is>
      </c>
      <c r="L87" s="12" t="inlineStr">
        <is>
          <t>23000.0</t>
        </is>
      </c>
      <c r="M87" s="12" t="inlineStr">
        <is>
          <t>1000.0</t>
        </is>
      </c>
      <c r="N87" s="25" t="inlineStr">
        <is>
          <t>NEW</t>
        </is>
      </c>
      <c r="O87" s="12" t="inlineStr">
        <is>
          <t>غير متوافقة مع اختصاصات KBM</t>
        </is>
      </c>
      <c r="P87" s="23">
        <f>HYPERLINK("https://kuwaitalyawm.media.gov.kw/Online/ViewAdsHTML?id=168278&amp;no=1", "عرض المصدر")</f>
        <v/>
      </c>
    </row>
    <row r="88">
      <c r="A88" s="13" t="inlineStr">
        <is>
          <t>1042826</t>
        </is>
      </c>
      <c r="B88" s="13" t="inlineStr">
        <is>
          <t>وزارة الدفاع</t>
        </is>
      </c>
      <c r="C88" s="13" t="inlineStr">
        <is>
          <t>Eiman Ashkanani</t>
        </is>
      </c>
      <c r="D88" s="13" t="inlineStr">
        <is>
          <t>مناقصة رقم 1042826: تشغيل وصيانة وإصلاح لمحطات الوقود بمعسكرات</t>
        </is>
      </c>
      <c r="E88" s="13" t="inlineStr">
        <is>
          <t>أعمال وتوريدات تشغيل وصيانة وإصلاح لمحطات الوقود بمعسكرات لصالح وزارة الدفاع وفقاً للشروط والمواصفات المعتمدة في وثائق الطرح.</t>
        </is>
      </c>
      <c r="F8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88" s="24" t="inlineStr">
        <is>
          <t>قطاع العمليات المدارة والدعم الفني متعدد الموردين</t>
        </is>
      </c>
      <c r="H88" s="14" t="inlineStr">
        <is>
          <t>64.0%</t>
        </is>
      </c>
      <c r="I88" s="14" t="inlineStr">
        <is>
          <t>government</t>
        </is>
      </c>
      <c r="J88" s="14" t="inlineStr">
        <is>
          <t>2026-08-30</t>
        </is>
      </c>
      <c r="K88" s="14" t="inlineStr">
        <is>
          <t>2026-10-27</t>
        </is>
      </c>
      <c r="L88" s="14" t="inlineStr">
        <is>
          <t>15000.0</t>
        </is>
      </c>
      <c r="M88" s="14" t="inlineStr">
        <is>
          <t>1000.0</t>
        </is>
      </c>
      <c r="N88" s="25" t="inlineStr">
        <is>
          <t>NEW</t>
        </is>
      </c>
      <c r="O88" s="14" t="inlineStr">
        <is>
          <t>فرصة ICT متوافقة مع قدرات KBM</t>
        </is>
      </c>
      <c r="P88" s="22">
        <f>HYPERLINK("https://kuwaitalyawm.media.gov.kw/Online/ViewAdsHTML?id=168279&amp;no=1", "عرض المصدر")</f>
        <v/>
      </c>
    </row>
    <row r="89">
      <c r="A89" s="11" t="inlineStr">
        <is>
          <t>و ش ج 1/2026/2027</t>
        </is>
      </c>
      <c r="B89" s="11" t="inlineStr">
        <is>
          <t>وزارة الشئون الاجتماعية</t>
        </is>
      </c>
      <c r="C89" s="11" t="inlineStr">
        <is>
          <t>Eiman Ashkanani</t>
        </is>
      </c>
      <c r="D89" s="11" t="inlineStr">
        <is>
          <t>تجديد الدعم الفني لتراخيص الاوراكل لوزارة الشئون الاجتماعية</t>
        </is>
      </c>
      <c r="E89" s="11" t="inlineStr">
        <is>
          <t>تنفيذ أعمال تجديد الدعم الفني لتراخيص الاوراكل لوزارة الشئون الاجتماعية، وتوفير كافة الأجهزة والمعدات والأنظمة وخدمات الدعم الفني والضمان وفقاً لكراسة الشروط والمواصفات الفنية.</t>
        </is>
      </c>
      <c r="F8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89" s="24" t="inlineStr">
        <is>
          <t>قطاع العمليات المدارة والدعم الفني متعدد الموردين</t>
        </is>
      </c>
      <c r="H89" s="12" t="inlineStr">
        <is>
          <t>84.0%</t>
        </is>
      </c>
      <c r="I89" s="12" t="inlineStr">
        <is>
          <t>government</t>
        </is>
      </c>
      <c r="J89" s="12" t="inlineStr">
        <is>
          <t>2026-10-11</t>
        </is>
      </c>
      <c r="K89" s="12" t="inlineStr">
        <is>
          <t>2027-01-05</t>
        </is>
      </c>
      <c r="L89" s="12" t="inlineStr">
        <is>
          <t>3500.000 KWD</t>
        </is>
      </c>
      <c r="M89" s="12" t="inlineStr">
        <is>
          <t>150.000 KWD</t>
        </is>
      </c>
      <c r="N89" s="26" t="inlineStr">
        <is>
          <t>UNCHANGED</t>
        </is>
      </c>
      <c r="O89" s="12" t="inlineStr">
        <is>
          <t>فرصة استراتيجية رئيسية (موصى بالتقديم)</t>
        </is>
      </c>
      <c r="P89" s="23">
        <f>HYPERLINK("https://capt.gov.kw/ar/tenders/opening-tenders/#card-6", "عرض المصدر")</f>
        <v/>
      </c>
    </row>
    <row r="90">
      <c r="A90" s="13" t="inlineStr">
        <is>
          <t>و ش ج 8/2025/2026</t>
        </is>
      </c>
      <c r="B90" s="13" t="inlineStr">
        <is>
          <t>وزارة الشئون الاجتماعية</t>
        </is>
      </c>
      <c r="C90" s="13" t="inlineStr">
        <is>
          <t>Eiman Ashkanani</t>
        </is>
      </c>
      <c r="D90" s="13" t="inlineStr">
        <is>
          <t>أعمال اصلاح وتشغيل وصيانة معدات التكييف والتبريد والتدفئة والتهوية الخاصة بصالات الأفراح التابعة للوزارة</t>
        </is>
      </c>
      <c r="E90" s="13" t="inlineStr">
        <is>
          <t>أعمال صيانة وتشغيل وإصلاح وحدات ومحطات التكييف المركزي والمبردات وضواغط الهواء وشبكات مجاري الهواء.</t>
        </is>
      </c>
      <c r="F9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90" s="14" t="inlineStr">
        <is>
          <t>قطاع العمليات المدارة والدعم الفني متعدد الموردين</t>
        </is>
      </c>
      <c r="H90" s="14" t="inlineStr">
        <is>
          <t>49.0%</t>
        </is>
      </c>
      <c r="I90" s="14" t="inlineStr">
        <is>
          <t>government</t>
        </is>
      </c>
      <c r="J90" s="14" t="inlineStr">
        <is>
          <t>2026-10-04</t>
        </is>
      </c>
      <c r="K90" s="14" t="inlineStr">
        <is>
          <t>2026-12-29</t>
        </is>
      </c>
      <c r="L90" s="14" t="inlineStr">
        <is>
          <t>23000.000 KWD</t>
        </is>
      </c>
      <c r="M90" s="14" t="inlineStr">
        <is>
          <t>1000.000 KWD</t>
        </is>
      </c>
      <c r="N90" s="26" t="inlineStr">
        <is>
          <t>UNCHANGED</t>
        </is>
      </c>
      <c r="O90" s="14" t="inlineStr">
        <is>
          <t>فرصة تتطلب شراكة أو دراسة نطاق</t>
        </is>
      </c>
      <c r="P90" s="22">
        <f>HYPERLINK("https://capt.gov.kw/ar/tenders/opening-tenders/#card-3", "عرض المصدر")</f>
        <v/>
      </c>
    </row>
    <row r="91">
      <c r="A91" s="11" t="inlineStr">
        <is>
          <t>و ش ج 12/2024/2025</t>
        </is>
      </c>
      <c r="B91" s="11" t="inlineStr">
        <is>
          <t>وزارة الشئون الاجتماعية</t>
        </is>
      </c>
      <c r="C91" s="11" t="inlineStr">
        <is>
          <t>Eiman Ashkanani</t>
        </is>
      </c>
      <c r="D91" s="11" t="inlineStr">
        <is>
          <t>اصلاح و تشغيل و صيانة و توريد و تركيب معدات التكييف و التبريد و التهوية و التدفئه لقطاع الرعاية الاجتماعيه و المباني التابعه له</t>
        </is>
      </c>
      <c r="E91" s="11" t="inlineStr">
        <is>
          <t>أعمال صيانة وتشغيل وإصلاح وحدات ومحطات التكييف المركزي والمبردات وضواغط الهواء وشبكات مجاري الهواء.</t>
        </is>
      </c>
      <c r="F9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91" s="12" t="inlineStr">
        <is>
          <t>عام</t>
        </is>
      </c>
      <c r="H91" s="12" t="inlineStr">
        <is>
          <t>0.0%</t>
        </is>
      </c>
      <c r="I91" s="12" t="inlineStr">
        <is>
          <t>government</t>
        </is>
      </c>
      <c r="J91" s="12" t="inlineStr">
        <is>
          <t>2026-08-23</t>
        </is>
      </c>
      <c r="K91" s="12" t="inlineStr">
        <is>
          <t>2026-11-22</t>
        </is>
      </c>
      <c r="L91" s="12" t="inlineStr">
        <is>
          <t>6000.000 KWD</t>
        </is>
      </c>
      <c r="M91" s="12" t="inlineStr">
        <is>
          <t>300.000 KWD</t>
        </is>
      </c>
      <c r="N91" s="25" t="inlineStr">
        <is>
          <t>NEW</t>
        </is>
      </c>
      <c r="O91" s="12" t="inlineStr">
        <is>
          <t>غير متوافقة مع اختصاصات KBM</t>
        </is>
      </c>
      <c r="P91" s="23">
        <f>HYPERLINK("https://capt.gov.kw/ar/tenders/opening-tenders/#card-4", "عرض المصدر")</f>
        <v/>
      </c>
    </row>
    <row r="92">
      <c r="A92" s="13" t="inlineStr">
        <is>
          <t>و ش ج 3/2025/2026</t>
        </is>
      </c>
      <c r="B92" s="13" t="inlineStr">
        <is>
          <t>وزارة الشئون الاجتماعية</t>
        </is>
      </c>
      <c r="C92" s="13" t="inlineStr">
        <is>
          <t>Eiman Ashkanani</t>
        </is>
      </c>
      <c r="D92" s="13" t="inlineStr">
        <is>
          <t>اعمال خدمة النزيل في قطاع الرعاية الأجتماعية</t>
        </is>
      </c>
      <c r="E92" s="13" t="inlineStr">
        <is>
          <t>أعمال وتوريدات اعمال خدمة النزيل في قطاع الرعاية الأجتماعية لصالح وزارة الشئون الاجتماعية وفقاً للشروط والمواصفات المعتمدة في وثائق الطرح.</t>
        </is>
      </c>
      <c r="F9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92" s="14" t="inlineStr">
        <is>
          <t>عام</t>
        </is>
      </c>
      <c r="H92" s="14" t="inlineStr">
        <is>
          <t>0.0%</t>
        </is>
      </c>
      <c r="I92" s="14" t="inlineStr">
        <is>
          <t>government</t>
        </is>
      </c>
      <c r="J92" s="14" t="inlineStr">
        <is>
          <t>2026-09-13</t>
        </is>
      </c>
      <c r="K92" s="14" t="inlineStr">
        <is>
          <t>2026-12-08</t>
        </is>
      </c>
      <c r="L92" s="14" t="inlineStr">
        <is>
          <t>45000.000 KWD</t>
        </is>
      </c>
      <c r="M92" s="14" t="inlineStr">
        <is>
          <t>1000.000 KWD</t>
        </is>
      </c>
      <c r="N92" s="26" t="inlineStr">
        <is>
          <t>UNCHANGED</t>
        </is>
      </c>
      <c r="O92" s="14" t="inlineStr">
        <is>
          <t>غير متوافقة مع اختصاصات KBM</t>
        </is>
      </c>
      <c r="P92" s="22">
        <f>HYPERLINK("https://capt.gov.kw/ar/tenders/opening-tenders/#card-2", "عرض المصدر")</f>
        <v/>
      </c>
    </row>
    <row r="93">
      <c r="A93" s="11" t="inlineStr">
        <is>
          <t>و ش ج /4/2025/2026</t>
        </is>
      </c>
      <c r="B93" s="11" t="inlineStr">
        <is>
          <t>وزارة الشئون الاجتماعية</t>
        </is>
      </c>
      <c r="C93" s="11" t="inlineStr">
        <is>
          <t>Eiman Ashkanani</t>
        </is>
      </c>
      <c r="D93" s="11" t="inlineStr">
        <is>
          <t>اعداد الدراسات الاستشارية لأعمال منتجع صباح الأحمد لرعاية المسنين التابع لوزارة الشئون الاجتماعية</t>
        </is>
      </c>
      <c r="E93" s="11" t="inlineStr">
        <is>
          <t>أعمال وتوريدات اعداد الدراسات الاستشارية لأعمال منتجع صباح الأحمد لرعاية المسنين التابع لوزارة الشئون الاجتماعية لصالح وزارة الشئون الاجتماعية وفقاً للشروط والمواصفات المعتمدة في وثائق الطرح.</t>
        </is>
      </c>
      <c r="F9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93" s="12" t="inlineStr">
        <is>
          <t>عام</t>
        </is>
      </c>
      <c r="H93" s="12" t="inlineStr">
        <is>
          <t>0.0%</t>
        </is>
      </c>
      <c r="I93" s="12" t="inlineStr">
        <is>
          <t>government</t>
        </is>
      </c>
      <c r="J93" s="12" t="inlineStr">
        <is>
          <t>2026-09-13</t>
        </is>
      </c>
      <c r="K93" s="12" t="inlineStr">
        <is>
          <t>2026-12-08</t>
        </is>
      </c>
      <c r="L93" s="12" t="inlineStr">
        <is>
          <t>6000.000 KWD</t>
        </is>
      </c>
      <c r="M93" s="12" t="inlineStr">
        <is>
          <t>300.000 KWD</t>
        </is>
      </c>
      <c r="N93" s="26" t="inlineStr">
        <is>
          <t>UNCHANGED</t>
        </is>
      </c>
      <c r="O93" s="12" t="inlineStr">
        <is>
          <t>غير متوافقة مع اختصاصات KBM</t>
        </is>
      </c>
      <c r="P93" s="23">
        <f>HYPERLINK("https://capt.gov.kw/ar/tenders/opening-tenders/#card-1", "عرض المصدر")</f>
        <v/>
      </c>
    </row>
    <row r="94">
      <c r="A94" s="13" t="inlineStr">
        <is>
          <t>2/2025/2026</t>
        </is>
      </c>
      <c r="B94" s="13" t="inlineStr">
        <is>
          <t>وزارة الشئون الاجتماعية</t>
        </is>
      </c>
      <c r="C94" s="13" t="inlineStr">
        <is>
          <t>Eiman Ashkanani</t>
        </is>
      </c>
      <c r="D94" s="13" t="inlineStr">
        <is>
          <t>أعمال توريد الحفاظات لكبار السن المقيدين في وزارة الشئون الإجتماعية</t>
        </is>
      </c>
      <c r="E94" s="13" t="inlineStr">
        <is>
          <t>أعمال وتوريدات أعمال توريد الحفاظات لكبار السن المقيدين في وزارة الشئون الإجتماعية لصالح وزارة الشئون الاجتماعية وفقاً للشروط والمواصفات المعتمدة في وثائق الطرح.</t>
        </is>
      </c>
      <c r="F9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94" s="14" t="inlineStr">
        <is>
          <t>عام</t>
        </is>
      </c>
      <c r="H94" s="14" t="inlineStr">
        <is>
          <t>0.0%</t>
        </is>
      </c>
      <c r="I94" s="14" t="inlineStr">
        <is>
          <t>government</t>
        </is>
      </c>
      <c r="J94" s="14" t="inlineStr">
        <is>
          <t>2026-09-20</t>
        </is>
      </c>
      <c r="K94" s="14" t="inlineStr">
        <is>
          <t>2026-12-15</t>
        </is>
      </c>
      <c r="L94" s="14" t="inlineStr">
        <is>
          <t>23000.000 KWD</t>
        </is>
      </c>
      <c r="M94" s="14" t="inlineStr">
        <is>
          <t>1000.000 KWD</t>
        </is>
      </c>
      <c r="N94" s="26" t="inlineStr">
        <is>
          <t>UNCHANGED</t>
        </is>
      </c>
      <c r="O94" s="14" t="inlineStr">
        <is>
          <t>غير متوافقة مع اختصاصات KBM</t>
        </is>
      </c>
      <c r="P94" s="22">
        <f>HYPERLINK("https://capt.gov.kw/ar/tenders/opening-tenders/#card-7", "عرض المصدر")</f>
        <v/>
      </c>
    </row>
    <row r="95">
      <c r="A95" s="11" t="inlineStr">
        <is>
          <t>و ش ج / 2/2025/2026</t>
        </is>
      </c>
      <c r="B95" s="11" t="inlineStr">
        <is>
          <t>وزارة الشئون الاجتماعية</t>
        </is>
      </c>
      <c r="C95" s="11" t="inlineStr">
        <is>
          <t>Eiman Ashkanani</t>
        </is>
      </c>
      <c r="D95" s="11" t="inlineStr">
        <is>
          <t>أعمال توريد الحفاظات لكبار السن المقيدين في وزارة الشئون الإجتماعية</t>
        </is>
      </c>
      <c r="E95" s="11" t="inlineStr">
        <is>
          <t>أعمال وتوريدات أعمال توريد الحفاظات لكبار السن المقيدين في وزارة الشئون الإجتماعية لصالح وزارة الشئون الاجتماعية وفقاً للشروط والمواصفات المعتمدة في وثائق الطرح.</t>
        </is>
      </c>
      <c r="F9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95" s="12" t="inlineStr">
        <is>
          <t>عام</t>
        </is>
      </c>
      <c r="H95" s="12" t="inlineStr">
        <is>
          <t>0.0%</t>
        </is>
      </c>
      <c r="I95" s="12" t="inlineStr">
        <is>
          <t>government</t>
        </is>
      </c>
      <c r="J95" s="12" t="inlineStr">
        <is>
          <t>2026-09-20</t>
        </is>
      </c>
      <c r="K95" s="12" t="inlineStr">
        <is>
          <t>2026-12-15</t>
        </is>
      </c>
      <c r="L95" s="12" t="inlineStr">
        <is>
          <t>23000.000 KWD</t>
        </is>
      </c>
      <c r="M95" s="12" t="inlineStr">
        <is>
          <t>1000.000 KWD</t>
        </is>
      </c>
      <c r="N95" s="26" t="inlineStr">
        <is>
          <t>UNCHANGED</t>
        </is>
      </c>
      <c r="O95" s="12" t="inlineStr">
        <is>
          <t>غير متوافقة مع اختصاصات KBM</t>
        </is>
      </c>
      <c r="P95" s="23">
        <f>HYPERLINK("https://capt.gov.kw/ar/tenders/opening-tenders/#card-1", "عرض المصدر")</f>
        <v/>
      </c>
    </row>
    <row r="96">
      <c r="A96" s="13" t="inlineStr">
        <is>
          <t>و ع/16/2025/2026</t>
        </is>
      </c>
      <c r="B96" s="13" t="inlineStr">
        <is>
          <t>وزارة العدل</t>
        </is>
      </c>
      <c r="C96" s="13" t="inlineStr">
        <is>
          <t>Eiman Ashkanani</t>
        </is>
      </c>
      <c r="D96" s="13" t="inlineStr">
        <is>
          <t>القيام بخدمة البريد السريع لتوصيل الرسائل المسجلة باسم المعلن إليه في موطنه أو محل عمله المختار</t>
        </is>
      </c>
      <c r="E96" s="13" t="inlineStr">
        <is>
          <t>أعمال وتوريدات القيام بخدمة البريد السريع لتوصيل الرسائل المسجلة باسم المعلن إليه في موطنه أو محل عمله المختار لصالح وزارة العدل وفقاً للشروط والمواصفات المعتمدة في وثائق الطرح.</t>
        </is>
      </c>
      <c r="F9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96" s="14" t="inlineStr">
        <is>
          <t>عام</t>
        </is>
      </c>
      <c r="H96" s="14" t="inlineStr">
        <is>
          <t>15.0%</t>
        </is>
      </c>
      <c r="I96" s="14" t="inlineStr">
        <is>
          <t>government</t>
        </is>
      </c>
      <c r="J96" s="14" t="inlineStr">
        <is>
          <t>2026-10-11</t>
        </is>
      </c>
      <c r="K96" s="14" t="inlineStr">
        <is>
          <t>2027-01-05</t>
        </is>
      </c>
      <c r="L96" s="14" t="inlineStr">
        <is>
          <t>3500.000 KWD</t>
        </is>
      </c>
      <c r="M96" s="14" t="inlineStr">
        <is>
          <t>150.000 KWD</t>
        </is>
      </c>
      <c r="N96" s="26" t="inlineStr">
        <is>
          <t>UNCHANGED</t>
        </is>
      </c>
      <c r="O96" s="14" t="inlineStr">
        <is>
          <t>غير متوافقة مع اختصاصات KBM</t>
        </is>
      </c>
      <c r="P96" s="22">
        <f>HYPERLINK("https://capt.gov.kw/ar/tenders/opening-tenders/#card-8", "عرض المصدر")</f>
        <v/>
      </c>
    </row>
    <row r="97">
      <c r="A97" s="11" t="inlineStr">
        <is>
          <t>و ع /2/2026/2027</t>
        </is>
      </c>
      <c r="B97" s="11" t="inlineStr">
        <is>
          <t>وزارة العدل</t>
        </is>
      </c>
      <c r="C97" s="11" t="inlineStr">
        <is>
          <t>Eiman Ashkanani</t>
        </is>
      </c>
      <c r="D97" s="11" t="inlineStr">
        <is>
          <t>أعمال تنظيف شاملة لمباني وزارة العدل (مجمع محاكم الجهراء - مبنى مخازن المضبوطات بالصليبية)</t>
        </is>
      </c>
      <c r="E97" s="11" t="inlineStr">
        <is>
          <t>توفير خدمات وأعمال النظافة العامة والشاملة للمباني والمرافق وتوفير العمالة والمعدات والمستهلكات اللازمة.</t>
        </is>
      </c>
      <c r="F9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97" s="12" t="inlineStr">
        <is>
          <t>عام</t>
        </is>
      </c>
      <c r="H97" s="12" t="inlineStr">
        <is>
          <t>0.0%</t>
        </is>
      </c>
      <c r="I97" s="12" t="inlineStr">
        <is>
          <t>government</t>
        </is>
      </c>
      <c r="J97" s="12" t="inlineStr">
        <is>
          <t>2026-10-11</t>
        </is>
      </c>
      <c r="K97" s="12" t="inlineStr">
        <is>
          <t>2027-01-05</t>
        </is>
      </c>
      <c r="L97" s="12" t="inlineStr">
        <is>
          <t>15000.000 KWD</t>
        </is>
      </c>
      <c r="M97" s="12" t="inlineStr">
        <is>
          <t>1000.000 KWD</t>
        </is>
      </c>
      <c r="N97" s="26" t="inlineStr">
        <is>
          <t>UNCHANGED</t>
        </is>
      </c>
      <c r="O97" s="12" t="inlineStr">
        <is>
          <t>غير متوافقة مع اختصاصات KBM</t>
        </is>
      </c>
      <c r="P97" s="23">
        <f>HYPERLINK("https://capt.gov.kw/ar/tenders/opening-tenders/#card-7", "عرض المصدر")</f>
        <v/>
      </c>
    </row>
    <row r="98">
      <c r="A98" s="13" t="inlineStr">
        <is>
          <t>و ع / 3/2026/2027</t>
        </is>
      </c>
      <c r="B98" s="13" t="inlineStr">
        <is>
          <t>وزارة العدل</t>
        </is>
      </c>
      <c r="C98" s="13" t="inlineStr">
        <is>
          <t>Eiman Ashkanani</t>
        </is>
      </c>
      <c r="D98" s="13" t="inlineStr">
        <is>
          <t>اعمال تنظيف شاملة لمباني وزارة العدل بمحافظات ( العاصمة - حولي - الأحمدي - مبارك الكبير ) مجزئة على مجموعتين</t>
        </is>
      </c>
      <c r="E98" s="13" t="inlineStr">
        <is>
          <t>توفير خدمات وأعمال النظافة العامة والشاملة للمباني والمرافق وتوفير العمالة والمعدات والمستهلكات اللازمة.</t>
        </is>
      </c>
      <c r="F9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98" s="14" t="inlineStr">
        <is>
          <t>عام</t>
        </is>
      </c>
      <c r="H98" s="14" t="inlineStr">
        <is>
          <t>0.0%</t>
        </is>
      </c>
      <c r="I98" s="14" t="inlineStr">
        <is>
          <t>government</t>
        </is>
      </c>
      <c r="J98" s="14" t="inlineStr">
        <is>
          <t>2026-09-27</t>
        </is>
      </c>
      <c r="K98" s="14" t="inlineStr">
        <is>
          <t>2026-12-22</t>
        </is>
      </c>
      <c r="L98" s="14" t="inlineStr">
        <is>
          <t>0.000 KWD</t>
        </is>
      </c>
      <c r="M98" s="14" t="inlineStr">
        <is>
          <t>250.000 KWD</t>
        </is>
      </c>
      <c r="N98" s="26" t="inlineStr">
        <is>
          <t>UNCHANGED</t>
        </is>
      </c>
      <c r="O98" s="14" t="inlineStr">
        <is>
          <t>غير متوافقة مع اختصاصات KBM</t>
        </is>
      </c>
      <c r="P98" s="22">
        <f>HYPERLINK("https://capt.gov.kw/ar/tenders/opening-tenders/#card-8", "عرض المصدر")</f>
        <v/>
      </c>
    </row>
    <row r="99">
      <c r="A99" s="11" t="inlineStr">
        <is>
          <t>7 / 2025-2026</t>
        </is>
      </c>
      <c r="B99" s="11" t="inlineStr">
        <is>
          <t>وزارة المالية</t>
        </is>
      </c>
      <c r="C99" s="11" t="inlineStr">
        <is>
          <t>Eiman Ashkanani</t>
        </is>
      </c>
      <c r="D99" s="11" t="inlineStr">
        <is>
          <t>توفير خدمات مراسلين وسفرجية لوزارة المالية</t>
        </is>
      </c>
      <c r="E99" s="11" t="inlineStr">
        <is>
          <t>أعمال وتوريدات توفير خدمات مراسلين وسفرجية لوزارة المالية لصالح وزارة المالية وفقاً للشروط والمواصفات المعتمدة في وثائق الطرح.</t>
        </is>
      </c>
      <c r="F9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99" s="12" t="inlineStr">
        <is>
          <t>عام</t>
        </is>
      </c>
      <c r="H99" s="12" t="inlineStr">
        <is>
          <t>15.0%</t>
        </is>
      </c>
      <c r="I99" s="12" t="inlineStr">
        <is>
          <t>government</t>
        </is>
      </c>
      <c r="J99" s="12" t="inlineStr">
        <is>
          <t>2026-09-13</t>
        </is>
      </c>
      <c r="K99" s="12" t="inlineStr">
        <is>
          <t>2026-12-08</t>
        </is>
      </c>
      <c r="L99" s="12" t="inlineStr">
        <is>
          <t>15000.000 KWD</t>
        </is>
      </c>
      <c r="M99" s="12" t="inlineStr">
        <is>
          <t>1000.000 KWD</t>
        </is>
      </c>
      <c r="N99" s="26" t="inlineStr">
        <is>
          <t>UNCHANGED</t>
        </is>
      </c>
      <c r="O99" s="12" t="inlineStr">
        <is>
          <t>غير متوافقة مع اختصاصات KBM</t>
        </is>
      </c>
      <c r="P99" s="23">
        <f>HYPERLINK("https://capt.gov.kw/ar/tenders/opening-tenders/#card-8", "عرض المصدر")</f>
        <v/>
      </c>
    </row>
    <row r="100">
      <c r="A100" s="13" t="inlineStr">
        <is>
          <t>3 / 2025-2026</t>
        </is>
      </c>
      <c r="B100" s="13" t="inlineStr">
        <is>
          <t>وزارة المالية</t>
        </is>
      </c>
      <c r="C100" s="13" t="inlineStr">
        <is>
          <t>Eiman Ashkanani</t>
        </is>
      </c>
      <c r="D100" s="13" t="inlineStr">
        <is>
          <t>توفير خدمات الامن والحراسة البشرية لمبنى مجمع الوزارات ومباني المواقف التابعة له</t>
        </is>
      </c>
      <c r="E100" s="13" t="inlineStr">
        <is>
          <t>توفير خدمات الحراسة والأمن والسلامة للمباني والمنشآت وتأمين المداخل وتوفير الكوادر الأمنية المدربة.</t>
        </is>
      </c>
      <c r="F10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00" s="14" t="inlineStr">
        <is>
          <t>عام</t>
        </is>
      </c>
      <c r="H100" s="14" t="inlineStr">
        <is>
          <t>15.0%</t>
        </is>
      </c>
      <c r="I100" s="14" t="inlineStr">
        <is>
          <t>government</t>
        </is>
      </c>
      <c r="J100" s="14" t="inlineStr">
        <is>
          <t>2026-09-27</t>
        </is>
      </c>
      <c r="K100" s="14" t="inlineStr">
        <is>
          <t>2026-12-22</t>
        </is>
      </c>
      <c r="L100" s="14" t="inlineStr">
        <is>
          <t>23000.000 KWD</t>
        </is>
      </c>
      <c r="M100" s="14" t="inlineStr">
        <is>
          <t>1000.000 KWD</t>
        </is>
      </c>
      <c r="N100" s="26" t="inlineStr">
        <is>
          <t>UNCHANGED</t>
        </is>
      </c>
      <c r="O100" s="14" t="inlineStr">
        <is>
          <t>غير متوافقة مع اختصاصات KBM</t>
        </is>
      </c>
      <c r="P100" s="22">
        <f>HYPERLINK("https://capt.gov.kw/ar/tenders/opening-tenders/#card-3", "عرض المصدر")</f>
        <v/>
      </c>
    </row>
    <row r="101">
      <c r="A101" s="11" t="inlineStr">
        <is>
          <t>9-51</t>
        </is>
      </c>
      <c r="B101" s="11" t="inlineStr">
        <is>
          <t>وزارة الصحة</t>
        </is>
      </c>
      <c r="C101" s="11" t="inlineStr">
        <is>
          <t>Jana Al-Obaid</t>
        </is>
      </c>
      <c r="D101" s="11" t="inlineStr">
        <is>
          <t>ممارسة رقم 9-51 - وزارة الصحة (العدد 1810)</t>
        </is>
      </c>
      <c r="E101" s="11" t="inlineStr">
        <is>
          <t>أعمال وتوريدات ممارسة رقم 9-51 لصالح وزارة الصحة وفقاً للشروط والمواصفات المعتمدة في وثائق الطرح.</t>
        </is>
      </c>
      <c r="F101" s="11" t="inlineStr">
        <is>
          <t>• 1- الشركة المحلية يجب أن تكون مسجلة لدى إدارة المستودعات الطبية بسجل الموردين.
• 2- الشركة المحلية يجب أن تكون متخصصة في المجال الطبي وموثق بشهادة معتمدة من غرفة التجارة والصناعة.
• 3- عند تقديم عرضين يجب شراء كراستين بوصلين مختلفين.
• 4- ارفاق شهادة تسجيل للمنتج سارية المفعول من إدارة التسجيل ومراقبة الأدوية الطبية والنباتية أو ما يثبت بتقديم الشهادة ونسخة من تسجيل الشركة المصنعة والمادة في سجل الموردين بإدارة المستودعات الطبية ضمن محتويات العطاء المقدم فيه (خاص بمراقبة الأدوية).
• 5- تقديم عينات للمواد الجديدة سواءً كان منتج جديد يطلب لأول مرة أو من شركة مصنعة جديدة للمراقبة المختصة (الأدوية – اللوازم الطبية)
• 6- ارفاق شهادة نسبة دعم العمالة الوطنية.
• 7- يمكن الحصول على وثائق الممارسات في الموقع الإلكتروني الخاص بوزارة الصحة.
• 8- يمكن دفع رسوم شراء الكراسة من الموقع الإلكتروني لإرفاقه مع وثائق الممارسة.
• 9- تقديم عروض الأسعار بظرف مقفل شامل مع وثائق الممارسة حسب تاريخ الإقفال المحدد في الموقع الإلكتروني الخاص بوزارة الصحة.</t>
        </is>
      </c>
      <c r="G101" s="12" t="inlineStr">
        <is>
          <t>عام</t>
        </is>
      </c>
      <c r="H101" s="12" t="inlineStr">
        <is>
          <t>0.0%</t>
        </is>
      </c>
      <c r="I101" s="12" t="inlineStr">
        <is>
          <t>healthcare</t>
        </is>
      </c>
      <c r="J101" s="12" t="inlineStr">
        <is>
          <t>2026-09-27</t>
        </is>
      </c>
      <c r="K101" s="12" t="inlineStr">
        <is>
          <t>2026-10-26</t>
        </is>
      </c>
      <c r="L101" s="12" t="inlineStr">
        <is>
          <t>-</t>
        </is>
      </c>
      <c r="M101" s="12" t="inlineStr">
        <is>
          <t>1000.0 KWD</t>
        </is>
      </c>
      <c r="N101" s="21" t="inlineStr">
        <is>
          <t>UPDATED</t>
        </is>
      </c>
      <c r="O101" s="12" t="inlineStr">
        <is>
          <t>غير متوافقة مع اختصاصات KBM</t>
        </is>
      </c>
      <c r="P101" s="23">
        <f>HYPERLINK("https://kuwaitalyawm.media.gov.kw/Online/ViewAdsHTML?id=171551&amp;no=1", "عرض المصدر")</f>
        <v/>
      </c>
    </row>
    <row r="102">
      <c r="A102" s="13" t="inlineStr">
        <is>
          <t>2027/2026/74</t>
        </is>
      </c>
      <c r="B102" s="13" t="inlineStr">
        <is>
          <t>وزارة الصحة</t>
        </is>
      </c>
      <c r="C102" s="13" t="inlineStr">
        <is>
          <t>Jana Al-Obaid</t>
        </is>
      </c>
      <c r="D102" s="13" t="inlineStr">
        <is>
          <t>ممارسة رقم 2027/2026/74: توريد وتركيب وتشغيل شاشات تليفزيون لمركز الصليبية وتحويلة لمركز علاج الإدمان</t>
        </is>
      </c>
      <c r="E102" s="13" t="inlineStr">
        <is>
          <t>توريد المستلزمات والمواد والمستهلكات الطبية أو المخبرية المتخصصة لصالح المرافق الصحية.</t>
        </is>
      </c>
      <c r="F10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02" s="14" t="inlineStr">
        <is>
          <t>عام</t>
        </is>
      </c>
      <c r="H102" s="14" t="inlineStr">
        <is>
          <t>15.0%</t>
        </is>
      </c>
      <c r="I102" s="14" t="inlineStr">
        <is>
          <t>healthcare</t>
        </is>
      </c>
      <c r="J102" s="14" t="inlineStr">
        <is>
          <t>2026-09-27</t>
        </is>
      </c>
      <c r="K102" s="14" t="inlineStr">
        <is>
          <t>-</t>
        </is>
      </c>
      <c r="L102" s="14" t="inlineStr">
        <is>
          <t>-</t>
        </is>
      </c>
      <c r="M102" s="14" t="inlineStr">
        <is>
          <t>-</t>
        </is>
      </c>
      <c r="N102" s="21" t="inlineStr">
        <is>
          <t>UPDATED</t>
        </is>
      </c>
      <c r="O102" s="14" t="inlineStr">
        <is>
          <t>غير متوافقة مع اختصاصات KBM</t>
        </is>
      </c>
      <c r="P102" s="22">
        <f>HYPERLINK("https://kuwaitalyawm.media.gov.kw/Online/ViewAdsHTML?id=171553&amp;no=1", "عرض المصدر")</f>
        <v/>
      </c>
    </row>
    <row r="103">
      <c r="A103" s="11" t="inlineStr">
        <is>
          <t>321</t>
        </is>
      </c>
      <c r="B103" s="11" t="inlineStr">
        <is>
          <t>وزارة الصحة</t>
        </is>
      </c>
      <c r="C103" s="11" t="inlineStr">
        <is>
          <t>Jana Al-Obaid</t>
        </is>
      </c>
      <c r="D103" s="11" t="inlineStr">
        <is>
          <t>ممارسة رقم 321 - وزارة الصحة (العدد 1810)</t>
        </is>
      </c>
      <c r="E103" s="11" t="inlineStr">
        <is>
          <t>أعمال وتوريدات ممارسة رقم 321 لصالح وزارة الصحة وفقاً للشروط والمواصفات المعتمدة في وثائق الطرح.</t>
        </is>
      </c>
      <c r="F103" s="11" t="inlineStr">
        <is>
          <t>• أن تكون مقصورة على الشركات المسجلة لدى إدارة الهندسة الطبية.
• أن تكون الشركة متخصصة في هذا المجال مع إحضار ما يفيد ذلك.
• سداد الرسوم المقررة لشراء وثائق الممارسة بطوابع إلكترونية.
• كتاب تفويض من الشركة بشراء وثائق الممارسة.
• أن تقدم الشركات المشاركة شهادة دعم العمالة الوطنية.
• يمكن الحصول على وثائق الممارسات من تاريخ النشر ولمدة 14 يوم فقط.</t>
        </is>
      </c>
      <c r="G103" s="12" t="inlineStr">
        <is>
          <t>عام</t>
        </is>
      </c>
      <c r="H103" s="12" t="inlineStr">
        <is>
          <t>15.0%</t>
        </is>
      </c>
      <c r="I103" s="12" t="inlineStr">
        <is>
          <t>healthcare</t>
        </is>
      </c>
      <c r="J103" s="12" t="inlineStr">
        <is>
          <t>2026-09-27</t>
        </is>
      </c>
      <c r="K103" s="12" t="inlineStr">
        <is>
          <t>2026-10-28</t>
        </is>
      </c>
      <c r="L103" s="12" t="inlineStr">
        <is>
          <t>-</t>
        </is>
      </c>
      <c r="M103" s="12" t="inlineStr">
        <is>
          <t>75.0 KWD</t>
        </is>
      </c>
      <c r="N103" s="21" t="inlineStr">
        <is>
          <t>UPDATED</t>
        </is>
      </c>
      <c r="O103" s="12" t="inlineStr">
        <is>
          <t>غير متوافقة مع اختصاصات KBM</t>
        </is>
      </c>
      <c r="P103" s="23">
        <f>HYPERLINK("https://kuwaitalyawm.media.gov.kw/Online/ViewAdsHTML?id=171555&amp;no=1", "عرض المصدر")</f>
        <v/>
      </c>
    </row>
    <row r="104">
      <c r="A104" s="13" t="inlineStr">
        <is>
          <t>16-5</t>
        </is>
      </c>
      <c r="B104" s="13" t="inlineStr">
        <is>
          <t>وزارة الصحة</t>
        </is>
      </c>
      <c r="C104" s="13" t="inlineStr">
        <is>
          <t>Jana Al-Obaid</t>
        </is>
      </c>
      <c r="D104" s="13" t="inlineStr">
        <is>
          <t>ممارسة رقم 16-5 - وزارة الصحة (العدد 1809)</t>
        </is>
      </c>
      <c r="E104" s="13" t="inlineStr">
        <is>
          <t>أعمال وتوريدات ممارسة رقم 16-5 لصالح وزارة الصحة وفقاً للشروط والمواصفات المعتمدة في وثائق الطرح.</t>
        </is>
      </c>
      <c r="F104" s="13" t="inlineStr">
        <is>
          <t>• 1- أن تكون مقصورة على الشركات المسجلة لدى إدارة الهندسة الطبية.
• 2- أن تكون الشركة متخصصة في هذا المجال مع احضار ما يفيد ذلك.
• 3- سداد الرسوم المقررة لشراء وثائق الممارسة إلكترونياً.
• 4- أن تقدم الشركات المشاركة شهادة دعم العمالة الوطنية.
• 5- يمكن الحصول على وثائق الممارسات من تاريخ النشر لغاية تاريخ الاغلاق.</t>
        </is>
      </c>
      <c r="G104" s="14" t="inlineStr">
        <is>
          <t>عام</t>
        </is>
      </c>
      <c r="H104" s="14" t="inlineStr">
        <is>
          <t>15.0%</t>
        </is>
      </c>
      <c r="I104" s="14" t="inlineStr">
        <is>
          <t>healthcare</t>
        </is>
      </c>
      <c r="J104" s="14" t="inlineStr">
        <is>
          <t>2026-09-20</t>
        </is>
      </c>
      <c r="K104" s="18" t="inlineStr">
        <is>
          <t>2026-10-14</t>
        </is>
      </c>
      <c r="L104" s="14" t="inlineStr">
        <is>
          <t>-</t>
        </is>
      </c>
      <c r="M104" s="14" t="inlineStr">
        <is>
          <t>300.0 KWD</t>
        </is>
      </c>
      <c r="N104" s="21" t="inlineStr">
        <is>
          <t>UPDATED</t>
        </is>
      </c>
      <c r="O104" s="14" t="inlineStr">
        <is>
          <t>غير متوافقة مع اختصاصات KBM</t>
        </is>
      </c>
      <c r="P104" s="22">
        <f>HYPERLINK("https://kuwaitalyawm.media.gov.kw/Online/ViewAdsHTML?id=170980&amp;no=1", "عرض المصدر")</f>
        <v/>
      </c>
    </row>
    <row r="105">
      <c r="A105" s="11" t="inlineStr">
        <is>
          <t>294-293</t>
        </is>
      </c>
      <c r="B105" s="11" t="inlineStr">
        <is>
          <t>وزارة الصحة</t>
        </is>
      </c>
      <c r="C105" s="11" t="inlineStr">
        <is>
          <t>Jana Al-Obaid</t>
        </is>
      </c>
      <c r="D105" s="11" t="inlineStr">
        <is>
          <t>ممارسة رقم 294-293 - وزارة الصحة (العدد 1809)</t>
        </is>
      </c>
      <c r="E105" s="11" t="inlineStr">
        <is>
          <t>أعمال وتوريدات ممارسة رقم 294-293 لصالح وزارة الصحة وفقاً للشروط والمواصفات المعتمدة في وثائق الطرح.</t>
        </is>
      </c>
      <c r="F105" s="11" t="inlineStr">
        <is>
          <t>• 1- أن تكون مقصورة على الشركات المسجلة لدى إدارة الهندسة الطبية.
• 2- أن تكون الشركة متخصصة في هذا المجال مع احضار ما يفيد ذلك.
• 3- سداد الرسوم المقررة لشراء وثائق الممارسة إلكترونياً.
• 4- أن تقدم الشركات المشاركة شهادة دعم العمالة الوطنية.
• 5- يمكن الحصول على وثائق الممارسات من تاريخ النشر لغاية تاريخ الاغلاق.</t>
        </is>
      </c>
      <c r="G105" s="12" t="inlineStr">
        <is>
          <t>عام</t>
        </is>
      </c>
      <c r="H105" s="12" t="inlineStr">
        <is>
          <t>15.0%</t>
        </is>
      </c>
      <c r="I105" s="12" t="inlineStr">
        <is>
          <t>healthcare</t>
        </is>
      </c>
      <c r="J105" s="12" t="inlineStr">
        <is>
          <t>2026-09-20</t>
        </is>
      </c>
      <c r="K105" s="18" t="inlineStr">
        <is>
          <t>2026-10-21</t>
        </is>
      </c>
      <c r="L105" s="12" t="inlineStr">
        <is>
          <t>-</t>
        </is>
      </c>
      <c r="M105" s="12" t="inlineStr">
        <is>
          <t>75.0 KWD</t>
        </is>
      </c>
      <c r="N105" s="21" t="inlineStr">
        <is>
          <t>UPDATED</t>
        </is>
      </c>
      <c r="O105" s="12" t="inlineStr">
        <is>
          <t>غير متوافقة مع اختصاصات KBM</t>
        </is>
      </c>
      <c r="P105" s="23">
        <f>HYPERLINK("https://kuwaitalyawm.media.gov.kw/Online/ViewAdsHTML?id=170983&amp;no=1", "عرض المصدر")</f>
        <v/>
      </c>
    </row>
    <row r="106">
      <c r="A106" s="13" t="inlineStr">
        <is>
          <t>61-16</t>
        </is>
      </c>
      <c r="B106" s="13" t="inlineStr">
        <is>
          <t>وزارة الصحة</t>
        </is>
      </c>
      <c r="C106" s="13" t="inlineStr">
        <is>
          <t>Jana Al-Obaid</t>
        </is>
      </c>
      <c r="D106" s="13" t="inlineStr">
        <is>
          <t>ممارسة رقم 61-16 - وزارة الصحة (العدد 1809)</t>
        </is>
      </c>
      <c r="E106" s="13" t="inlineStr">
        <is>
          <t>أعمال وتوريدات ممارسة رقم 61-16 لصالح وزارة الصحة وفقاً للشروط والمواصفات المعتمدة في وثائق الطرح.</t>
        </is>
      </c>
      <c r="F106" s="13" t="inlineStr">
        <is>
          <t>• 1- الشركة المحلية يجب أن تكون مسجلة لدى إدارة المستودعات الطبية بسجل الموردين
• 2- الشركة المحلية يجب أن تكون متخصصة في المجال الطبي وموثق بشهادة معتمدة من غرفة التجارة والصناعة
• 3- عند تقديم عرضين يجب شراء كراستين بوصلين مختلفين
• 4- ارفاق شهادة تسجيل للمنتج سارية المفعول من إدارة التسجيل ومراقبة الأدوية الطبية والنباتية أو ما يثبت بتقديم الشهادة ونسخة من تسجيل الشركة المصنعة والمادة في سجل الموردين بإدارة المستودعات الطبية ضمن محتويات العطاء المقدم فيه (خاص بمراقبة الأدوية)
• 5- تقديم عينات للمواد الجديدة سواءً كان منتج جديد يطلب لأول مرة أو من شركة مصنعة جديدة للمراقبة المختصة ( الأدوية – اللوازم الطبية)
• 6- ارفاق شهادة نسبة دعم العمالة الوطنية
• 7- يمكن الحصول على وثائق الممارسات في الموقع الإلكتروني الخاص بوزارة الصحة
• 8- يمكن دفع رسوم شراء الكراسة من الموقع الإلكتروني لإرفاقه مع وثائق الممارسة
• 9- تقديم عروض الأسعار بظرف مقفل شامل مع وثائق الممارسة حسب تاريخ الإقفال المحدد في الموقع الإلكتروني الخاص بوزارة الصحة</t>
        </is>
      </c>
      <c r="G106" s="14" t="inlineStr">
        <is>
          <t>عام</t>
        </is>
      </c>
      <c r="H106" s="14" t="inlineStr">
        <is>
          <t>0.0%</t>
        </is>
      </c>
      <c r="I106" s="14" t="inlineStr">
        <is>
          <t>healthcare</t>
        </is>
      </c>
      <c r="J106" s="14" t="inlineStr">
        <is>
          <t>2026-09-20</t>
        </is>
      </c>
      <c r="K106" s="18" t="inlineStr">
        <is>
          <t>2026-10-21</t>
        </is>
      </c>
      <c r="L106" s="14" t="inlineStr">
        <is>
          <t>-</t>
        </is>
      </c>
      <c r="M106" s="14" t="inlineStr">
        <is>
          <t>75.0 KWD</t>
        </is>
      </c>
      <c r="N106" s="21" t="inlineStr">
        <is>
          <t>UPDATED</t>
        </is>
      </c>
      <c r="O106" s="14" t="inlineStr">
        <is>
          <t>غير متوافقة مع اختصاصات KBM</t>
        </is>
      </c>
      <c r="P106" s="22">
        <f>HYPERLINK("https://kuwaitalyawm.media.gov.kw/Online/ViewAdsHTML?id=170988&amp;no=1", "عرض المصدر")</f>
        <v/>
      </c>
    </row>
    <row r="107">
      <c r="A107" s="11" t="inlineStr">
        <is>
          <t>4-6</t>
        </is>
      </c>
      <c r="B107" s="11" t="inlineStr">
        <is>
          <t>وزارة الصحة</t>
        </is>
      </c>
      <c r="C107" s="11" t="inlineStr">
        <is>
          <t>Jana Al-Obaid</t>
        </is>
      </c>
      <c r="D107" s="11" t="inlineStr">
        <is>
          <t>ممارسة رقم 4-6 - وزارة الصحة (العدد 1809)</t>
        </is>
      </c>
      <c r="E107" s="11" t="inlineStr">
        <is>
          <t>أعمال وتوريدات ممارسة رقم 4-6 لصالح وزارة الصحة وفقاً للشروط والمواصفات المعتمدة في وثائق الطرح.</t>
        </is>
      </c>
      <c r="F107" s="11" t="inlineStr">
        <is>
          <t>• 1- الشركة المحلية يجب أن تكون مسجلة لدى إدارة المستودعات الطبية بسجل الموردين
• 2- الشركة المحلية يجب أن تكون متخصصة في المجال الطبي وموثق بشهادة معتمدة من غرفة التجارة والصناعة
• 3- عند تقديم عرضين يجب شراء كراستين بوصلين مختلفين
• 4- ارفاق شهادة تسجيل للمنتج سارية المفعول من إدارة التسجيل ومراقبة الأدوية الطبية والنباتية أو ما يثبت بتقديم الشهادة ونسخة من تسجيل الشركة المصنعة والمادة في سجل الموردين بإدارة المستودعات الطبية ضمن محتويات العطاء المقدم فيه (خاص بمراقبة الأدوية)
• 5- تقديم عينات للمواد الجديدة سواءً كان منتج جديد يطلب لأول مرة أو من شركة مصنعة جديدة للمراقبة المختصة ( الأدوية – اللوازم الطبية)
• 6- ارفاق شهادة نسبة دعم العمالة الوطنية
• 7- يمكن الحصول على وثائق الممارسات في الموقع الإلكتروني الخاص بوزارة الصحة
• 8- يمكن دفع رسوم شراء الكراسة من الموقع الإلكتروني لإرفاقه مع وثائق الممارسة
• 9- تقديم عروض الأسعار بظرف مقفل شامل مع وثائق الممارسة حسب تاريخ الإقفال المحدد في الموقع الإلكتروني الخاص بوزارة ا لصحة</t>
        </is>
      </c>
      <c r="G107" s="12" t="inlineStr">
        <is>
          <t>عام</t>
        </is>
      </c>
      <c r="H107" s="12" t="inlineStr">
        <is>
          <t>0.0%</t>
        </is>
      </c>
      <c r="I107" s="12" t="inlineStr">
        <is>
          <t>healthcare</t>
        </is>
      </c>
      <c r="J107" s="12" t="inlineStr">
        <is>
          <t>2026-09-20</t>
        </is>
      </c>
      <c r="K107" s="18" t="inlineStr">
        <is>
          <t>2026-10-14</t>
        </is>
      </c>
      <c r="L107" s="12" t="inlineStr">
        <is>
          <t>-</t>
        </is>
      </c>
      <c r="M107" s="12" t="inlineStr">
        <is>
          <t>75.0 KWD</t>
        </is>
      </c>
      <c r="N107" s="21" t="inlineStr">
        <is>
          <t>UPDATED</t>
        </is>
      </c>
      <c r="O107" s="12" t="inlineStr">
        <is>
          <t>غير متوافقة مع اختصاصات KBM</t>
        </is>
      </c>
      <c r="P107" s="23">
        <f>HYPERLINK("https://kuwaitalyawm.media.gov.kw/Online/ViewAdsHTML?id=170990&amp;no=1", "عرض المصدر")</f>
        <v/>
      </c>
    </row>
    <row r="108">
      <c r="A108" s="13" t="inlineStr">
        <is>
          <t>2027/2026/72</t>
        </is>
      </c>
      <c r="B108" s="13" t="inlineStr">
        <is>
          <t>وزارة الصحة</t>
        </is>
      </c>
      <c r="C108" s="13" t="inlineStr">
        <is>
          <t>Jana Al-Obaid</t>
        </is>
      </c>
      <c r="D108" s="13" t="inlineStr">
        <is>
          <t>ممارسة رقم 2027/2026/72: تـعـلـن وزارة الصـحة عن طرح الممارسة : رقم ص / م س /72/2026/2027 توريد ثلاجات كهربائية ( احتياجات المراكز و المستشفيات ) بين الشركات المتخصصة في هذا المجال طبقا للشروط العامة والخاصة الموضحة في وثائق الممارسة التي يمكن الحصول عليها من موقع الوزارة (www.moh.gov.kw ) و ذلك مقابل دفع مبلغ ( 75 د . ك ) فقط مبلغ خمسة و سبعون دينار كويتي لا غير لا ترد .</t>
        </is>
      </c>
      <c r="E108" s="13" t="inlineStr">
        <is>
          <t>أعمال وتوريدات رقم ص / م س /72/2026/2027 توريد ثلاجات كهربائية ( احتياجات المراكز و المستشفيات ) بين الشركات المتخصصة في هذا المجال طبقا للشروط العامة والخاصة الموضحة في وثائق الممارسة التي يمكن الحصول عليها من موقع الوزارة (www.moh.gov.kw ) و ذلك مقابل دفع مبلغ ( 75 د . ك ) فقط مبلغ خمسة و سبعون دينار كويتي لا غير لا ترد . لصالح وزارة الصحة وفقاً للشروط والمواصفات المعتمدة في وثائق الطرح.</t>
        </is>
      </c>
      <c r="F10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08" s="14" t="inlineStr">
        <is>
          <t>عام</t>
        </is>
      </c>
      <c r="H108" s="14" t="inlineStr">
        <is>
          <t>15.0%</t>
        </is>
      </c>
      <c r="I108" s="14" t="inlineStr">
        <is>
          <t>healthcare</t>
        </is>
      </c>
      <c r="J108" s="14" t="inlineStr">
        <is>
          <t>2026-09-20</t>
        </is>
      </c>
      <c r="K108" s="14" t="inlineStr">
        <is>
          <t>-</t>
        </is>
      </c>
      <c r="L108" s="14" t="inlineStr">
        <is>
          <t>-</t>
        </is>
      </c>
      <c r="M108" s="14" t="inlineStr">
        <is>
          <t>-</t>
        </is>
      </c>
      <c r="N108" s="21" t="inlineStr">
        <is>
          <t>UPDATED</t>
        </is>
      </c>
      <c r="O108" s="14" t="inlineStr">
        <is>
          <t>غير متوافقة مع اختصاصات KBM</t>
        </is>
      </c>
      <c r="P108" s="22">
        <f>HYPERLINK("https://kuwaitalyawm.media.gov.kw/Online/ViewAdsHTML?id=170991&amp;no=1", "عرض المصدر")</f>
        <v/>
      </c>
    </row>
    <row r="109">
      <c r="A109" s="11" t="inlineStr">
        <is>
          <t>126-320</t>
        </is>
      </c>
      <c r="B109" s="11" t="inlineStr">
        <is>
          <t>وزارة الصحة</t>
        </is>
      </c>
      <c r="C109" s="11" t="inlineStr">
        <is>
          <t>Jana Al-Obaid</t>
        </is>
      </c>
      <c r="D109" s="11" t="inlineStr">
        <is>
          <t>ممارسة رقم 126-320 - وزارة الصحة (العدد 1808)</t>
        </is>
      </c>
      <c r="E109" s="11" t="inlineStr">
        <is>
          <t>أعمال وتوريدات ممارسة رقم 126-320 لصالح وزارة الصحة وفقاً للشروط والمواصفات المعتمدة في وثائق الطرح.</t>
        </is>
      </c>
      <c r="F109" s="11" t="inlineStr">
        <is>
          <t>• 1- أن تكون مقصورة على الشركات المسجلة لدى إدارة الهندسة الطبية.
• 2- أن تكون الشركة متخصصة في هذا المجال مع احضار ما يفيد ذلك.
• 3- سداد الرسوم المقررة لشراء وثائق الممارسة إلكترونياً.
• 4- أن تقدم الشركات المشاركة شهادة دعم العمالة الوطنية.
• 5- يمكن الحصول على وثائق الممارسات من تاريخ النشر لغاية تاريخ الاغلاق.</t>
        </is>
      </c>
      <c r="G109" s="12" t="inlineStr">
        <is>
          <t>عام</t>
        </is>
      </c>
      <c r="H109" s="12" t="inlineStr">
        <is>
          <t>15.0%</t>
        </is>
      </c>
      <c r="I109" s="12" t="inlineStr">
        <is>
          <t>healthcare</t>
        </is>
      </c>
      <c r="J109" s="12" t="inlineStr">
        <is>
          <t>2026-09-13</t>
        </is>
      </c>
      <c r="K109" s="18" t="inlineStr">
        <is>
          <t>2026-10-14</t>
        </is>
      </c>
      <c r="L109" s="12" t="inlineStr">
        <is>
          <t>-</t>
        </is>
      </c>
      <c r="M109" s="12" t="inlineStr">
        <is>
          <t>75.0 KWD</t>
        </is>
      </c>
      <c r="N109" s="21" t="inlineStr">
        <is>
          <t>UPDATED</t>
        </is>
      </c>
      <c r="O109" s="12" t="inlineStr">
        <is>
          <t>غير متوافقة مع اختصاصات KBM</t>
        </is>
      </c>
      <c r="P109" s="23">
        <f>HYPERLINK("https://kuwaitalyawm.media.gov.kw/Online/ViewAdsHTML?id=169860&amp;no=1", "عرض المصدر")</f>
        <v/>
      </c>
    </row>
    <row r="110">
      <c r="A110" s="13" t="inlineStr">
        <is>
          <t>703-280</t>
        </is>
      </c>
      <c r="B110" s="13" t="inlineStr">
        <is>
          <t>وزارة الصحة</t>
        </is>
      </c>
      <c r="C110" s="13" t="inlineStr">
        <is>
          <t>Jana Al-Obaid</t>
        </is>
      </c>
      <c r="D110" s="13" t="inlineStr">
        <is>
          <t>ممارسة رقم 703-280 - وزارة الصحة (العدد 1808)</t>
        </is>
      </c>
      <c r="E110" s="13" t="inlineStr">
        <is>
          <t>أعمال وتوريدات ممارسة رقم 703-280 لصالح وزارة الصحة وفقاً للشروط والمواصفات المعتمدة في وثائق الطرح.</t>
        </is>
      </c>
      <c r="F110" s="13" t="inlineStr">
        <is>
          <t>• 1- أن تكون مقصورة على الشركات المسجلة لدى إدارة الهندسة الطبية.
• 2- أن تكون الشركة متخصصة في هذا المجال مع احضار ما يفيد ذلك.
• 3- سداد الرسوم المقررة لشراء وثائق الممارسة إلكترونياً.
• 4- أن تقدم الشركات المشاركة شهادة دعم العمالة الوطنية.
• 5- يمكن الحصول على وثائق الممارسات من تاريخ النشر لغاية تاريخ الاغلاق.</t>
        </is>
      </c>
      <c r="G110" s="14" t="inlineStr">
        <is>
          <t>عام</t>
        </is>
      </c>
      <c r="H110" s="14" t="inlineStr">
        <is>
          <t>15.0%</t>
        </is>
      </c>
      <c r="I110" s="14" t="inlineStr">
        <is>
          <t>healthcare</t>
        </is>
      </c>
      <c r="J110" s="14" t="inlineStr">
        <is>
          <t>2026-09-13</t>
        </is>
      </c>
      <c r="K110" s="18" t="inlineStr">
        <is>
          <t>2026-10-14</t>
        </is>
      </c>
      <c r="L110" s="14" t="inlineStr">
        <is>
          <t>-</t>
        </is>
      </c>
      <c r="M110" s="14" t="inlineStr">
        <is>
          <t>75.0 KWD</t>
        </is>
      </c>
      <c r="N110" s="21" t="inlineStr">
        <is>
          <t>UPDATED</t>
        </is>
      </c>
      <c r="O110" s="14" t="inlineStr">
        <is>
          <t>غير متوافقة مع اختصاصات KBM</t>
        </is>
      </c>
      <c r="P110" s="22">
        <f>HYPERLINK("https://kuwaitalyawm.media.gov.kw/Online/ViewAdsHTML?id=169861&amp;no=1", "عرض المصدر")</f>
        <v/>
      </c>
    </row>
    <row r="111">
      <c r="A111" s="11" t="inlineStr">
        <is>
          <t>334-331</t>
        </is>
      </c>
      <c r="B111" s="11" t="inlineStr">
        <is>
          <t>وزارة الصحة</t>
        </is>
      </c>
      <c r="C111" s="11" t="inlineStr">
        <is>
          <t>Jana Al-Obaid</t>
        </is>
      </c>
      <c r="D111" s="11" t="inlineStr">
        <is>
          <t>ممارسة رقم 334-331 - وزارة الصحة (العدد 1808)</t>
        </is>
      </c>
      <c r="E111" s="11" t="inlineStr">
        <is>
          <t>أعمال وتوريدات ممارسة رقم 334-331 لصالح وزارة الصحة وفقاً للشروط والمواصفات المعتمدة في وثائق الطرح.</t>
        </is>
      </c>
      <c r="F111" s="11" t="inlineStr">
        <is>
          <t>• 1- الشركة المحلية يجب أن تكون مسجلة لدى إدارة المستودعات الطبية بسجل الموردين
• 2- الشركة المحلية يجب أن تكون متخصصة في المجال الطبي وموثق بشهادة معتمدة من غرفة التجارة والصناعة
• 3- عند تقديم عرضين يجب شراء كراستين بوصلين مختلفين
• 4- ارفاق شهادة تسجيل للمنتج سارية المفعول من إدارة التسجيل ومراقبة الأدوية الطبية والنباتية أو ما يثبت بتقديم الشهادة ونسخة من تسجيل الشركة المصنعة والمادة في سجل الموردين بإدارة المستودعات الطبية ضمن محتويات العطاء المقدم فيه (خاص بمراقبة الأدوية)
• 5- تقديم عينات للمواد الجديدة سواءً كان منتج جديد يطلب لأول مرة أو من شركة مصنعة جديدة للمراقبة المختصة ( الأدوية – اللوازم الطبية)
• 6- ارفاق شهادة نسبة دعم العمالة الوطنية
• 7- يمكن الحصول على وثائق الممارسات في الموقع الإلكتروني الخاص بوزارة الصحة
• 8- يمكن دفع رسوم شراء الكراسة من الموقع الإلكتروني لإرفاقه مع وثائق الممارسة
• 9- تقديم عروض الأسعار بظرف مقفل شامل مع وثائق الممارسة حسب تاريخ الإقفال المحدد في الموقع الإلكتروني الخاص بوزارة ا لصحة</t>
        </is>
      </c>
      <c r="G111" s="12" t="inlineStr">
        <is>
          <t>عام</t>
        </is>
      </c>
      <c r="H111" s="12" t="inlineStr">
        <is>
          <t>0.0%</t>
        </is>
      </c>
      <c r="I111" s="12" t="inlineStr">
        <is>
          <t>healthcare</t>
        </is>
      </c>
      <c r="J111" s="12" t="inlineStr">
        <is>
          <t>2026-09-13</t>
        </is>
      </c>
      <c r="K111" s="18" t="inlineStr">
        <is>
          <t>2026-10-14</t>
        </is>
      </c>
      <c r="L111" s="12" t="inlineStr">
        <is>
          <t>-</t>
        </is>
      </c>
      <c r="M111" s="12" t="inlineStr">
        <is>
          <t>75.0 KWD</t>
        </is>
      </c>
      <c r="N111" s="21" t="inlineStr">
        <is>
          <t>UPDATED</t>
        </is>
      </c>
      <c r="O111" s="12" t="inlineStr">
        <is>
          <t>غير متوافقة مع اختصاصات KBM</t>
        </is>
      </c>
      <c r="P111" s="23">
        <f>HYPERLINK("https://kuwaitalyawm.media.gov.kw/Online/ViewAdsHTML?id=169867&amp;no=1", "عرض المصدر")</f>
        <v/>
      </c>
    </row>
    <row r="112">
      <c r="A112" s="13" t="inlineStr">
        <is>
          <t>268-274</t>
        </is>
      </c>
      <c r="B112" s="13" t="inlineStr">
        <is>
          <t>وزارة الصحة</t>
        </is>
      </c>
      <c r="C112" s="13" t="inlineStr">
        <is>
          <t>Jana Al-Obaid</t>
        </is>
      </c>
      <c r="D112" s="13" t="inlineStr">
        <is>
          <t>ممارسة رقم 268-274 - وزارة الصحة (العدد 1810)</t>
        </is>
      </c>
      <c r="E112" s="13" t="inlineStr">
        <is>
          <t>أعمال وتوريدات ممارسة رقم 268-274 لصالح وزارة الصحة وفقاً للشروط والمواصفات المعتمدة في وثائق الطرح.</t>
        </is>
      </c>
      <c r="F112" s="13" t="inlineStr">
        <is>
          <t>• 1- أن تكون مقصورة على الشركات المسجلة لدى إدارة الهندسة الطبية.
• 2- أن تكون الشركة متخصصة في هذا المجال مع احضار ما يفيد ذلك.
• 3- سداد الرسوم المقررة لشراء وثائق الممارسة إلكترونياً.
• 4- أن تقدم الشركات المشاركة شهادة دعم العمالة الوطنية.
• 5- يمكن الحصول على وثائق الممارسات من تاريخ النشر لغاية تاريخ الإغلاق.</t>
        </is>
      </c>
      <c r="G112" s="14" t="inlineStr">
        <is>
          <t>عام</t>
        </is>
      </c>
      <c r="H112" s="14" t="inlineStr">
        <is>
          <t>15.0%</t>
        </is>
      </c>
      <c r="I112" s="14" t="inlineStr">
        <is>
          <t>healthcare</t>
        </is>
      </c>
      <c r="J112" s="14" t="inlineStr">
        <is>
          <t>2026-09-27</t>
        </is>
      </c>
      <c r="K112" s="14" t="inlineStr">
        <is>
          <t>-</t>
        </is>
      </c>
      <c r="L112" s="14" t="inlineStr">
        <is>
          <t>-</t>
        </is>
      </c>
      <c r="M112" s="14" t="inlineStr">
        <is>
          <t>75.0 KWD</t>
        </is>
      </c>
      <c r="N112" s="21" t="inlineStr">
        <is>
          <t>UPDATED</t>
        </is>
      </c>
      <c r="O112" s="14" t="inlineStr">
        <is>
          <t>غير متوافقة مع اختصاصات KBM</t>
        </is>
      </c>
      <c r="P112" s="22">
        <f>HYPERLINK("https://kuwaitalyawm.media.gov.kw/Online/ViewAdsHTML?id=171548&amp;no=1", "عرض المصدر")</f>
        <v/>
      </c>
    </row>
    <row r="113">
      <c r="A113" s="11" t="inlineStr">
        <is>
          <t>313-225</t>
        </is>
      </c>
      <c r="B113" s="11" t="inlineStr">
        <is>
          <t>وزارة الصحة</t>
        </is>
      </c>
      <c r="C113" s="11" t="inlineStr">
        <is>
          <t>Jana Al-Obaid</t>
        </is>
      </c>
      <c r="D113" s="11" t="inlineStr">
        <is>
          <t>ممارسة رقم 313-225: توريد WASTE DISPOSAL SYSTEM MACERATOR</t>
        </is>
      </c>
      <c r="E113" s="11" t="inlineStr">
        <is>
          <t>أعمال وتوريدات توريد WASTE DISPOSAL SYSTEM MACERATOR لصالح وزارة الصحة وفقاً للشروط والمواصفات المعتمدة في وثائق الطرح.</t>
        </is>
      </c>
      <c r="F113" s="11" t="inlineStr">
        <is>
          <t>• أن تكون مقصورة على الشركات المسجلة لدى إدارة الهندسة الطبية.
• أن تكون الشركة متخصصة في هذا المجال مع احضار ما يفيد ذلك.
• سداد الرسوم المقررة لشراء وثائق الممارسة إلكترونياً.
• أن تقدم الشركات المشاركة شهادة دعم العمالة الوطنية.
• يمكن الحصول على وثائق الممارسات من تاريخ النشر لغاية تاريخ الاغلاق.</t>
        </is>
      </c>
      <c r="G113" s="12" t="inlineStr">
        <is>
          <t>عام</t>
        </is>
      </c>
      <c r="H113" s="12" t="inlineStr">
        <is>
          <t>15.0%</t>
        </is>
      </c>
      <c r="I113" s="12" t="inlineStr">
        <is>
          <t>healthcare</t>
        </is>
      </c>
      <c r="J113" s="12" t="inlineStr">
        <is>
          <t>2026-09-27</t>
        </is>
      </c>
      <c r="K113" s="12" t="inlineStr">
        <is>
          <t>2026-10-28</t>
        </is>
      </c>
      <c r="L113" s="12" t="inlineStr">
        <is>
          <t>-</t>
        </is>
      </c>
      <c r="M113" s="12" t="inlineStr">
        <is>
          <t>150.0 KWD</t>
        </is>
      </c>
      <c r="N113" s="21" t="inlineStr">
        <is>
          <t>UPDATED</t>
        </is>
      </c>
      <c r="O113" s="12" t="inlineStr">
        <is>
          <t>غير متوافقة مع اختصاصات KBM</t>
        </is>
      </c>
      <c r="P113" s="23">
        <f>HYPERLINK("https://kuwaitalyawm.media.gov.kw/Online/ViewAdsHTML?id=171547&amp;no=1", "عرض المصدر")</f>
        <v/>
      </c>
    </row>
    <row r="114">
      <c r="A114" s="13" t="inlineStr">
        <is>
          <t>36-40</t>
        </is>
      </c>
      <c r="B114" s="13" t="inlineStr">
        <is>
          <t>وزارة الصحة</t>
        </is>
      </c>
      <c r="C114" s="13" t="inlineStr">
        <is>
          <t>Jana Al-Obaid</t>
        </is>
      </c>
      <c r="D114" s="13" t="inlineStr">
        <is>
          <t>ممارسة رقم 36-40 - وزارة الصحة (العدد 1810)</t>
        </is>
      </c>
      <c r="E114" s="13" t="inlineStr">
        <is>
          <t>أعمال وتوريدات ممارسة رقم 36-40 لصالح وزارة الصحة وفقاً للشروط والمواصفات المعتمدة في وثائق الطرح.</t>
        </is>
      </c>
      <c r="F114" s="13" t="inlineStr">
        <is>
          <t>• أن تكون مقصورة على الشركات المسجلة لدى إدارة الهندسة الطبية.
• أن تكون الشركة متخصصة في هذا المجال مع إحضار ما يفيد ذلك.
• سداد الرسوم المقررة لشراء وثائق الممارسة بطوابع إلكترونية.
• كتاب تفويض من الشركة بشراء وثائق الممارسة.
• أن تقدم الشركات المشاركة شهادة دعم العمالة الوطنية.
• يمكن الحصول على وثائق الممارسات من تاريخ النشر ولمدة 14 يوم فقط.</t>
        </is>
      </c>
      <c r="G114" s="14" t="inlineStr">
        <is>
          <t>عام</t>
        </is>
      </c>
      <c r="H114" s="14" t="inlineStr">
        <is>
          <t>15.0%</t>
        </is>
      </c>
      <c r="I114" s="14" t="inlineStr">
        <is>
          <t>healthcare</t>
        </is>
      </c>
      <c r="J114" s="14" t="inlineStr">
        <is>
          <t>2026-09-27</t>
        </is>
      </c>
      <c r="K114" s="18" t="inlineStr">
        <is>
          <t>2026-10-14</t>
        </is>
      </c>
      <c r="L114" s="14" t="inlineStr">
        <is>
          <t>-</t>
        </is>
      </c>
      <c r="M114" s="14" t="inlineStr">
        <is>
          <t>75.0 KWD</t>
        </is>
      </c>
      <c r="N114" s="21" t="inlineStr">
        <is>
          <t>UPDATED</t>
        </is>
      </c>
      <c r="O114" s="14" t="inlineStr">
        <is>
          <t>غير متوافقة مع اختصاصات KBM</t>
        </is>
      </c>
      <c r="P114" s="22">
        <f>HYPERLINK("https://kuwaitalyawm.media.gov.kw/Online/ViewAdsHTML?id=171546&amp;no=1", "عرض المصدر")</f>
        <v/>
      </c>
    </row>
    <row r="115">
      <c r="A115" s="11" t="inlineStr">
        <is>
          <t>430-190</t>
        </is>
      </c>
      <c r="B115" s="11" t="inlineStr">
        <is>
          <t>وزارة الصحة</t>
        </is>
      </c>
      <c r="C115" s="11" t="inlineStr">
        <is>
          <t>Jana Al-Obaid</t>
        </is>
      </c>
      <c r="D115" s="11" t="inlineStr">
        <is>
          <t>ممارسة رقم 430-190 - وزارة الصحة (العدد 1810)</t>
        </is>
      </c>
      <c r="E115" s="11" t="inlineStr">
        <is>
          <t>أعمال وتوريدات ممارسة رقم 430-190 لصالح وزارة الصحة وفقاً للشروط والمواصفات المعتمدة في وثائق الطرح.</t>
        </is>
      </c>
      <c r="F115" s="11" t="inlineStr">
        <is>
          <t>• أن تكون مقصورة على الشركات المسجلة لدى إدارة الهندسة الطبية.
• أن تكون الشركة متخصصة في هذا المجال مع احضار ما يفيد ذلك.
• سداد الرسوم المقررة لشراء وثائق الممارسة إلكترونياً.
• أن تقدم الشركات المشاركة شهادة دعم العمالة الوطنية.
• يمكن الحصول على وثائق الممارسات من تاريخ النشر لغاية تاريخ الإغلاق.</t>
        </is>
      </c>
      <c r="G115" s="12" t="inlineStr">
        <is>
          <t>عام</t>
        </is>
      </c>
      <c r="H115" s="12" t="inlineStr">
        <is>
          <t>15.0%</t>
        </is>
      </c>
      <c r="I115" s="12" t="inlineStr">
        <is>
          <t>healthcare</t>
        </is>
      </c>
      <c r="J115" s="12" t="inlineStr">
        <is>
          <t>2026-09-27</t>
        </is>
      </c>
      <c r="K115" s="12" t="inlineStr">
        <is>
          <t>2026-10-28</t>
        </is>
      </c>
      <c r="L115" s="12" t="inlineStr">
        <is>
          <t>-</t>
        </is>
      </c>
      <c r="M115" s="12" t="inlineStr">
        <is>
          <t>150.0 KWD</t>
        </is>
      </c>
      <c r="N115" s="21" t="inlineStr">
        <is>
          <t>UPDATED</t>
        </is>
      </c>
      <c r="O115" s="12" t="inlineStr">
        <is>
          <t>غير متوافقة مع اختصاصات KBM</t>
        </is>
      </c>
      <c r="P115" s="23">
        <f>HYPERLINK("https://kuwaitalyawm.media.gov.kw/Online/ViewAdsHTML?id=171545&amp;no=1", "عرض المصدر")</f>
        <v/>
      </c>
    </row>
    <row r="116">
      <c r="A116" s="13" t="inlineStr">
        <is>
          <t>33/32</t>
        </is>
      </c>
      <c r="B116" s="13" t="inlineStr">
        <is>
          <t>وزارة الصحة</t>
        </is>
      </c>
      <c r="C116" s="13" t="inlineStr">
        <is>
          <t>Jana Al-Obaid</t>
        </is>
      </c>
      <c r="D116" s="13" t="inlineStr">
        <is>
          <t>ممارسة رقم 33/32: توريد وتركيب وتشغيل وصيانة نظام كاميرات المراقبة الأمنية بمستشفى الأميري الجديد والقديم والمباني التابعة لها</t>
        </is>
      </c>
      <c r="E116" s="13" t="inlineStr">
        <is>
          <t>تنفيذ أعمال توريد وتركيب وتشغيل وصيانة نظام كاميرات المراقبة الأمنية بمستشفى الأميري الجديد والقديم والمباني التابعة لها، وتوفير كافة الأجهزة والمعدات والأنظمة وخدمات الدعم الفني والضمان وفقاً لكراسة الشروط والمواصفات الفنية.</t>
        </is>
      </c>
      <c r="F11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16" s="24" t="inlineStr">
        <is>
          <t>قطاع العمليات المدارة والدعم الفني متعدد الموردين</t>
        </is>
      </c>
      <c r="H116" s="14" t="inlineStr">
        <is>
          <t>64.0%</t>
        </is>
      </c>
      <c r="I116" s="14" t="inlineStr">
        <is>
          <t>healthcare</t>
        </is>
      </c>
      <c r="J116" s="14" t="inlineStr">
        <is>
          <t>2026-09-27</t>
        </is>
      </c>
      <c r="K116" s="14" t="inlineStr">
        <is>
          <t>-</t>
        </is>
      </c>
      <c r="L116" s="14" t="inlineStr">
        <is>
          <t>-</t>
        </is>
      </c>
      <c r="M116" s="14" t="inlineStr">
        <is>
          <t>-</t>
        </is>
      </c>
      <c r="N116" s="26" t="inlineStr">
        <is>
          <t>UNCHANGED</t>
        </is>
      </c>
      <c r="O116" s="14" t="inlineStr">
        <is>
          <t>فرصة ICT متوافقة مع قدرات KBM</t>
        </is>
      </c>
      <c r="P116" s="22">
        <f>HYPERLINK("https://kuwaitalyawm.media.gov.kw/Online/ViewAdsHTML?id=171544&amp;no=1", "عرض المصدر")</f>
        <v/>
      </c>
    </row>
    <row r="117">
      <c r="A117" s="11" t="inlineStr">
        <is>
          <t>364-294</t>
        </is>
      </c>
      <c r="B117" s="11" t="inlineStr">
        <is>
          <t>وزارة الصحة</t>
        </is>
      </c>
      <c r="C117" s="11" t="inlineStr">
        <is>
          <t>Jana Al-Obaid</t>
        </is>
      </c>
      <c r="D117" s="11" t="inlineStr">
        <is>
          <t>ممارسة رقم 364-294 - وزارة الصحة (العدد 1810)</t>
        </is>
      </c>
      <c r="E117" s="11" t="inlineStr">
        <is>
          <t>أعمال وتوريدات ممارسة رقم 364-294 لصالح وزارة الصحة وفقاً للشروط والمواصفات المعتمدة في وثائق الطرح.</t>
        </is>
      </c>
      <c r="F117" s="11" t="inlineStr">
        <is>
          <t>• أن تكون مقصورة على الشركات المسجلة لدى إدارة الهندسة الطبية.
• أن تكون الشركة متخصصة في هذا المجال مع إحضار ما يفيد ذلك.
• سداد الرسوم المقررة لشراء وثائق الممارسة إلكترونياً.
• أن تقدم الشركات المشاركة شهادة دعم العمالة الوطنية.
• يمكن الحصول على وثائق الممارسات من تاريخ النشر لغاية تاريخ الإغلاق.</t>
        </is>
      </c>
      <c r="G117" s="12" t="inlineStr">
        <is>
          <t>عام</t>
        </is>
      </c>
      <c r="H117" s="12" t="inlineStr">
        <is>
          <t>0.0%</t>
        </is>
      </c>
      <c r="I117" s="12" t="inlineStr">
        <is>
          <t>healthcare</t>
        </is>
      </c>
      <c r="J117" s="12" t="inlineStr">
        <is>
          <t>2026-09-27</t>
        </is>
      </c>
      <c r="K117" s="12" t="inlineStr">
        <is>
          <t>-</t>
        </is>
      </c>
      <c r="L117" s="12" t="inlineStr">
        <is>
          <t>-</t>
        </is>
      </c>
      <c r="M117" s="12" t="inlineStr">
        <is>
          <t>75.0 KWD</t>
        </is>
      </c>
      <c r="N117" s="21" t="inlineStr">
        <is>
          <t>UPDATED</t>
        </is>
      </c>
      <c r="O117" s="12" t="inlineStr">
        <is>
          <t>غير متوافقة مع اختصاصات KBM</t>
        </is>
      </c>
      <c r="P117" s="23">
        <f>HYPERLINK("https://kuwaitalyawm.media.gov.kw/Online/ViewAdsHTML?id=171543&amp;no=1", "عرض المصدر")</f>
        <v/>
      </c>
    </row>
    <row r="118">
      <c r="A118" s="13" t="inlineStr">
        <is>
          <t>ص / م خ ع / 11/2025/2026</t>
        </is>
      </c>
      <c r="B118" s="13" t="inlineStr">
        <is>
          <t>وزارة الصحة</t>
        </is>
      </c>
      <c r="C118" s="13" t="inlineStr">
        <is>
          <t>Jana Al-Obaid</t>
        </is>
      </c>
      <c r="D118" s="13" t="inlineStr">
        <is>
          <t>زيادة سعة بدالة مستشفى الاميري الجديد وربط المباني الملحقة بها بنظام اتصالات مركزي موحد</t>
        </is>
      </c>
      <c r="E118" s="13" t="inlineStr">
        <is>
          <t>تنفيذ أعمال زيادة سعة بدالة مستشفى الاميري الجديد وربط المباني الملحقة بها بنظام اتصالات مركزي موحد، وتوفير كافة الأجهزة والمعدات والأنظمة وخدمات الدعم الفني والضمان وفقاً لكراسة الشروط والمواصفات الفنية.</t>
        </is>
      </c>
      <c r="F11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18" s="24" t="inlineStr">
        <is>
          <t>قطاع العمليات المدارة والدعم الفني متعدد الموردين</t>
        </is>
      </c>
      <c r="H118" s="14" t="inlineStr">
        <is>
          <t>64.0%</t>
        </is>
      </c>
      <c r="I118" s="14" t="inlineStr">
        <is>
          <t>healthcare</t>
        </is>
      </c>
      <c r="J118" s="14" t="inlineStr">
        <is>
          <t>2026-10-04</t>
        </is>
      </c>
      <c r="K118" s="14" t="inlineStr">
        <is>
          <t>2026-11-03</t>
        </is>
      </c>
      <c r="L118" s="14" t="inlineStr">
        <is>
          <t>6000.000 KWD</t>
        </is>
      </c>
      <c r="M118" s="14" t="inlineStr">
        <is>
          <t>300.000 KWD</t>
        </is>
      </c>
      <c r="N118" s="26" t="inlineStr">
        <is>
          <t>UNCHANGED</t>
        </is>
      </c>
      <c r="O118" s="14" t="inlineStr">
        <is>
          <t>فرصة ICT متوافقة مع قدرات KBM</t>
        </is>
      </c>
      <c r="P118" s="22">
        <f>HYPERLINK("https://capt.gov.kw/ar/tenders/opening-tenders/#card-2", "عرض المصدر")</f>
        <v/>
      </c>
    </row>
    <row r="119">
      <c r="A119" s="11" t="inlineStr">
        <is>
          <t>ص/م خ ع/2/2025/2026</t>
        </is>
      </c>
      <c r="B119" s="11" t="inlineStr">
        <is>
          <t>وزارة الصحة</t>
        </is>
      </c>
      <c r="C119" s="11" t="inlineStr">
        <is>
          <t>Jana Al-Obaid</t>
        </is>
      </c>
      <c r="D119" s="11" t="inlineStr">
        <is>
          <t>الانشاء و التجهيز و التأثيث و الصيانة لمشروع انشاء المطبخ المركزي لمستشفى الفروانية الجديد</t>
        </is>
      </c>
      <c r="E119" s="11" t="inlineStr">
        <is>
          <t>أعمال وتوريدات الانشاء و التجهيز و التأثيث و الصيانة لمشروع انشاء المطبخ المركزي لمستشفى الفروانية الجديد لصالح وزارة الصحة وفقاً للشروط والمواصفات المعتمدة في وثائق الطرح.</t>
        </is>
      </c>
      <c r="F11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19" s="12" t="inlineStr">
        <is>
          <t>عام</t>
        </is>
      </c>
      <c r="H119" s="12" t="inlineStr">
        <is>
          <t>0.0%</t>
        </is>
      </c>
      <c r="I119" s="12" t="inlineStr">
        <is>
          <t>healthcare</t>
        </is>
      </c>
      <c r="J119" s="12" t="inlineStr">
        <is>
          <t>2026-08-16</t>
        </is>
      </c>
      <c r="K119" s="12" t="inlineStr">
        <is>
          <t>2026-11-03</t>
        </is>
      </c>
      <c r="L119" s="12" t="inlineStr">
        <is>
          <t>62000.000 KWD</t>
        </is>
      </c>
      <c r="M119" s="12" t="inlineStr">
        <is>
          <t>1000.000 KWD</t>
        </is>
      </c>
      <c r="N119" s="25" t="inlineStr">
        <is>
          <t>NEW</t>
        </is>
      </c>
      <c r="O119" s="12" t="inlineStr">
        <is>
          <t>غير متوافقة مع اختصاصات KBM</t>
        </is>
      </c>
      <c r="P119" s="23">
        <f>HYPERLINK("https://capt.gov.kw/ar/tenders/opening-tenders/#card-8", "عرض المصدر")</f>
        <v/>
      </c>
    </row>
    <row r="120">
      <c r="A120" s="13" t="inlineStr">
        <is>
          <t>ص/ م خ ع / 9/2026/2027</t>
        </is>
      </c>
      <c r="B120" s="13" t="inlineStr">
        <is>
          <t>وزارة الصحة</t>
        </is>
      </c>
      <c r="C120" s="13" t="inlineStr">
        <is>
          <t>Jana Al-Obaid</t>
        </is>
      </c>
      <c r="D120" s="13" t="inlineStr">
        <is>
          <t>خدمات الإشراف على التنفيذ لإنشاء وتجهيز وتأثيث والصيانة لمشروع المطبخ المركزي لمستشفى الفروانية الجديد</t>
        </is>
      </c>
      <c r="E120" s="13" t="inlineStr">
        <is>
          <t>تنفيذ الأعمال المدنية والإنشائية والترميم والصيانة العامة للمباني والمنشآت والمرافق التابعة للجهة.</t>
        </is>
      </c>
      <c r="F12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20" s="14" t="inlineStr">
        <is>
          <t>عام</t>
        </is>
      </c>
      <c r="H120" s="14" t="inlineStr">
        <is>
          <t>0.0%</t>
        </is>
      </c>
      <c r="I120" s="14" t="inlineStr">
        <is>
          <t>healthcare</t>
        </is>
      </c>
      <c r="J120" s="14" t="inlineStr">
        <is>
          <t>2026-08-30</t>
        </is>
      </c>
      <c r="K120" s="14" t="inlineStr">
        <is>
          <t>2026-11-24</t>
        </is>
      </c>
      <c r="L120" s="14" t="inlineStr">
        <is>
          <t>7500.000 KWD</t>
        </is>
      </c>
      <c r="M120" s="14" t="inlineStr">
        <is>
          <t>1000.000 KWD</t>
        </is>
      </c>
      <c r="N120" s="25" t="inlineStr">
        <is>
          <t>NEW</t>
        </is>
      </c>
      <c r="O120" s="14" t="inlineStr">
        <is>
          <t>غير متوافقة مع اختصاصات KBM</t>
        </is>
      </c>
      <c r="P120" s="22">
        <f>HYPERLINK("https://capt.gov.kw/ar/tenders/opening-tenders/#card-6", "عرض المصدر")</f>
        <v/>
      </c>
    </row>
    <row r="121">
      <c r="A121" s="11" t="inlineStr">
        <is>
          <t>ص / م خ ع / 3/2026/2027</t>
        </is>
      </c>
      <c r="B121" s="11" t="inlineStr">
        <is>
          <t>وزارة الصحة</t>
        </is>
      </c>
      <c r="C121" s="11" t="inlineStr">
        <is>
          <t>Jana Al-Obaid</t>
        </is>
      </c>
      <c r="D121" s="11" t="inlineStr">
        <is>
          <t>حراسة وامن مرافق الوزارة منطقتي ( الصباح الطبية التخصصية - منطقة الأحمدي الصحية ) و الادارات المركزية</t>
        </is>
      </c>
      <c r="E121" s="11" t="inlineStr">
        <is>
          <t>توفير خدمات الحراسة والأمن والسلامة للمباني والمنشآت وتأمين المداخل وتوفير الكوادر الأمنية المدربة.</t>
        </is>
      </c>
      <c r="F12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21" s="12" t="inlineStr">
        <is>
          <t>عام</t>
        </is>
      </c>
      <c r="H121" s="12" t="inlineStr">
        <is>
          <t>0.0%</t>
        </is>
      </c>
      <c r="I121" s="12" t="inlineStr">
        <is>
          <t>healthcare</t>
        </is>
      </c>
      <c r="J121" s="12" t="inlineStr">
        <is>
          <t>2026-08-30</t>
        </is>
      </c>
      <c r="K121" s="18" t="inlineStr">
        <is>
          <t>2026-10-20</t>
        </is>
      </c>
      <c r="L121" s="12" t="inlineStr">
        <is>
          <t>100000.000 KWD</t>
        </is>
      </c>
      <c r="M121" s="12" t="inlineStr">
        <is>
          <t>3500.000 KWD</t>
        </is>
      </c>
      <c r="N121" s="25" t="inlineStr">
        <is>
          <t>NEW</t>
        </is>
      </c>
      <c r="O121" s="12" t="inlineStr">
        <is>
          <t>غير متوافقة مع اختصاصات KBM</t>
        </is>
      </c>
      <c r="P121" s="23">
        <f>HYPERLINK("https://capt.gov.kw/ar/tenders/opening-tenders/#card-5", "عرض المصدر")</f>
        <v/>
      </c>
    </row>
    <row r="122">
      <c r="A122" s="13" t="inlineStr">
        <is>
          <t>ص / م خ ع /18/2026/2027</t>
        </is>
      </c>
      <c r="B122" s="13" t="inlineStr">
        <is>
          <t>وزارة الصحة</t>
        </is>
      </c>
      <c r="C122" s="13" t="inlineStr">
        <is>
          <t>Jana Al-Obaid</t>
        </is>
      </c>
      <c r="D122" s="13" t="inlineStr">
        <is>
          <t>توريد محارم ورق التنشيف</t>
        </is>
      </c>
      <c r="E122" s="13" t="inlineStr">
        <is>
          <t>أعمال وتوريدات توريد محارم ورق التنشيف لصالح وزارة الصحة وفقاً للشروط والمواصفات المعتمدة في وثائق الطرح.</t>
        </is>
      </c>
      <c r="F12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22" s="14" t="inlineStr">
        <is>
          <t>عام</t>
        </is>
      </c>
      <c r="H122" s="14" t="inlineStr">
        <is>
          <t>15.0%</t>
        </is>
      </c>
      <c r="I122" s="14" t="inlineStr">
        <is>
          <t>healthcare</t>
        </is>
      </c>
      <c r="J122" s="14" t="inlineStr">
        <is>
          <t>2026-09-06</t>
        </is>
      </c>
      <c r="K122" s="14" t="inlineStr">
        <is>
          <t>2026-11-01</t>
        </is>
      </c>
      <c r="L122" s="14" t="inlineStr">
        <is>
          <t>6000.000 KWD</t>
        </is>
      </c>
      <c r="M122" s="14" t="inlineStr">
        <is>
          <t>300.000 KWD</t>
        </is>
      </c>
      <c r="N122" s="26" t="inlineStr">
        <is>
          <t>UNCHANGED</t>
        </is>
      </c>
      <c r="O122" s="14" t="inlineStr">
        <is>
          <t>غير متوافقة مع اختصاصات KBM</t>
        </is>
      </c>
      <c r="P122" s="22">
        <f>HYPERLINK("https://capt.gov.kw/ar/tenders/opening-tenders/#card-6", "عرض المصدر")</f>
        <v/>
      </c>
    </row>
    <row r="123">
      <c r="A123" s="11" t="inlineStr">
        <is>
          <t>ص/م خ ع/13/2026/2027</t>
        </is>
      </c>
      <c r="B123" s="11" t="inlineStr">
        <is>
          <t>وزارة الصحة</t>
        </is>
      </c>
      <c r="C123" s="11" t="inlineStr">
        <is>
          <t>Jana Al-Obaid</t>
        </is>
      </c>
      <c r="D123" s="11" t="inlineStr">
        <is>
          <t>اعداد الدراسة و التصميم و الاشراف على تنفيذ مشروع مباني المحور الخدمي لمدينة صباح الاحمد الصحية</t>
        </is>
      </c>
      <c r="E123" s="11" t="inlineStr">
        <is>
          <t>أعمال وتوريدات اعداد الدراسة و التصميم و الاشراف على تنفيذ مشروع مباني المحور الخدمي لمدينة صباح الاحمد الصحية لصالح وزارة الصحة وفقاً للشروط والمواصفات المعتمدة في وثائق الطرح.</t>
        </is>
      </c>
      <c r="F12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23" s="12" t="inlineStr">
        <is>
          <t>عام</t>
        </is>
      </c>
      <c r="H123" s="12" t="inlineStr">
        <is>
          <t>15.0%</t>
        </is>
      </c>
      <c r="I123" s="12" t="inlineStr">
        <is>
          <t>healthcare</t>
        </is>
      </c>
      <c r="J123" s="12" t="inlineStr">
        <is>
          <t>2026-09-20</t>
        </is>
      </c>
      <c r="K123" s="18" t="inlineStr">
        <is>
          <t>2026-10-20</t>
        </is>
      </c>
      <c r="L123" s="12" t="inlineStr">
        <is>
          <t>45000.000 KWD</t>
        </is>
      </c>
      <c r="M123" s="12" t="inlineStr">
        <is>
          <t>1000.000 KWD</t>
        </is>
      </c>
      <c r="N123" s="26" t="inlineStr">
        <is>
          <t>UNCHANGED</t>
        </is>
      </c>
      <c r="O123" s="12" t="inlineStr">
        <is>
          <t>غير متوافقة مع اختصاصات KBM</t>
        </is>
      </c>
      <c r="P123" s="23">
        <f>HYPERLINK("https://capt.gov.kw/ar/tenders/opening-tenders/#card-1", "عرض المصدر")</f>
        <v/>
      </c>
    </row>
    <row r="124">
      <c r="A124" s="13" t="inlineStr">
        <is>
          <t>CZ/LNGI/MP/012</t>
        </is>
      </c>
      <c r="B124" s="13" t="inlineStr">
        <is>
          <t>الشركة الكويتية للصناعات البترولية المتكاملة</t>
        </is>
      </c>
      <c r="C124" s="13" t="inlineStr">
        <is>
          <t>Eiman Ashkanani</t>
        </is>
      </c>
      <c r="D124" s="13" t="inlineStr">
        <is>
          <t>اعمال الهندسه ,التوريد,الانشاء,اعمال ماقبل التشغيل,المساعده في اعمال التشغيل,بدء التشغيل واختبارات الاداء لمشروع اضافه وحده اعاده اساله الغاز الطبيعي في مرافق استيراد الغاز الطبيعي المسال في منطقه الزور ,الكويت</t>
        </is>
      </c>
      <c r="E124" s="13" t="inlineStr">
        <is>
          <t>توريد المستلزمات والمواد والمستهلكات الطبية أو المخبرية المتخصصة لصالح المرافق الصحية.</t>
        </is>
      </c>
      <c r="F12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24" s="14" t="inlineStr">
        <is>
          <t>عام</t>
        </is>
      </c>
      <c r="H124" s="14" t="inlineStr">
        <is>
          <t>15.0%</t>
        </is>
      </c>
      <c r="I124" s="14" t="inlineStr">
        <is>
          <t>oil_and_gas</t>
        </is>
      </c>
      <c r="J124" s="14" t="inlineStr">
        <is>
          <t>2026-09-27</t>
        </is>
      </c>
      <c r="K124" s="14" t="inlineStr">
        <is>
          <t>2026-12-22</t>
        </is>
      </c>
      <c r="L124" s="14" t="inlineStr">
        <is>
          <t>450000.000 KWD</t>
        </is>
      </c>
      <c r="M124" s="14" t="inlineStr">
        <is>
          <t>5000.000 KWD</t>
        </is>
      </c>
      <c r="N124" s="26" t="inlineStr">
        <is>
          <t>UNCHANGED</t>
        </is>
      </c>
      <c r="O124" s="14" t="inlineStr">
        <is>
          <t>غير متوافقة مع اختصاصات KBM</t>
        </is>
      </c>
      <c r="P124" s="22">
        <f>HYPERLINK("https://capt.gov.kw/ar/tenders/opening-tenders/#card-4", "عرض المصدر")</f>
        <v/>
      </c>
    </row>
    <row r="125">
      <c r="A125" s="11" t="inlineStr">
        <is>
          <t>RFP-2163056</t>
        </is>
      </c>
      <c r="B125" s="11" t="inlineStr">
        <is>
          <t>شركة البترول الوطنية الكويتية</t>
        </is>
      </c>
      <c r="C125" s="11" t="inlineStr">
        <is>
          <t>Abrar Al-Qallaf</t>
        </is>
      </c>
      <c r="D125" s="11" t="inlineStr">
        <is>
          <t>ممارسة رقم RFP-2163056: توريد مواد ومهمات تشغيلية لزوم شركة البترول الوطنية الكويتية - شركة البترول الوطنية الكويتية</t>
        </is>
      </c>
      <c r="E125" s="11" t="inlineStr">
        <is>
          <t>أعمال وتوريدات تخصصية لزوم شركة البترول الوطنية الكويتية حسب وثائق الممارسة رقم RFP-2163056 عبر منصة K-Tendering.</t>
        </is>
      </c>
      <c r="F125" s="11" t="inlineStr">
        <is>
          <t>وفقاً لشروط وإجراءات المناقصات والتوريد لدى شركة البترول الوطنية الكويتية (KNPC) عبر منصة K-Tendering.</t>
        </is>
      </c>
      <c r="G125" s="12" t="inlineStr">
        <is>
          <t>عام</t>
        </is>
      </c>
      <c r="H125" s="12" t="inlineStr">
        <is>
          <t>15.0%</t>
        </is>
      </c>
      <c r="I125" s="12" t="inlineStr">
        <is>
          <t>oil_and_gas</t>
        </is>
      </c>
      <c r="J125" s="12" t="inlineStr">
        <is>
          <t>2026-10-11</t>
        </is>
      </c>
      <c r="K125" s="12" t="inlineStr">
        <is>
          <t>2027-01-05</t>
        </is>
      </c>
      <c r="L125" s="12" t="inlineStr">
        <is>
          <t>170000.000 KWD</t>
        </is>
      </c>
      <c r="M125" s="12" t="inlineStr">
        <is>
          <t>3500.000 KWD</t>
        </is>
      </c>
      <c r="N125" s="26" t="inlineStr">
        <is>
          <t>UNCHANGED</t>
        </is>
      </c>
      <c r="O125" s="12" t="inlineStr">
        <is>
          <t>غير متوافقة</t>
        </is>
      </c>
      <c r="P125" s="23">
        <f>HYPERLINK("https://capt.gov.kw/ar/tenders/opening-tenders/#card-2", "عرض المصدر")</f>
        <v/>
      </c>
    </row>
    <row r="126">
      <c r="A126" s="13" t="inlineStr">
        <is>
          <t>RFP-2159865</t>
        </is>
      </c>
      <c r="B126" s="13" t="inlineStr">
        <is>
          <t>شركة البترول الوطنية الكويتية</t>
        </is>
      </c>
      <c r="C126" s="13" t="inlineStr">
        <is>
          <t>Abrar Al-Qallaf</t>
        </is>
      </c>
      <c r="D126" s="13" t="inlineStr">
        <is>
          <t>ممارسة رقم RFP-2159865: توريد مواد ومهمات تشغيلية لزوم شركة البترول الوطنية الكويتية - شركة البترول الوطنية الكويتية</t>
        </is>
      </c>
      <c r="E126" s="13" t="inlineStr">
        <is>
          <t>أعمال وتوريدات تخصصية لزوم شركة البترول الوطنية الكويتية حسب وثائق الممارسة رقم RFP-2159865 عبر منصة K-Tendering.</t>
        </is>
      </c>
      <c r="F126" s="13" t="inlineStr">
        <is>
          <t>وفقاً لشروط وإجراءات المناقصات والتوريد لدى شركة البترول الوطنية الكويتية (KNPC) عبر منصة K-Tendering.</t>
        </is>
      </c>
      <c r="G126" s="14" t="inlineStr">
        <is>
          <t>عام</t>
        </is>
      </c>
      <c r="H126" s="14" t="inlineStr">
        <is>
          <t>15.0%</t>
        </is>
      </c>
      <c r="I126" s="14" t="inlineStr">
        <is>
          <t>oil_and_gas</t>
        </is>
      </c>
      <c r="J126" s="14" t="inlineStr">
        <is>
          <t>2026-10-11</t>
        </is>
      </c>
      <c r="K126" s="14" t="inlineStr">
        <is>
          <t>2027-01-05</t>
        </is>
      </c>
      <c r="L126" s="14" t="inlineStr">
        <is>
          <t>220000.000 KWD</t>
        </is>
      </c>
      <c r="M126" s="14" t="inlineStr">
        <is>
          <t>3500.000 KWD</t>
        </is>
      </c>
      <c r="N126" s="26" t="inlineStr">
        <is>
          <t>UNCHANGED</t>
        </is>
      </c>
      <c r="O126" s="14" t="inlineStr">
        <is>
          <t>غير متوافقة</t>
        </is>
      </c>
      <c r="P126" s="22">
        <f>HYPERLINK("https://capt.gov.kw/ar/tenders/opening-tenders/#card-1", "عرض المصدر")</f>
        <v/>
      </c>
    </row>
    <row r="127">
      <c r="A127" s="11" t="inlineStr">
        <is>
          <t>RFQ/1063554</t>
        </is>
      </c>
      <c r="B127" s="11" t="inlineStr">
        <is>
          <t>شركة البترول الوطنية الكويتية</t>
        </is>
      </c>
      <c r="C127" s="11" t="inlineStr">
        <is>
          <t>Abrar Al-Qallaf</t>
        </is>
      </c>
      <c r="D127" s="11" t="inlineStr">
        <is>
          <t>ممارسة رقم RFQ/1063554: توريد العوامل المساعدة لوحدة نزع الكبريت (OCR Catalyst for ARDS Unit-12 Tr-2 - MAB) - شركة البترول الوطنية الكويتية</t>
        </is>
      </c>
      <c r="E127" s="11" t="inlineStr">
        <is>
          <t>توريد مواد كيميائية وعوامل مساعدة تكريرية (Catalyst) لوحدة نزع الكبريت بمصفاة ميناء الأحمدي.</t>
        </is>
      </c>
      <c r="F127" s="11" t="inlineStr">
        <is>
          <t>وفقاً لشروط وإجراءات المناقصات والتوريد لدى شركة البترول الوطنية الكويتية (KNPC) عبر منصة K-Tendering.</t>
        </is>
      </c>
      <c r="G127" s="12" t="inlineStr">
        <is>
          <t>عام</t>
        </is>
      </c>
      <c r="H127" s="12" t="inlineStr">
        <is>
          <t>15.0%</t>
        </is>
      </c>
      <c r="I127" s="12" t="inlineStr">
        <is>
          <t>oil_and_gas</t>
        </is>
      </c>
      <c r="J127" s="12" t="inlineStr">
        <is>
          <t>2026-09-27</t>
        </is>
      </c>
      <c r="K127" s="12" t="inlineStr">
        <is>
          <t>2026-10-22</t>
        </is>
      </c>
      <c r="L127" s="12" t="inlineStr">
        <is>
          <t>50000.0 KWD</t>
        </is>
      </c>
      <c r="M127" s="12" t="inlineStr">
        <is>
          <t>500.0 KWD</t>
        </is>
      </c>
      <c r="N127" s="21" t="inlineStr">
        <is>
          <t>UPDATED</t>
        </is>
      </c>
      <c r="O127" s="12" t="inlineStr">
        <is>
          <t>غير متوافقة</t>
        </is>
      </c>
      <c r="P127" s="23">
        <f>HYPERLINK("https://kuwaitalyawm.media.gov.kw/Online/ViewAdsHTML?id=171724&amp;no=1", "عرض المصدر")</f>
        <v/>
      </c>
    </row>
    <row r="128">
      <c r="A128" s="13" t="inlineStr">
        <is>
          <t>RFQ/1063825</t>
        </is>
      </c>
      <c r="B128" s="13" t="inlineStr">
        <is>
          <t>شركة البترول الوطنية الكويتية</t>
        </is>
      </c>
      <c r="C128" s="13" t="inlineStr">
        <is>
          <t>Abrar Al-Qallaf</t>
        </is>
      </c>
      <c r="D128" s="13" t="inlineStr">
        <is>
          <t>ممارسة رقم RFQ/1063825: توريد قطع غيار أنظمة الاتصالات (Spares for the Telecommunication System - LBP) - شركة البترول الوطنية الكويتية</t>
        </is>
      </c>
      <c r="E128" s="13" t="inlineStr">
        <is>
          <t>توريد قطع غيار ومعدات شبكات الاتصالات وأنظمة التراسل السلكي واللاسلكي لمصفاة ميناء عبد الله (LBP).</t>
        </is>
      </c>
      <c r="F128" s="13" t="inlineStr">
        <is>
          <t>وفقاً لشروط وإجراءات المناقصات والتوريد لدى شركة البترول الوطنية الكويتية (KNPC) عبر منصة K-Tendering.</t>
        </is>
      </c>
      <c r="G128" s="24" t="inlineStr">
        <is>
          <t>قطاع العمليات المدارة والدعم الفني متعدد الموردين</t>
        </is>
      </c>
      <c r="H128" s="14" t="inlineStr">
        <is>
          <t>75.0%</t>
        </is>
      </c>
      <c r="I128" s="14" t="inlineStr">
        <is>
          <t>oil_and_gas</t>
        </is>
      </c>
      <c r="J128" s="14" t="inlineStr">
        <is>
          <t>2026-09-27</t>
        </is>
      </c>
      <c r="K128" s="14" t="inlineStr">
        <is>
          <t>2026-10-22</t>
        </is>
      </c>
      <c r="L128" s="14" t="inlineStr">
        <is>
          <t>1000.0 KWD</t>
        </is>
      </c>
      <c r="M128" s="14" t="inlineStr">
        <is>
          <t>-</t>
        </is>
      </c>
      <c r="N128" s="21" t="inlineStr">
        <is>
          <t>UPDATED</t>
        </is>
      </c>
      <c r="O128" s="14" t="inlineStr">
        <is>
          <t>موصى بالتقديم</t>
        </is>
      </c>
      <c r="P128" s="22">
        <f>HYPERLINK("https://kuwaitalyawm.media.gov.kw/Online/ViewAdsHTML?id=171725&amp;no=1", "عرض المصدر")</f>
        <v/>
      </c>
    </row>
    <row r="129">
      <c r="A129" s="11" t="inlineStr">
        <is>
          <t>RFQ/1064135</t>
        </is>
      </c>
      <c r="B129" s="11" t="inlineStr">
        <is>
          <t>شركة البترول الوطنية الكويتية</t>
        </is>
      </c>
      <c r="C129" s="11" t="inlineStr">
        <is>
          <t>Abrar Al-Qallaf</t>
        </is>
      </c>
      <c r="D129" s="11" t="inlineStr">
        <is>
          <t>ممارسة رقم RFQ/1064135: توريد مواد ومهمات تشغيلية لزوم شركة البترول الوطنية الكويتية - شركة البترول الوطنية الكويتية</t>
        </is>
      </c>
      <c r="E129" s="11" t="inlineStr">
        <is>
          <t>أعمال وتوريدات تخصصية لزوم شركة البترول الوطنية الكويتية حسب وثائق الممارسة رقم RFQ/1064135 عبر منصة K-Tendering.</t>
        </is>
      </c>
      <c r="F129" s="11" t="inlineStr">
        <is>
          <t>وفقاً لشروط وإجراءات المناقصات والتوريد لدى شركة البترول الوطنية الكويتية (KNPC) عبر منصة K-Tendering.</t>
        </is>
      </c>
      <c r="G129" s="12" t="inlineStr">
        <is>
          <t>عام</t>
        </is>
      </c>
      <c r="H129" s="12" t="inlineStr">
        <is>
          <t>15.0%</t>
        </is>
      </c>
      <c r="I129" s="12" t="inlineStr">
        <is>
          <t>oil_and_gas</t>
        </is>
      </c>
      <c r="J129" s="12" t="inlineStr">
        <is>
          <t>2026-09-27</t>
        </is>
      </c>
      <c r="K129" s="12" t="inlineStr">
        <is>
          <t>2026-10-22</t>
        </is>
      </c>
      <c r="L129" s="12" t="inlineStr">
        <is>
          <t>1000.0 KWD</t>
        </is>
      </c>
      <c r="M129" s="12" t="inlineStr">
        <is>
          <t>-</t>
        </is>
      </c>
      <c r="N129" s="21" t="inlineStr">
        <is>
          <t>UPDATED</t>
        </is>
      </c>
      <c r="O129" s="12" t="inlineStr">
        <is>
          <t>غير متوافقة</t>
        </is>
      </c>
      <c r="P129" s="23">
        <f>HYPERLINK("https://kuwaitalyawm.media.gov.kw/Online/ViewAdsHTML?id=171726&amp;no=1", "عرض المصدر")</f>
        <v/>
      </c>
    </row>
    <row r="130">
      <c r="A130" s="13" t="inlineStr">
        <is>
          <t>RFQ/1063478</t>
        </is>
      </c>
      <c r="B130" s="13" t="inlineStr">
        <is>
          <t>شركة البترول الوطنية الكويتية</t>
        </is>
      </c>
      <c r="C130" s="13" t="inlineStr">
        <is>
          <t>Abrar Al-Qallaf</t>
        </is>
      </c>
      <c r="D130" s="13" t="inlineStr">
        <is>
          <t>ممارسة رقم RFQ/1063478: توريد مواد ومهمات تشغيلية لزوم شركة البترول الوطنية الكويتية - شركة البترول الوطنية الكويتية</t>
        </is>
      </c>
      <c r="E130" s="13" t="inlineStr">
        <is>
          <t>أعمال وتوريدات تخصصية لزوم شركة البترول الوطنية الكويتية حسب وثائق الممارسة رقم RFQ/1063478 عبر منصة K-Tendering.</t>
        </is>
      </c>
      <c r="F130" s="13" t="inlineStr">
        <is>
          <t>وفقاً لشروط وإجراءات المناقصات والتوريد لدى شركة البترول الوطنية الكويتية (KNPC) عبر منصة K-Tendering.</t>
        </is>
      </c>
      <c r="G130" s="14" t="inlineStr">
        <is>
          <t>عام</t>
        </is>
      </c>
      <c r="H130" s="14" t="inlineStr">
        <is>
          <t>15.0%</t>
        </is>
      </c>
      <c r="I130" s="14" t="inlineStr">
        <is>
          <t>oil_and_gas</t>
        </is>
      </c>
      <c r="J130" s="14" t="inlineStr">
        <is>
          <t>2026-09-27</t>
        </is>
      </c>
      <c r="K130" s="14" t="inlineStr">
        <is>
          <t>2026-10-22</t>
        </is>
      </c>
      <c r="L130" s="14" t="inlineStr">
        <is>
          <t>1000.0 KWD</t>
        </is>
      </c>
      <c r="M130" s="14" t="inlineStr">
        <is>
          <t>-</t>
        </is>
      </c>
      <c r="N130" s="21" t="inlineStr">
        <is>
          <t>UPDATED</t>
        </is>
      </c>
      <c r="O130" s="14" t="inlineStr">
        <is>
          <t>غير متوافقة</t>
        </is>
      </c>
      <c r="P130" s="22">
        <f>HYPERLINK("https://kuwaitalyawm.media.gov.kw/Online/ViewAdsHTML?id=171727&amp;no=1", "عرض المصدر")</f>
        <v/>
      </c>
    </row>
    <row r="131">
      <c r="A131" s="11" t="inlineStr">
        <is>
          <t>CB/CPC/2564/CNSL</t>
        </is>
      </c>
      <c r="B131" s="11" t="inlineStr">
        <is>
          <t>شركة البترول الوطنية الكويتية</t>
        </is>
      </c>
      <c r="C131" s="11" t="inlineStr">
        <is>
          <t>Abrar Al-Qallaf</t>
        </is>
      </c>
      <c r="D131" s="11" t="inlineStr">
        <is>
          <t>ممارسة رقم CB/CPC/2564/CNSL: توريد مواد ومهمات تشغيلية لزوم شركة البترول الوطنية الكويتية - شركة البترول الوطنية الكويتية</t>
        </is>
      </c>
      <c r="E131" s="11" t="inlineStr">
        <is>
          <t>أعمال وتوريدات تخصصية لزوم شركة البترول الوطنية الكويتية حسب وثائق الممارسة رقم CB/CPC/2564/CNSL عبر منصة K-Tendering.</t>
        </is>
      </c>
      <c r="F131" s="11" t="inlineStr">
        <is>
          <t>وفقاً لشروط وإجراءات المناقصات والتوريد لدى شركة البترول الوطنية الكويتية (KNPC) عبر منصة K-Tendering.</t>
        </is>
      </c>
      <c r="G131" s="12" t="inlineStr">
        <is>
          <t>عام</t>
        </is>
      </c>
      <c r="H131" s="12" t="inlineStr">
        <is>
          <t>15.0%</t>
        </is>
      </c>
      <c r="I131" s="12" t="inlineStr">
        <is>
          <t>oil_and_gas</t>
        </is>
      </c>
      <c r="J131" s="12" t="inlineStr">
        <is>
          <t>2026-09-27</t>
        </is>
      </c>
      <c r="K131" s="12" t="inlineStr">
        <is>
          <t>-</t>
        </is>
      </c>
      <c r="L131" s="12" t="inlineStr">
        <is>
          <t>-</t>
        </is>
      </c>
      <c r="M131" s="12" t="inlineStr">
        <is>
          <t>-</t>
        </is>
      </c>
      <c r="N131" s="21" t="inlineStr">
        <is>
          <t>UPDATED</t>
        </is>
      </c>
      <c r="O131" s="12" t="inlineStr">
        <is>
          <t>غير متوافقة</t>
        </is>
      </c>
      <c r="P131" s="23">
        <f>HYPERLINK("https://kuwaitalyawm.media.gov.kw/Online/ViewAdsHTML?id=171728&amp;no=1", "عرض المصدر")</f>
        <v/>
      </c>
    </row>
    <row r="132">
      <c r="A132" s="13" t="inlineStr">
        <is>
          <t>RFQ/1063250</t>
        </is>
      </c>
      <c r="B132" s="13" t="inlineStr">
        <is>
          <t>شركة البترول الوطنية الكويتية</t>
        </is>
      </c>
      <c r="C132" s="13" t="inlineStr">
        <is>
          <t>Abrar Al-Qallaf</t>
        </is>
      </c>
      <c r="D132" s="13" t="inlineStr">
        <is>
          <t>ممارسة رقم RFQ/1063250: توريد مواد ومهمات تشغيلية لزوم شركة البترول الوطنية الكويتية - شركة البترول الوطنية الكويتية</t>
        </is>
      </c>
      <c r="E132" s="13" t="inlineStr">
        <is>
          <t>أعمال وتوريدات تخصصية لزوم شركة البترول الوطنية الكويتية حسب وثائق الممارسة رقم RFQ/1063250 عبر منصة K-Tendering.</t>
        </is>
      </c>
      <c r="F132" s="13" t="inlineStr">
        <is>
          <t>وفقاً لشروط وإجراءات المناقصات والتوريد لدى شركة البترول الوطنية الكويتية (KNPC) عبر منصة K-Tendering.</t>
        </is>
      </c>
      <c r="G132" s="14" t="inlineStr">
        <is>
          <t>عام</t>
        </is>
      </c>
      <c r="H132" s="14" t="inlineStr">
        <is>
          <t>15.0%</t>
        </is>
      </c>
      <c r="I132" s="14" t="inlineStr">
        <is>
          <t>oil_and_gas</t>
        </is>
      </c>
      <c r="J132" s="14" t="inlineStr">
        <is>
          <t>2026-09-27</t>
        </is>
      </c>
      <c r="K132" s="18" t="inlineStr">
        <is>
          <t>2026-10-15</t>
        </is>
      </c>
      <c r="L132" s="14" t="inlineStr">
        <is>
          <t>1000.0 KWD</t>
        </is>
      </c>
      <c r="M132" s="14" t="inlineStr">
        <is>
          <t>-</t>
        </is>
      </c>
      <c r="N132" s="21" t="inlineStr">
        <is>
          <t>UPDATED</t>
        </is>
      </c>
      <c r="O132" s="14" t="inlineStr">
        <is>
          <t>غير متوافقة</t>
        </is>
      </c>
      <c r="P132" s="22">
        <f>HYPERLINK("https://kuwaitalyawm.media.gov.kw/Online/ViewAdsHTML?id=171729&amp;no=1", "عرض المصدر")</f>
        <v/>
      </c>
    </row>
    <row r="133">
      <c r="A133" s="11" t="inlineStr">
        <is>
          <t>CA/CPC/0964</t>
        </is>
      </c>
      <c r="B133" s="11" t="inlineStr">
        <is>
          <t>شركة البترول الوطنية الكويتية</t>
        </is>
      </c>
      <c r="C133" s="11" t="inlineStr">
        <is>
          <t>Abrar Al-Qallaf</t>
        </is>
      </c>
      <c r="D133" s="11" t="inlineStr">
        <is>
          <t>ممارسة رقم CA/CPC/0964: توريد مواد ومهمات تشغيلية لزوم شركة البترول الوطنية الكويتية - شركة البترول الوطنية الكويتية</t>
        </is>
      </c>
      <c r="E133" s="11" t="inlineStr">
        <is>
          <t>أعمال وتوريدات تخصصية لزوم شركة البترول الوطنية الكويتية حسب وثائق الممارسة رقم CA/CPC/0964 عبر منصة K-Tendering.</t>
        </is>
      </c>
      <c r="F133" s="11" t="inlineStr">
        <is>
          <t>وفقاً لشروط وإجراءات المناقصات والتوريد لدى شركة البترول الوطنية الكويتية (KNPC) عبر منصة K-Tendering.</t>
        </is>
      </c>
      <c r="G133" s="12" t="inlineStr">
        <is>
          <t>عام</t>
        </is>
      </c>
      <c r="H133" s="12" t="inlineStr">
        <is>
          <t>15.0%</t>
        </is>
      </c>
      <c r="I133" s="12" t="inlineStr">
        <is>
          <t>oil_and_gas</t>
        </is>
      </c>
      <c r="J133" s="12" t="inlineStr">
        <is>
          <t>2026-09-06</t>
        </is>
      </c>
      <c r="K133" s="12" t="inlineStr">
        <is>
          <t>-</t>
        </is>
      </c>
      <c r="L133" s="12" t="inlineStr">
        <is>
          <t>-</t>
        </is>
      </c>
      <c r="M133" s="12" t="inlineStr">
        <is>
          <t>-</t>
        </is>
      </c>
      <c r="N133" s="25" t="inlineStr">
        <is>
          <t>NEW</t>
        </is>
      </c>
      <c r="O133" s="12" t="inlineStr">
        <is>
          <t>غير متوافقة</t>
        </is>
      </c>
      <c r="P133" s="23">
        <f>HYPERLINK("https://kuwaitalyawm.media.gov.kw/Online/ViewAdsHTML?id=171736&amp;no=1", "عرض المصدر")</f>
        <v/>
      </c>
    </row>
    <row r="134">
      <c r="A134" s="13" t="inlineStr">
        <is>
          <t>RFQ/2167273</t>
        </is>
      </c>
      <c r="B134" s="13" t="inlineStr">
        <is>
          <t>شركة البترول الوطنية الكويتية</t>
        </is>
      </c>
      <c r="C134" s="13" t="inlineStr">
        <is>
          <t>Abrar Al-Qallaf</t>
        </is>
      </c>
      <c r="D134" s="13" t="inlineStr">
        <is>
          <t>ممارسة رقم RFQ/2167273: توريد مواد ومهمات تشغيلية لزوم شركة البترول الوطنية الكويتية - شركة البترول الوطنية الكويتية</t>
        </is>
      </c>
      <c r="E134" s="13" t="inlineStr">
        <is>
          <t>أعمال وتوريدات تخصصية لزوم شركة البترول الوطنية الكويتية حسب وثائق الممارسة رقم RFQ/2167273 عبر منصة K-Tendering.</t>
        </is>
      </c>
      <c r="F134" s="13" t="inlineStr">
        <is>
          <t>وفقاً لشروط وإجراءات المناقصات والتوريد لدى شركة البترول الوطنية الكويتية (KNPC) عبر منصة K-Tendering.</t>
        </is>
      </c>
      <c r="G134" s="14" t="inlineStr">
        <is>
          <t>عام</t>
        </is>
      </c>
      <c r="H134" s="14" t="inlineStr">
        <is>
          <t>15.0%</t>
        </is>
      </c>
      <c r="I134" s="14" t="inlineStr">
        <is>
          <t>oil_and_gas</t>
        </is>
      </c>
      <c r="J134" s="14" t="inlineStr">
        <is>
          <t>2026-09-27</t>
        </is>
      </c>
      <c r="K134" s="14" t="inlineStr">
        <is>
          <t>2026-09-27</t>
        </is>
      </c>
      <c r="L134" s="14" t="inlineStr">
        <is>
          <t>5000.0</t>
        </is>
      </c>
      <c r="M134" s="14" t="inlineStr">
        <is>
          <t>-</t>
        </is>
      </c>
      <c r="N134" s="25" t="inlineStr">
        <is>
          <t>NEW</t>
        </is>
      </c>
      <c r="O134" s="14" t="inlineStr">
        <is>
          <t>غير متوافقة</t>
        </is>
      </c>
      <c r="P134" s="22">
        <f>HYPERLINK("https://kuwaitalyawm.media.gov.kw/Online/ViewAdsHTML?id=171743&amp;no=1", "عرض المصدر")</f>
        <v/>
      </c>
    </row>
    <row r="135">
      <c r="A135" s="11" t="inlineStr">
        <is>
          <t>RFQ/2167277</t>
        </is>
      </c>
      <c r="B135" s="11" t="inlineStr">
        <is>
          <t>شركة البترول الوطنية الكويتية</t>
        </is>
      </c>
      <c r="C135" s="11" t="inlineStr">
        <is>
          <t>Abrar Al-Qallaf</t>
        </is>
      </c>
      <c r="D135" s="11" t="inlineStr">
        <is>
          <t>ممارسة رقم RFQ/2167277: توريد مواد ومهمات تشغيلية لزوم شركة البترول الوطنية الكويتية - شركة البترول الوطنية الكويتية</t>
        </is>
      </c>
      <c r="E135" s="11" t="inlineStr">
        <is>
          <t>أعمال وتوريدات تخصصية لزوم شركة البترول الوطنية الكويتية حسب وثائق الممارسة رقم RFQ/2167277 عبر منصة K-Tendering.</t>
        </is>
      </c>
      <c r="F135" s="11" t="inlineStr">
        <is>
          <t>وفقاً لشروط وإجراءات المناقصات والتوريد لدى شركة البترول الوطنية الكويتية (KNPC) عبر منصة K-Tendering.</t>
        </is>
      </c>
      <c r="G135" s="12" t="inlineStr">
        <is>
          <t>عام</t>
        </is>
      </c>
      <c r="H135" s="12" t="inlineStr">
        <is>
          <t>15.0%</t>
        </is>
      </c>
      <c r="I135" s="12" t="inlineStr">
        <is>
          <t>oil_and_gas</t>
        </is>
      </c>
      <c r="J135" s="12" t="inlineStr">
        <is>
          <t>2026-09-27</t>
        </is>
      </c>
      <c r="K135" s="12" t="inlineStr">
        <is>
          <t>2026-12-28</t>
        </is>
      </c>
      <c r="L135" s="12" t="inlineStr">
        <is>
          <t>1000.0</t>
        </is>
      </c>
      <c r="M135" s="12" t="inlineStr">
        <is>
          <t>100.0</t>
        </is>
      </c>
      <c r="N135" s="25" t="inlineStr">
        <is>
          <t>NEW</t>
        </is>
      </c>
      <c r="O135" s="12" t="inlineStr">
        <is>
          <t>غير متوافقة</t>
        </is>
      </c>
      <c r="P135" s="23">
        <f>HYPERLINK("https://kuwaitalyawm.media.gov.kw/Online/ViewAdsHTML?id=171744&amp;no=1", "عرض المصدر")</f>
        <v/>
      </c>
    </row>
    <row r="136">
      <c r="A136" s="13" t="inlineStr">
        <is>
          <t>RFQ/2163705</t>
        </is>
      </c>
      <c r="B136" s="13" t="inlineStr">
        <is>
          <t>شركة البترول الوطنية الكويتية</t>
        </is>
      </c>
      <c r="C136" s="13" t="inlineStr">
        <is>
          <t>Abrar Al-Qallaf</t>
        </is>
      </c>
      <c r="D136" s="13" t="inlineStr">
        <is>
          <t>ممارسة رقم RFQ/2163705: توريد مواد ومهمات تشغيلية لزوم شركة البترول الوطنية الكويتية - شركة البترول الوطنية الكويتية</t>
        </is>
      </c>
      <c r="E136" s="13" t="inlineStr">
        <is>
          <t>أعمال وتوريدات تخصصية لزوم شركة البترول الوطنية الكويتية حسب وثائق الممارسة رقم RFQ/2163705 عبر منصة K-Tendering.</t>
        </is>
      </c>
      <c r="F136" s="13" t="inlineStr">
        <is>
          <t>وفقاً لشروط وإجراءات المناقصات والتوريد لدى شركة البترول الوطنية الكويتية (KNPC) عبر منصة K-Tendering.</t>
        </is>
      </c>
      <c r="G136" s="14" t="inlineStr">
        <is>
          <t>عام</t>
        </is>
      </c>
      <c r="H136" s="14" t="inlineStr">
        <is>
          <t>15.0%</t>
        </is>
      </c>
      <c r="I136" s="14" t="inlineStr">
        <is>
          <t>oil_and_gas</t>
        </is>
      </c>
      <c r="J136" s="14" t="inlineStr">
        <is>
          <t>2026-08-30</t>
        </is>
      </c>
      <c r="K136" s="14" t="inlineStr">
        <is>
          <t>2026-10-05</t>
        </is>
      </c>
      <c r="L136" s="14" t="inlineStr">
        <is>
          <t>-</t>
        </is>
      </c>
      <c r="M136" s="14" t="inlineStr">
        <is>
          <t>-</t>
        </is>
      </c>
      <c r="N136" s="25" t="inlineStr">
        <is>
          <t>NEW</t>
        </is>
      </c>
      <c r="O136" s="14" t="inlineStr">
        <is>
          <t>غير متوافقة</t>
        </is>
      </c>
      <c r="P136" s="22">
        <f>HYPERLINK("https://kuwaitalyawm.media.gov.kw/Online/ViewAdsHTML?id=171745&amp;no=1", "عرض المصدر")</f>
        <v/>
      </c>
    </row>
    <row r="137">
      <c r="A137" s="11" t="inlineStr">
        <is>
          <t>CA CPC 4780</t>
        </is>
      </c>
      <c r="B137" s="11" t="inlineStr">
        <is>
          <t>شركة البترول الوطنية الكويتية</t>
        </is>
      </c>
      <c r="C137" s="11" t="inlineStr">
        <is>
          <t>Abrar Al-Qallaf</t>
        </is>
      </c>
      <c r="D137" s="11" t="inlineStr">
        <is>
          <t>ممارسة رقم CA CPC 4780: توريد مواد ومهمات تشغيلية لزوم شركة البترول الوطنية الكويتية - شركة البترول الوطنية الكويتية</t>
        </is>
      </c>
      <c r="E137" s="11" t="inlineStr">
        <is>
          <t>أعمال وتوريدات تخصصية لزوم شركة البترول الوطنية الكويتية حسب وثائق الممارسة رقم CA CPC 4780 عبر منصة K-Tendering.</t>
        </is>
      </c>
      <c r="F137" s="11" t="inlineStr">
        <is>
          <t>وفقاً لشروط وإجراءات المناقصات والتوريد لدى شركة البترول الوطنية الكويتية (KNPC) عبر منصة K-Tendering.</t>
        </is>
      </c>
      <c r="G137" s="12" t="inlineStr">
        <is>
          <t>عام</t>
        </is>
      </c>
      <c r="H137" s="12" t="inlineStr">
        <is>
          <t>15.0%</t>
        </is>
      </c>
      <c r="I137" s="12" t="inlineStr">
        <is>
          <t>oil_and_gas</t>
        </is>
      </c>
      <c r="J137" s="12" t="inlineStr">
        <is>
          <t>2026-09-13</t>
        </is>
      </c>
      <c r="K137" s="12" t="inlineStr">
        <is>
          <t>2026-12-17</t>
        </is>
      </c>
      <c r="L137" s="12" t="inlineStr">
        <is>
          <t>50000.0</t>
        </is>
      </c>
      <c r="M137" s="12" t="inlineStr">
        <is>
          <t>500.0</t>
        </is>
      </c>
      <c r="N137" s="25" t="inlineStr">
        <is>
          <t>NEW</t>
        </is>
      </c>
      <c r="O137" s="12" t="inlineStr">
        <is>
          <t>غير متوافقة</t>
        </is>
      </c>
      <c r="P137" s="23">
        <f>HYPERLINK("https://kuwaitalyawm.media.gov.kw/Online/ViewAdsHTML?id=170511&amp;no=1", "عرض المصدر")</f>
        <v/>
      </c>
    </row>
    <row r="138">
      <c r="A138" s="13" t="inlineStr">
        <is>
          <t>RFQ 1060201</t>
        </is>
      </c>
      <c r="B138" s="13" t="inlineStr">
        <is>
          <t>شركة البترول الوطنية الكويتية</t>
        </is>
      </c>
      <c r="C138" s="13" t="inlineStr">
        <is>
          <t>Abrar Al-Qallaf</t>
        </is>
      </c>
      <c r="D138" s="13" t="inlineStr">
        <is>
          <t>ممارسة رقم RFQ 1060201: توريد مواد ومهمات تشغيلية لزوم شركة البترول الوطنية الكويتية - شركة البترول الوطنية الكويتية</t>
        </is>
      </c>
      <c r="E138" s="13" t="inlineStr">
        <is>
          <t>أعمال وتوريدات تخصصية لزوم شركة البترول الوطنية الكويتية حسب وثائق الممارسة رقم RFQ 1060201 عبر منصة K-Tendering.</t>
        </is>
      </c>
      <c r="F138" s="13" t="inlineStr">
        <is>
          <t>وفقاً لشروط وإجراءات المناقصات والتوريد لدى شركة البترول الوطنية الكويتية (KNPC) عبر منصة K-Tendering.</t>
        </is>
      </c>
      <c r="G138" s="14" t="inlineStr">
        <is>
          <t>عام</t>
        </is>
      </c>
      <c r="H138" s="14" t="inlineStr">
        <is>
          <t>15.0%</t>
        </is>
      </c>
      <c r="I138" s="14" t="inlineStr">
        <is>
          <t>oil_and_gas</t>
        </is>
      </c>
      <c r="J138" s="14" t="inlineStr">
        <is>
          <t>2026-09-13</t>
        </is>
      </c>
      <c r="K138" s="14" t="inlineStr">
        <is>
          <t>2026-12-17</t>
        </is>
      </c>
      <c r="L138" s="14" t="inlineStr">
        <is>
          <t>1000.0</t>
        </is>
      </c>
      <c r="M138" s="14" t="inlineStr">
        <is>
          <t>100.0</t>
        </is>
      </c>
      <c r="N138" s="25" t="inlineStr">
        <is>
          <t>NEW</t>
        </is>
      </c>
      <c r="O138" s="14" t="inlineStr">
        <is>
          <t>غير متوافقة</t>
        </is>
      </c>
      <c r="P138" s="22">
        <f>HYPERLINK("https://kuwaitalyawm.media.gov.kw/Online/ViewAdsHTML?id=170512&amp;no=1", "عرض المصدر")</f>
        <v/>
      </c>
    </row>
    <row r="139">
      <c r="A139" s="11" t="inlineStr">
        <is>
          <t>RFQ 1063791</t>
        </is>
      </c>
      <c r="B139" s="11" t="inlineStr">
        <is>
          <t>شركة البترول الوطنية الكويتية</t>
        </is>
      </c>
      <c r="C139" s="11" t="inlineStr">
        <is>
          <t>Abrar Al-Qallaf</t>
        </is>
      </c>
      <c r="D139" s="11" t="inlineStr">
        <is>
          <t>ممارسة رقم RFQ 1063791: توريد مواد ومهمات تشغيلية لزوم شركة البترول الوطنية الكويتية - شركة البترول الوطنية الكويتية</t>
        </is>
      </c>
      <c r="E139" s="11" t="inlineStr">
        <is>
          <t>أعمال وتوريدات تخصصية لزوم شركة البترول الوطنية الكويتية حسب وثائق الممارسة رقم RFQ 1063791 عبر منصة K-Tendering.</t>
        </is>
      </c>
      <c r="F139" s="11" t="inlineStr">
        <is>
          <t>وفقاً لشروط وإجراءات المناقصات والتوريد لدى شركة البترول الوطنية الكويتية (KNPC) عبر منصة K-Tendering.</t>
        </is>
      </c>
      <c r="G139" s="12" t="inlineStr">
        <is>
          <t>عام</t>
        </is>
      </c>
      <c r="H139" s="12" t="inlineStr">
        <is>
          <t>15.0%</t>
        </is>
      </c>
      <c r="I139" s="12" t="inlineStr">
        <is>
          <t>oil_and_gas</t>
        </is>
      </c>
      <c r="J139" s="12" t="inlineStr">
        <is>
          <t>2026-09-13</t>
        </is>
      </c>
      <c r="K139" s="12" t="inlineStr">
        <is>
          <t>2026-12-17</t>
        </is>
      </c>
      <c r="L139" s="12" t="inlineStr">
        <is>
          <t>1000.0</t>
        </is>
      </c>
      <c r="M139" s="12" t="inlineStr">
        <is>
          <t>100.0</t>
        </is>
      </c>
      <c r="N139" s="25" t="inlineStr">
        <is>
          <t>NEW</t>
        </is>
      </c>
      <c r="O139" s="12" t="inlineStr">
        <is>
          <t>غير متوافقة</t>
        </is>
      </c>
      <c r="P139" s="23">
        <f>HYPERLINK("https://kuwaitalyawm.media.gov.kw/Online/ViewAdsHTML?id=170513&amp;no=1", "عرض المصدر")</f>
        <v/>
      </c>
    </row>
    <row r="140">
      <c r="A140" s="13" t="inlineStr">
        <is>
          <t>RFQ/2163185</t>
        </is>
      </c>
      <c r="B140" s="13" t="inlineStr">
        <is>
          <t>شركة البترول الوطنية الكويتية</t>
        </is>
      </c>
      <c r="C140" s="13" t="inlineStr">
        <is>
          <t>Abrar Al-Qallaf</t>
        </is>
      </c>
      <c r="D140" s="13" t="inlineStr">
        <is>
          <t>ممارسة رقم RFQ/2163185: توريد مواد ومهمات تشغيلية لزوم شركة البترول الوطنية الكويتية - شركة البترول الوطنية الكويتية</t>
        </is>
      </c>
      <c r="E140" s="13" t="inlineStr">
        <is>
          <t>أعمال وتوريدات تخصصية لزوم شركة البترول الوطنية الكويتية حسب وثائق الممارسة رقم RFQ/2163185 عبر منصة K-Tendering.</t>
        </is>
      </c>
      <c r="F140" s="13" t="inlineStr">
        <is>
          <t>وفقاً لشروط وإجراءات المناقصات والتوريد لدى شركة البترول الوطنية الكويتية (KNPC) عبر منصة K-Tendering.</t>
        </is>
      </c>
      <c r="G140" s="14" t="inlineStr">
        <is>
          <t>عام</t>
        </is>
      </c>
      <c r="H140" s="14" t="inlineStr">
        <is>
          <t>15.0%</t>
        </is>
      </c>
      <c r="I140" s="14" t="inlineStr">
        <is>
          <t>oil_and_gas</t>
        </is>
      </c>
      <c r="J140" s="14" t="inlineStr">
        <is>
          <t>2026-09-13</t>
        </is>
      </c>
      <c r="K140" s="14" t="inlineStr">
        <is>
          <t>-</t>
        </is>
      </c>
      <c r="L140" s="14" t="inlineStr">
        <is>
          <t>-</t>
        </is>
      </c>
      <c r="M140" s="14" t="inlineStr">
        <is>
          <t>-</t>
        </is>
      </c>
      <c r="N140" s="25" t="inlineStr">
        <is>
          <t>NEW</t>
        </is>
      </c>
      <c r="O140" s="14" t="inlineStr">
        <is>
          <t>غير متوافقة</t>
        </is>
      </c>
      <c r="P140" s="22">
        <f>HYPERLINK("https://kuwaitalyawm.media.gov.kw/Online/ViewAdsHTML?id=170525&amp;no=1", "عرض المصدر")</f>
        <v/>
      </c>
    </row>
    <row r="141">
      <c r="A141" s="11" t="inlineStr">
        <is>
          <t>RFQ/2163729</t>
        </is>
      </c>
      <c r="B141" s="11" t="inlineStr">
        <is>
          <t>شركة البترول الوطنية الكويتية</t>
        </is>
      </c>
      <c r="C141" s="11" t="inlineStr">
        <is>
          <t>Abrar Al-Qallaf</t>
        </is>
      </c>
      <c r="D141" s="11" t="inlineStr">
        <is>
          <t>ممارسة رقم RFQ/2163729: توريد مواد ومهمات تشغيلية لزوم شركة البترول الوطنية الكويتية - شركة البترول الوطنية الكويتية</t>
        </is>
      </c>
      <c r="E141" s="11" t="inlineStr">
        <is>
          <t>أعمال وتوريدات تخصصية لزوم شركة البترول الوطنية الكويتية حسب وثائق الممارسة رقم RFQ/2163729 عبر منصة K-Tendering.</t>
        </is>
      </c>
      <c r="F141" s="11" t="inlineStr">
        <is>
          <t>وفقاً لشروط وإجراءات المناقصات والتوريد لدى شركة البترول الوطنية الكويتية (KNPC) عبر منصة K-Tendering.</t>
        </is>
      </c>
      <c r="G141" s="12" t="inlineStr">
        <is>
          <t>عام</t>
        </is>
      </c>
      <c r="H141" s="12" t="inlineStr">
        <is>
          <t>15.0%</t>
        </is>
      </c>
      <c r="I141" s="12" t="inlineStr">
        <is>
          <t>oil_and_gas</t>
        </is>
      </c>
      <c r="J141" s="12" t="inlineStr">
        <is>
          <t>2026-09-13</t>
        </is>
      </c>
      <c r="K141" s="12" t="inlineStr">
        <is>
          <t>-</t>
        </is>
      </c>
      <c r="L141" s="12" t="inlineStr">
        <is>
          <t>-</t>
        </is>
      </c>
      <c r="M141" s="12" t="inlineStr">
        <is>
          <t>-</t>
        </is>
      </c>
      <c r="N141" s="25" t="inlineStr">
        <is>
          <t>NEW</t>
        </is>
      </c>
      <c r="O141" s="12" t="inlineStr">
        <is>
          <t>غير متوافقة</t>
        </is>
      </c>
      <c r="P141" s="23">
        <f>HYPERLINK("https://kuwaitalyawm.media.gov.kw/Online/ViewAdsHTML?id=170526&amp;no=1", "عرض المصدر")</f>
        <v/>
      </c>
    </row>
    <row r="142">
      <c r="A142" s="13" t="inlineStr">
        <is>
          <t>RFQ/2160171</t>
        </is>
      </c>
      <c r="B142" s="13" t="inlineStr">
        <is>
          <t>شركة البترول الوطنية الكويتية</t>
        </is>
      </c>
      <c r="C142" s="13" t="inlineStr">
        <is>
          <t>Abrar Al-Qallaf</t>
        </is>
      </c>
      <c r="D142" s="13" t="inlineStr">
        <is>
          <t>ممارسة رقم RFQ/2160171: توريد مواد ومهمات تشغيلية لزوم شركة البترول الوطنية الكويتية - شركة البترول الوطنية الكويتية</t>
        </is>
      </c>
      <c r="E142" s="13" t="inlineStr">
        <is>
          <t>أعمال وتوريدات تخصصية لزوم شركة البترول الوطنية الكويتية حسب وثائق الممارسة رقم RFQ/2160171 عبر منصة K-Tendering.</t>
        </is>
      </c>
      <c r="F142" s="13" t="inlineStr">
        <is>
          <t>وفقاً لشروط وإجراءات المناقصات والتوريد لدى شركة البترول الوطنية الكويتية (KNPC) عبر منصة K-Tendering.</t>
        </is>
      </c>
      <c r="G142" s="14" t="inlineStr">
        <is>
          <t>عام</t>
        </is>
      </c>
      <c r="H142" s="14" t="inlineStr">
        <is>
          <t>15.0%</t>
        </is>
      </c>
      <c r="I142" s="14" t="inlineStr">
        <is>
          <t>oil_and_gas</t>
        </is>
      </c>
      <c r="J142" s="14" t="inlineStr">
        <is>
          <t>2026-08-30</t>
        </is>
      </c>
      <c r="K142" s="14" t="inlineStr">
        <is>
          <t>2026-10-05</t>
        </is>
      </c>
      <c r="L142" s="14" t="inlineStr">
        <is>
          <t>-</t>
        </is>
      </c>
      <c r="M142" s="14" t="inlineStr">
        <is>
          <t>-</t>
        </is>
      </c>
      <c r="N142" s="25" t="inlineStr">
        <is>
          <t>NEW</t>
        </is>
      </c>
      <c r="O142" s="14" t="inlineStr">
        <is>
          <t>غير متوافقة</t>
        </is>
      </c>
      <c r="P142" s="22">
        <f>HYPERLINK("https://kuwaitalyawm.media.gov.kw/Online/ViewAdsHTML?id=170527&amp;no=1", "عرض المصدر")</f>
        <v/>
      </c>
    </row>
    <row r="143">
      <c r="A143" s="11" t="inlineStr">
        <is>
          <t>RFQ/2162788</t>
        </is>
      </c>
      <c r="B143" s="11" t="inlineStr">
        <is>
          <t>شركة البترول الوطنية الكويتية</t>
        </is>
      </c>
      <c r="C143" s="11" t="inlineStr">
        <is>
          <t>Abrar Al-Qallaf</t>
        </is>
      </c>
      <c r="D143" s="11" t="inlineStr">
        <is>
          <t>ممارسة رقم RFQ/2162788: توريد مواد ومهمات تشغيلية لزوم شركة البترول الوطنية الكويتية - شركة البترول الوطنية الكويتية</t>
        </is>
      </c>
      <c r="E143" s="11" t="inlineStr">
        <is>
          <t>أعمال وتوريدات تخصصية لزوم شركة البترول الوطنية الكويتية حسب وثائق الممارسة رقم RFQ/2162788 عبر منصة K-Tendering.</t>
        </is>
      </c>
      <c r="F143" s="11" t="inlineStr">
        <is>
          <t>وفقاً لشروط وإجراءات المناقصات والتوريد لدى شركة البترول الوطنية الكويتية (KNPC) عبر منصة K-Tendering.</t>
        </is>
      </c>
      <c r="G143" s="12" t="inlineStr">
        <is>
          <t>عام</t>
        </is>
      </c>
      <c r="H143" s="12" t="inlineStr">
        <is>
          <t>15.0%</t>
        </is>
      </c>
      <c r="I143" s="12" t="inlineStr">
        <is>
          <t>oil_and_gas</t>
        </is>
      </c>
      <c r="J143" s="12" t="inlineStr">
        <is>
          <t>2026-08-30</t>
        </is>
      </c>
      <c r="K143" s="12" t="inlineStr">
        <is>
          <t>-</t>
        </is>
      </c>
      <c r="L143" s="12" t="inlineStr">
        <is>
          <t>-</t>
        </is>
      </c>
      <c r="M143" s="12" t="inlineStr">
        <is>
          <t>-</t>
        </is>
      </c>
      <c r="N143" s="25" t="inlineStr">
        <is>
          <t>NEW</t>
        </is>
      </c>
      <c r="O143" s="12" t="inlineStr">
        <is>
          <t>غير متوافقة</t>
        </is>
      </c>
      <c r="P143" s="23">
        <f>HYPERLINK("https://kuwaitalyawm.media.gov.kw/Online/ViewAdsHTML?id=170528&amp;no=1", "عرض المصدر")</f>
        <v/>
      </c>
    </row>
    <row r="144">
      <c r="A144" s="13" t="inlineStr">
        <is>
          <t>RFQ/2161574</t>
        </is>
      </c>
      <c r="B144" s="13" t="inlineStr">
        <is>
          <t>شركة البترول الوطنية الكويتية</t>
        </is>
      </c>
      <c r="C144" s="13" t="inlineStr">
        <is>
          <t>Abrar Al-Qallaf</t>
        </is>
      </c>
      <c r="D144" s="13" t="inlineStr">
        <is>
          <t>ممارسة رقم RFQ/2161574: توريد مواد ومهمات تشغيلية لزوم شركة البترول الوطنية الكويتية - شركة البترول الوطنية الكويتية</t>
        </is>
      </c>
      <c r="E144" s="13" t="inlineStr">
        <is>
          <t>أعمال وتوريدات تخصصية لزوم شركة البترول الوطنية الكويتية حسب وثائق الممارسة رقم RFQ/2161574 عبر منصة K-Tendering.</t>
        </is>
      </c>
      <c r="F144" s="13" t="inlineStr">
        <is>
          <t>وفقاً لشروط وإجراءات المناقصات والتوريد لدى شركة البترول الوطنية الكويتية (KNPC) عبر منصة K-Tendering.</t>
        </is>
      </c>
      <c r="G144" s="14" t="inlineStr">
        <is>
          <t>عام</t>
        </is>
      </c>
      <c r="H144" s="14" t="inlineStr">
        <is>
          <t>15.0%</t>
        </is>
      </c>
      <c r="I144" s="14" t="inlineStr">
        <is>
          <t>oil_and_gas</t>
        </is>
      </c>
      <c r="J144" s="14" t="inlineStr">
        <is>
          <t>2026-09-13</t>
        </is>
      </c>
      <c r="K144" s="14" t="inlineStr">
        <is>
          <t>2026-09-14</t>
        </is>
      </c>
      <c r="L144" s="14" t="inlineStr">
        <is>
          <t>-</t>
        </is>
      </c>
      <c r="M144" s="14" t="inlineStr">
        <is>
          <t>-</t>
        </is>
      </c>
      <c r="N144" s="25" t="inlineStr">
        <is>
          <t>NEW</t>
        </is>
      </c>
      <c r="O144" s="14" t="inlineStr">
        <is>
          <t>غير متوافقة</t>
        </is>
      </c>
      <c r="P144" s="22">
        <f>HYPERLINK("https://kuwaitalyawm.media.gov.kw/Online/ViewAdsHTML?id=170529&amp;no=1", "عرض المصدر")</f>
        <v/>
      </c>
    </row>
    <row r="145">
      <c r="A145" s="11" t="inlineStr">
        <is>
          <t>RFQ/2163773</t>
        </is>
      </c>
      <c r="B145" s="11" t="inlineStr">
        <is>
          <t>شركة البترول الوطنية الكويتية</t>
        </is>
      </c>
      <c r="C145" s="11" t="inlineStr">
        <is>
          <t>Abrar Al-Qallaf</t>
        </is>
      </c>
      <c r="D145" s="11" t="inlineStr">
        <is>
          <t>ممارسة رقم RFQ/2163773: توريد مواد ومهمات تشغيلية لزوم شركة البترول الوطنية الكويتية - شركة البترول الوطنية الكويتية</t>
        </is>
      </c>
      <c r="E145" s="11" t="inlineStr">
        <is>
          <t>أعمال وتوريدات تخصصية لزوم شركة البترول الوطنية الكويتية حسب وثائق الممارسة رقم RFQ/2163773 عبر منصة K-Tendering.</t>
        </is>
      </c>
      <c r="F145" s="11" t="inlineStr">
        <is>
          <t>وفقاً لشروط وإجراءات المناقصات والتوريد لدى شركة البترول الوطنية الكويتية (KNPC) عبر منصة K-Tendering.</t>
        </is>
      </c>
      <c r="G145" s="12" t="inlineStr">
        <is>
          <t>عام</t>
        </is>
      </c>
      <c r="H145" s="12" t="inlineStr">
        <is>
          <t>15.0%</t>
        </is>
      </c>
      <c r="I145" s="12" t="inlineStr">
        <is>
          <t>oil_and_gas</t>
        </is>
      </c>
      <c r="J145" s="12" t="inlineStr">
        <is>
          <t>2026-09-13</t>
        </is>
      </c>
      <c r="K145" s="12" t="inlineStr">
        <is>
          <t>-</t>
        </is>
      </c>
      <c r="L145" s="12" t="inlineStr">
        <is>
          <t>-</t>
        </is>
      </c>
      <c r="M145" s="12" t="inlineStr">
        <is>
          <t>-</t>
        </is>
      </c>
      <c r="N145" s="25" t="inlineStr">
        <is>
          <t>NEW</t>
        </is>
      </c>
      <c r="O145" s="12" t="inlineStr">
        <is>
          <t>غير متوافقة</t>
        </is>
      </c>
      <c r="P145" s="23">
        <f>HYPERLINK("https://kuwaitalyawm.media.gov.kw/Online/ViewAdsHTML?id=170530&amp;no=1", "عرض المصدر")</f>
        <v/>
      </c>
    </row>
    <row r="146">
      <c r="A146" s="13" t="inlineStr">
        <is>
          <t>RFQ/2166412</t>
        </is>
      </c>
      <c r="B146" s="13" t="inlineStr">
        <is>
          <t>شركة البترول الوطنية الكويتية</t>
        </is>
      </c>
      <c r="C146" s="13" t="inlineStr">
        <is>
          <t>Abrar Al-Qallaf</t>
        </is>
      </c>
      <c r="D146" s="13" t="inlineStr">
        <is>
          <t>ممارسة رقم RFQ/2166412: توريد مواد ومهمات تشغيلية لزوم شركة البترول الوطنية الكويتية - شركة البترول الوطنية الكويتية</t>
        </is>
      </c>
      <c r="E146" s="13" t="inlineStr">
        <is>
          <t>أعمال وتوريدات تخصصية لزوم شركة البترول الوطنية الكويتية حسب وثائق الممارسة رقم RFQ/2166412 عبر منصة K-Tendering.</t>
        </is>
      </c>
      <c r="F146" s="13" t="inlineStr">
        <is>
          <t>وفقاً لشروط وإجراءات المناقصات والتوريد لدى شركة البترول الوطنية الكويتية (KNPC) عبر منصة K-Tendering.</t>
        </is>
      </c>
      <c r="G146" s="14" t="inlineStr">
        <is>
          <t>عام</t>
        </is>
      </c>
      <c r="H146" s="14" t="inlineStr">
        <is>
          <t>15.0%</t>
        </is>
      </c>
      <c r="I146" s="14" t="inlineStr">
        <is>
          <t>oil_and_gas</t>
        </is>
      </c>
      <c r="J146" s="14" t="inlineStr">
        <is>
          <t>2026-09-13</t>
        </is>
      </c>
      <c r="K146" s="14" t="inlineStr">
        <is>
          <t>2026-12-14</t>
        </is>
      </c>
      <c r="L146" s="14" t="inlineStr">
        <is>
          <t>15000.0</t>
        </is>
      </c>
      <c r="M146" s="14" t="inlineStr">
        <is>
          <t>-</t>
        </is>
      </c>
      <c r="N146" s="25" t="inlineStr">
        <is>
          <t>NEW</t>
        </is>
      </c>
      <c r="O146" s="14" t="inlineStr">
        <is>
          <t>غير متوافقة</t>
        </is>
      </c>
      <c r="P146" s="22">
        <f>HYPERLINK("https://kuwaitalyawm.media.gov.kw/Online/ViewAdsHTML?id=170531&amp;no=1", "عرض المصدر")</f>
        <v/>
      </c>
    </row>
    <row r="147">
      <c r="A147" s="11" t="inlineStr">
        <is>
          <t>RFQ/2167182</t>
        </is>
      </c>
      <c r="B147" s="11" t="inlineStr">
        <is>
          <t>شركة البترول الوطنية الكويتية</t>
        </is>
      </c>
      <c r="C147" s="11" t="inlineStr">
        <is>
          <t>Abrar Al-Qallaf</t>
        </is>
      </c>
      <c r="D147" s="11" t="inlineStr">
        <is>
          <t>ممارسة رقم RFQ/2167182: توريد مواد ومهمات تشغيلية لزوم شركة البترول الوطنية الكويتية - شركة البترول الوطنية الكويتية</t>
        </is>
      </c>
      <c r="E147" s="11" t="inlineStr">
        <is>
          <t>أعمال وتوريدات تخصصية لزوم شركة البترول الوطنية الكويتية حسب وثائق الممارسة رقم RFQ/2167182 عبر منصة K-Tendering.</t>
        </is>
      </c>
      <c r="F147" s="11" t="inlineStr">
        <is>
          <t>وفقاً لشروط وإجراءات المناقصات والتوريد لدى شركة البترول الوطنية الكويتية (KNPC) عبر منصة K-Tendering.</t>
        </is>
      </c>
      <c r="G147" s="12" t="inlineStr">
        <is>
          <t>عام</t>
        </is>
      </c>
      <c r="H147" s="12" t="inlineStr">
        <is>
          <t>15.0%</t>
        </is>
      </c>
      <c r="I147" s="12" t="inlineStr">
        <is>
          <t>oil_and_gas</t>
        </is>
      </c>
      <c r="J147" s="12" t="inlineStr">
        <is>
          <t>2026-09-13</t>
        </is>
      </c>
      <c r="K147" s="12" t="inlineStr">
        <is>
          <t>2026-12-21</t>
        </is>
      </c>
      <c r="L147" s="12" t="inlineStr">
        <is>
          <t>2500.0</t>
        </is>
      </c>
      <c r="M147" s="12" t="inlineStr">
        <is>
          <t>-</t>
        </is>
      </c>
      <c r="N147" s="25" t="inlineStr">
        <is>
          <t>NEW</t>
        </is>
      </c>
      <c r="O147" s="12" t="inlineStr">
        <is>
          <t>غير متوافقة</t>
        </is>
      </c>
      <c r="P147" s="23">
        <f>HYPERLINK("https://kuwaitalyawm.media.gov.kw/Online/ViewAdsHTML?id=170532&amp;no=1", "عرض المصدر")</f>
        <v/>
      </c>
    </row>
    <row r="148">
      <c r="A148" s="13" t="inlineStr">
        <is>
          <t>RFQ/2167044</t>
        </is>
      </c>
      <c r="B148" s="13" t="inlineStr">
        <is>
          <t>شركة البترول الوطنية الكويتية</t>
        </is>
      </c>
      <c r="C148" s="13" t="inlineStr">
        <is>
          <t>Abrar Al-Qallaf</t>
        </is>
      </c>
      <c r="D148" s="13" t="inlineStr">
        <is>
          <t>ممارسة رقم RFQ/2167044: توريد مواد ومهمات تشغيلية لزوم شركة البترول الوطنية الكويتية - شركة البترول الوطنية الكويتية</t>
        </is>
      </c>
      <c r="E148" s="13" t="inlineStr">
        <is>
          <t>أعمال وتوريدات تخصصية لزوم شركة البترول الوطنية الكويتية حسب وثائق الممارسة رقم RFQ/2167044 عبر منصة K-Tendering.</t>
        </is>
      </c>
      <c r="F148" s="13" t="inlineStr">
        <is>
          <t>وفقاً لشروط وإجراءات المناقصات والتوريد لدى شركة البترول الوطنية الكويتية (KNPC) عبر منصة K-Tendering.</t>
        </is>
      </c>
      <c r="G148" s="14" t="inlineStr">
        <is>
          <t>عام</t>
        </is>
      </c>
      <c r="H148" s="14" t="inlineStr">
        <is>
          <t>15.0%</t>
        </is>
      </c>
      <c r="I148" s="14" t="inlineStr">
        <is>
          <t>oil_and_gas</t>
        </is>
      </c>
      <c r="J148" s="14" t="inlineStr">
        <is>
          <t>2026-09-13</t>
        </is>
      </c>
      <c r="K148" s="14" t="inlineStr">
        <is>
          <t>2026-12-21</t>
        </is>
      </c>
      <c r="L148" s="14" t="inlineStr">
        <is>
          <t>1000.0</t>
        </is>
      </c>
      <c r="M148" s="14" t="inlineStr">
        <is>
          <t>100.0</t>
        </is>
      </c>
      <c r="N148" s="25" t="inlineStr">
        <is>
          <t>NEW</t>
        </is>
      </c>
      <c r="O148" s="14" t="inlineStr">
        <is>
          <t>غير متوافقة</t>
        </is>
      </c>
      <c r="P148" s="22">
        <f>HYPERLINK("https://kuwaitalyawm.media.gov.kw/Online/ViewAdsHTML?id=170533&amp;no=1", "عرض المصدر")</f>
        <v/>
      </c>
    </row>
    <row r="149">
      <c r="A149" s="11" t="inlineStr">
        <is>
          <t>RFQ/2163441</t>
        </is>
      </c>
      <c r="B149" s="11" t="inlineStr">
        <is>
          <t>شركة البترول الوطنية الكويتية</t>
        </is>
      </c>
      <c r="C149" s="11" t="inlineStr">
        <is>
          <t>Abrar Al-Qallaf</t>
        </is>
      </c>
      <c r="D149" s="11" t="inlineStr">
        <is>
          <t>ممارسة رقم RFQ/2163441: توريد مواد ومهمات تشغيلية لزوم شركة البترول الوطنية الكويتية - شركة البترول الوطنية الكويتية</t>
        </is>
      </c>
      <c r="E149" s="11" t="inlineStr">
        <is>
          <t>أعمال وتوريدات تخصصية لزوم شركة البترول الوطنية الكويتية حسب وثائق الممارسة رقم RFQ/2163441 عبر منصة K-Tendering.</t>
        </is>
      </c>
      <c r="F149" s="11" t="inlineStr">
        <is>
          <t>وفقاً لشروط وإجراءات المناقصات والتوريد لدى شركة البترول الوطنية الكويتية (KNPC) عبر منصة K-Tendering.</t>
        </is>
      </c>
      <c r="G149" s="12" t="inlineStr">
        <is>
          <t>عام</t>
        </is>
      </c>
      <c r="H149" s="12" t="inlineStr">
        <is>
          <t>15.0%</t>
        </is>
      </c>
      <c r="I149" s="12" t="inlineStr">
        <is>
          <t>oil_and_gas</t>
        </is>
      </c>
      <c r="J149" s="12" t="inlineStr">
        <is>
          <t>2026-09-13</t>
        </is>
      </c>
      <c r="K149" s="12" t="inlineStr">
        <is>
          <t>2026-12-14</t>
        </is>
      </c>
      <c r="L149" s="12" t="inlineStr">
        <is>
          <t>1000.0</t>
        </is>
      </c>
      <c r="M149" s="12" t="inlineStr">
        <is>
          <t>100.0</t>
        </is>
      </c>
      <c r="N149" s="25" t="inlineStr">
        <is>
          <t>NEW</t>
        </is>
      </c>
      <c r="O149" s="12" t="inlineStr">
        <is>
          <t>غير متوافقة</t>
        </is>
      </c>
      <c r="P149" s="23">
        <f>HYPERLINK("https://kuwaitalyawm.media.gov.kw/Online/ViewAdsHTML?id=170534&amp;no=1", "عرض المصدر")</f>
        <v/>
      </c>
    </row>
    <row r="150">
      <c r="A150" s="13" t="inlineStr">
        <is>
          <t>RFP/2161845</t>
        </is>
      </c>
      <c r="B150" s="13" t="inlineStr">
        <is>
          <t>شركة البترول الوطنية الكويتية</t>
        </is>
      </c>
      <c r="C150" s="13" t="inlineStr">
        <is>
          <t>Abrar Al-Qallaf</t>
        </is>
      </c>
      <c r="D150" s="13" t="inlineStr">
        <is>
          <t>ممارسة رقم RFP/2161845: توريد مواد ومهمات تشغيلية لزوم شركة البترول الوطنية الكويتية - شركة البترول الوطنية الكويتية</t>
        </is>
      </c>
      <c r="E150" s="13" t="inlineStr">
        <is>
          <t>أعمال وتوريدات تخصصية لزوم شركة البترول الوطنية الكويتية حسب وثائق الممارسة رقم RFP/2161845 عبر منصة K-Tendering.</t>
        </is>
      </c>
      <c r="F150" s="13" t="inlineStr">
        <is>
          <t>وفقاً لشروط وإجراءات المناقصات والتوريد لدى شركة البترول الوطنية الكويتية (KNPC) عبر منصة K-Tendering.</t>
        </is>
      </c>
      <c r="G150" s="14" t="inlineStr">
        <is>
          <t>عام</t>
        </is>
      </c>
      <c r="H150" s="14" t="inlineStr">
        <is>
          <t>15.0%</t>
        </is>
      </c>
      <c r="I150" s="14" t="inlineStr">
        <is>
          <t>oil_and_gas</t>
        </is>
      </c>
      <c r="J150" s="14" t="inlineStr">
        <is>
          <t>2026-09-13</t>
        </is>
      </c>
      <c r="K150" s="14" t="inlineStr">
        <is>
          <t>2026-10-12</t>
        </is>
      </c>
      <c r="L150" s="14" t="inlineStr">
        <is>
          <t>30000.0</t>
        </is>
      </c>
      <c r="M150" s="14" t="inlineStr">
        <is>
          <t>-</t>
        </is>
      </c>
      <c r="N150" s="25" t="inlineStr">
        <is>
          <t>NEW</t>
        </is>
      </c>
      <c r="O150" s="14" t="inlineStr">
        <is>
          <t>غير متوافقة</t>
        </is>
      </c>
      <c r="P150" s="22">
        <f>HYPERLINK("https://kuwaitalyawm.media.gov.kw/Online/ViewAdsHTML?id=170535&amp;no=1", "عرض المصدر")</f>
        <v/>
      </c>
    </row>
    <row r="151">
      <c r="A151" s="11" t="inlineStr">
        <is>
          <t>RFP/2161888</t>
        </is>
      </c>
      <c r="B151" s="11" t="inlineStr">
        <is>
          <t>شركة البترول الوطنية الكويتية</t>
        </is>
      </c>
      <c r="C151" s="11" t="inlineStr">
        <is>
          <t>Abrar Al-Qallaf</t>
        </is>
      </c>
      <c r="D151" s="11" t="inlineStr">
        <is>
          <t>ممارسة رقم RFP/2161888: توريد مواد ومهمات تشغيلية لزوم شركة البترول الوطنية الكويتية - شركة البترول الوطنية الكويتية</t>
        </is>
      </c>
      <c r="E151" s="11" t="inlineStr">
        <is>
          <t>أعمال وتوريدات تخصصية لزوم شركة البترول الوطنية الكويتية حسب وثائق الممارسة رقم RFP/2161888 عبر منصة K-Tendering.</t>
        </is>
      </c>
      <c r="F151" s="11" t="inlineStr">
        <is>
          <t>وفقاً لشروط وإجراءات المناقصات والتوريد لدى شركة البترول الوطنية الكويتية (KNPC) عبر منصة K-Tendering.</t>
        </is>
      </c>
      <c r="G151" s="12" t="inlineStr">
        <is>
          <t>عام</t>
        </is>
      </c>
      <c r="H151" s="12" t="inlineStr">
        <is>
          <t>15.0%</t>
        </is>
      </c>
      <c r="I151" s="12" t="inlineStr">
        <is>
          <t>oil_and_gas</t>
        </is>
      </c>
      <c r="J151" s="12" t="inlineStr">
        <is>
          <t>2026-09-13</t>
        </is>
      </c>
      <c r="K151" s="12" t="inlineStr">
        <is>
          <t>-</t>
        </is>
      </c>
      <c r="L151" s="12" t="inlineStr">
        <is>
          <t>-</t>
        </is>
      </c>
      <c r="M151" s="12" t="inlineStr">
        <is>
          <t>250.0</t>
        </is>
      </c>
      <c r="N151" s="25" t="inlineStr">
        <is>
          <t>NEW</t>
        </is>
      </c>
      <c r="O151" s="12" t="inlineStr">
        <is>
          <t>غير متوافقة</t>
        </is>
      </c>
      <c r="P151" s="23">
        <f>HYPERLINK("https://kuwaitalyawm.media.gov.kw/Online/ViewAdsHTML?id=170536&amp;no=1", "عرض المصدر")</f>
        <v/>
      </c>
    </row>
    <row r="152">
      <c r="A152" s="13" t="inlineStr">
        <is>
          <t>CB CPC 2551</t>
        </is>
      </c>
      <c r="B152" s="13" t="inlineStr">
        <is>
          <t>شركة البترول الوطنية الكويتية</t>
        </is>
      </c>
      <c r="C152" s="13" t="inlineStr">
        <is>
          <t>Abrar Al-Qallaf</t>
        </is>
      </c>
      <c r="D152" s="13" t="inlineStr">
        <is>
          <t>ممارسة رقم CB CPC 2551: توريد مواد ومهمات تشغيلية لزوم شركة البترول الوطنية الكويتية - شركة البترول الوطنية الكويتية</t>
        </is>
      </c>
      <c r="E152" s="13" t="inlineStr">
        <is>
          <t>أعمال وتوريدات تخصصية لزوم شركة البترول الوطنية الكويتية حسب وثائق الممارسة رقم CB CPC 2551 عبر منصة K-Tendering.</t>
        </is>
      </c>
      <c r="F152" s="13" t="inlineStr">
        <is>
          <t>وفقاً لشروط وإجراءات المناقصات والتوريد لدى شركة البترول الوطنية الكويتية (KNPC) عبر منصة K-Tendering.</t>
        </is>
      </c>
      <c r="G152" s="14" t="inlineStr">
        <is>
          <t>عام</t>
        </is>
      </c>
      <c r="H152" s="14" t="inlineStr">
        <is>
          <t>15.0%</t>
        </is>
      </c>
      <c r="I152" s="14" t="inlineStr">
        <is>
          <t>oil_and_gas</t>
        </is>
      </c>
      <c r="J152" s="14" t="inlineStr">
        <is>
          <t>2026-09-06</t>
        </is>
      </c>
      <c r="K152" s="14" t="inlineStr">
        <is>
          <t>-</t>
        </is>
      </c>
      <c r="L152" s="14" t="inlineStr">
        <is>
          <t>-</t>
        </is>
      </c>
      <c r="M152" s="14" t="inlineStr">
        <is>
          <t>-</t>
        </is>
      </c>
      <c r="N152" s="25" t="inlineStr">
        <is>
          <t>NEW</t>
        </is>
      </c>
      <c r="O152" s="14" t="inlineStr">
        <is>
          <t>غير متوافقة</t>
        </is>
      </c>
      <c r="P152" s="22">
        <f>HYPERLINK("https://kuwaitalyawm.media.gov.kw/Online/ViewAdsHTML?id=169420&amp;no=1", "عرض المصدر")</f>
        <v/>
      </c>
    </row>
    <row r="153">
      <c r="A153" s="11" t="inlineStr">
        <is>
          <t>RFQ 1061885</t>
        </is>
      </c>
      <c r="B153" s="11" t="inlineStr">
        <is>
          <t>شركة البترول الوطنية الكويتية</t>
        </is>
      </c>
      <c r="C153" s="11" t="inlineStr">
        <is>
          <t>Abrar Al-Qallaf</t>
        </is>
      </c>
      <c r="D153" s="11" t="inlineStr">
        <is>
          <t>ممارسة رقم RFQ 1061885: توريد مواد ومهمات تشغيلية لزوم شركة البترول الوطنية الكويتية - شركة البترول الوطنية الكويتية</t>
        </is>
      </c>
      <c r="E153" s="11" t="inlineStr">
        <is>
          <t>أعمال وتوريدات تخصصية لزوم شركة البترول الوطنية الكويتية حسب وثائق الممارسة رقم RFQ 1061885 عبر منصة K-Tendering.</t>
        </is>
      </c>
      <c r="F153" s="11" t="inlineStr">
        <is>
          <t>وفقاً لشروط وإجراءات المناقصات والتوريد لدى شركة البترول الوطنية الكويتية (KNPC) عبر منصة K-Tendering.</t>
        </is>
      </c>
      <c r="G153" s="12" t="inlineStr">
        <is>
          <t>عام</t>
        </is>
      </c>
      <c r="H153" s="12" t="inlineStr">
        <is>
          <t>15.0%</t>
        </is>
      </c>
      <c r="I153" s="12" t="inlineStr">
        <is>
          <t>oil_and_gas</t>
        </is>
      </c>
      <c r="J153" s="12" t="inlineStr">
        <is>
          <t>2026-09-06</t>
        </is>
      </c>
      <c r="K153" s="12" t="inlineStr">
        <is>
          <t>-</t>
        </is>
      </c>
      <c r="L153" s="12" t="inlineStr">
        <is>
          <t>-</t>
        </is>
      </c>
      <c r="M153" s="12" t="inlineStr">
        <is>
          <t>-</t>
        </is>
      </c>
      <c r="N153" s="25" t="inlineStr">
        <is>
          <t>NEW</t>
        </is>
      </c>
      <c r="O153" s="12" t="inlineStr">
        <is>
          <t>غير متوافقة</t>
        </is>
      </c>
      <c r="P153" s="23">
        <f>HYPERLINK("https://kuwaitalyawm.media.gov.kw/Online/ViewAdsHTML?id=169422&amp;no=1", "عرض المصدر")</f>
        <v/>
      </c>
    </row>
    <row r="154">
      <c r="A154" s="13" t="inlineStr">
        <is>
          <t>RFP 2165609</t>
        </is>
      </c>
      <c r="B154" s="13" t="inlineStr">
        <is>
          <t>شركة البترول الوطنية الكويتية</t>
        </is>
      </c>
      <c r="C154" s="13" t="inlineStr">
        <is>
          <t>Abrar Al-Qallaf</t>
        </is>
      </c>
      <c r="D154" s="13" t="inlineStr">
        <is>
          <t>ممارسة رقم RFP 2165609: توريد مواد ومهمات تشغيلية لزوم شركة البترول الوطنية الكويتية - شركة البترول الوطنية الكويتية</t>
        </is>
      </c>
      <c r="E154" s="13" t="inlineStr">
        <is>
          <t>أعمال وتوريدات تخصصية لزوم شركة البترول الوطنية الكويتية حسب وثائق الممارسة رقم RFP 2165609 عبر منصة K-Tendering.</t>
        </is>
      </c>
      <c r="F154" s="13" t="inlineStr">
        <is>
          <t>وفقاً لشروط وإجراءات المناقصات والتوريد لدى شركة البترول الوطنية الكويتية (KNPC) عبر منصة K-Tendering.</t>
        </is>
      </c>
      <c r="G154" s="14" t="inlineStr">
        <is>
          <t>عام</t>
        </is>
      </c>
      <c r="H154" s="14" t="inlineStr">
        <is>
          <t>15.0%</t>
        </is>
      </c>
      <c r="I154" s="14" t="inlineStr">
        <is>
          <t>oil_and_gas</t>
        </is>
      </c>
      <c r="J154" s="14" t="inlineStr">
        <is>
          <t>2026-09-06</t>
        </is>
      </c>
      <c r="K154" s="14" t="inlineStr">
        <is>
          <t>2026-12-07</t>
        </is>
      </c>
      <c r="L154" s="14" t="inlineStr">
        <is>
          <t>2500.0</t>
        </is>
      </c>
      <c r="M154" s="14" t="inlineStr">
        <is>
          <t>-</t>
        </is>
      </c>
      <c r="N154" s="25" t="inlineStr">
        <is>
          <t>NEW</t>
        </is>
      </c>
      <c r="O154" s="14" t="inlineStr">
        <is>
          <t>غير متوافقة</t>
        </is>
      </c>
      <c r="P154" s="22">
        <f>HYPERLINK("https://kuwaitalyawm.media.gov.kw/Online/ViewAdsHTML?id=169428&amp;no=1", "عرض المصدر")</f>
        <v/>
      </c>
    </row>
    <row r="155">
      <c r="A155" s="11" t="inlineStr">
        <is>
          <t>RFP 2156844</t>
        </is>
      </c>
      <c r="B155" s="11" t="inlineStr">
        <is>
          <t>شركة البترول الوطنية الكويتية</t>
        </is>
      </c>
      <c r="C155" s="11" t="inlineStr">
        <is>
          <t>Abrar Al-Qallaf</t>
        </is>
      </c>
      <c r="D155" s="11" t="inlineStr">
        <is>
          <t>ممارسة رقم RFP 2156844: توريد مواد ومهمات تشغيلية لزوم شركة البترول الوطنية الكويتية - شركة البترول الوطنية الكويتية</t>
        </is>
      </c>
      <c r="E155" s="11" t="inlineStr">
        <is>
          <t>أعمال وتوريدات تخصصية لزوم شركة البترول الوطنية الكويتية حسب وثائق الممارسة رقم RFP 2156844 عبر منصة K-Tendering.</t>
        </is>
      </c>
      <c r="F155" s="11" t="inlineStr">
        <is>
          <t>وفقاً لشروط وإجراءات المناقصات والتوريد لدى شركة البترول الوطنية الكويتية (KNPC) عبر منصة K-Tendering.</t>
        </is>
      </c>
      <c r="G155" s="12" t="inlineStr">
        <is>
          <t>عام</t>
        </is>
      </c>
      <c r="H155" s="12" t="inlineStr">
        <is>
          <t>15.0%</t>
        </is>
      </c>
      <c r="I155" s="12" t="inlineStr">
        <is>
          <t>oil_and_gas</t>
        </is>
      </c>
      <c r="J155" s="12" t="inlineStr">
        <is>
          <t>2026-09-06</t>
        </is>
      </c>
      <c r="K155" s="12" t="inlineStr">
        <is>
          <t>2026-10-12</t>
        </is>
      </c>
      <c r="L155" s="12" t="inlineStr">
        <is>
          <t>30000.0</t>
        </is>
      </c>
      <c r="M155" s="12" t="inlineStr">
        <is>
          <t>-</t>
        </is>
      </c>
      <c r="N155" s="25" t="inlineStr">
        <is>
          <t>NEW</t>
        </is>
      </c>
      <c r="O155" s="12" t="inlineStr">
        <is>
          <t>غير متوافقة</t>
        </is>
      </c>
      <c r="P155" s="23">
        <f>HYPERLINK("https://kuwaitalyawm.media.gov.kw/Online/ViewAdsHTML?id=169429&amp;no=1", "عرض المصدر")</f>
        <v/>
      </c>
    </row>
    <row r="156">
      <c r="A156" s="13" t="inlineStr">
        <is>
          <t>CC CMS 6104</t>
        </is>
      </c>
      <c r="B156" s="13" t="inlineStr">
        <is>
          <t>شركة البترول الوطنية الكويتية</t>
        </is>
      </c>
      <c r="C156" s="13" t="inlineStr">
        <is>
          <t>Abrar Al-Qallaf</t>
        </is>
      </c>
      <c r="D156" s="13" t="inlineStr">
        <is>
          <t>ممارسة رقم CC CMS 6104: توريد مواد ومهمات تشغيلية لزوم شركة البترول الوطنية الكويتية - شركة البترول الوطنية الكويتية</t>
        </is>
      </c>
      <c r="E156" s="13" t="inlineStr">
        <is>
          <t>أعمال وتوريدات تخصصية لزوم شركة البترول الوطنية الكويتية حسب وثائق الممارسة رقم CC CMS 6104 عبر منصة K-Tendering.</t>
        </is>
      </c>
      <c r="F156" s="13" t="inlineStr">
        <is>
          <t>وفقاً لشروط وإجراءات المناقصات والتوريد لدى شركة البترول الوطنية الكويتية (KNPC) عبر منصة K-Tendering.</t>
        </is>
      </c>
      <c r="G156" s="14" t="inlineStr">
        <is>
          <t>عام</t>
        </is>
      </c>
      <c r="H156" s="14" t="inlineStr">
        <is>
          <t>15.0%</t>
        </is>
      </c>
      <c r="I156" s="14" t="inlineStr">
        <is>
          <t>oil_and_gas</t>
        </is>
      </c>
      <c r="J156" s="14" t="inlineStr">
        <is>
          <t>2026-08-30</t>
        </is>
      </c>
      <c r="K156" s="14" t="inlineStr">
        <is>
          <t>2026-10-01</t>
        </is>
      </c>
      <c r="L156" s="14" t="inlineStr">
        <is>
          <t>50000.0</t>
        </is>
      </c>
      <c r="M156" s="14" t="inlineStr">
        <is>
          <t>500.0</t>
        </is>
      </c>
      <c r="N156" s="25" t="inlineStr">
        <is>
          <t>NEW</t>
        </is>
      </c>
      <c r="O156" s="14" t="inlineStr">
        <is>
          <t>غير متوافقة</t>
        </is>
      </c>
      <c r="P156" s="22">
        <f>HYPERLINK("https://kuwaitalyawm.media.gov.kw/Online/ViewAdsHTML?id=168768&amp;no=1", "عرض المصدر")</f>
        <v/>
      </c>
    </row>
    <row r="157">
      <c r="A157" s="11" t="inlineStr">
        <is>
          <t>126</t>
        </is>
      </c>
      <c r="B157" s="11" t="inlineStr">
        <is>
          <t>شركة البترول الوطنية الكويتية</t>
        </is>
      </c>
      <c r="C157" s="11" t="inlineStr">
        <is>
          <t>Abrar Al-Qallaf</t>
        </is>
      </c>
      <c r="D157" s="11" t="inlineStr">
        <is>
          <t>ممارسة رقم 126: توريد مواد ومهمات تشغيلية لزوم شركة البترول الوطنية الكويتية - شركة البترول الوطنية الكويتية</t>
        </is>
      </c>
      <c r="E157" s="11" t="inlineStr">
        <is>
          <t>أعمال وتوريدات تخصصية لزوم شركة البترول الوطنية الكويتية حسب وثائق الممارسة رقم 126 عبر منصة K-Tendering.</t>
        </is>
      </c>
      <c r="F157" s="11" t="inlineStr">
        <is>
          <t>وفقاً لشروط وإجراءات المناقصات والتوريد لدى شركة البترول الوطنية الكويتية (KNPC) عبر منصة K-Tendering.</t>
        </is>
      </c>
      <c r="G157" s="12" t="inlineStr">
        <is>
          <t>عام</t>
        </is>
      </c>
      <c r="H157" s="12" t="inlineStr">
        <is>
          <t>15.0%</t>
        </is>
      </c>
      <c r="I157" s="12" t="inlineStr">
        <is>
          <t>oil_and_gas</t>
        </is>
      </c>
      <c r="J157" s="12" t="inlineStr">
        <is>
          <t>2026-08-30</t>
        </is>
      </c>
      <c r="K157" s="12" t="inlineStr">
        <is>
          <t>-</t>
        </is>
      </c>
      <c r="L157" s="12" t="inlineStr">
        <is>
          <t>-</t>
        </is>
      </c>
      <c r="M157" s="12" t="inlineStr">
        <is>
          <t>-</t>
        </is>
      </c>
      <c r="N157" s="25" t="inlineStr">
        <is>
          <t>NEW</t>
        </is>
      </c>
      <c r="O157" s="12" t="inlineStr">
        <is>
          <t>غير متوافقة</t>
        </is>
      </c>
      <c r="P157" s="23">
        <f>HYPERLINK("https://kuwaitalyawm.media.gov.kw/Online/ViewAdsHTML?id=168769&amp;no=1", "عرض المصدر")</f>
        <v/>
      </c>
    </row>
    <row r="158">
      <c r="A158" s="13" t="inlineStr">
        <is>
          <t>RFQ 2163800</t>
        </is>
      </c>
      <c r="B158" s="13" t="inlineStr">
        <is>
          <t>شركة البترول الوطنية الكويتية</t>
        </is>
      </c>
      <c r="C158" s="13" t="inlineStr">
        <is>
          <t>Abrar Al-Qallaf</t>
        </is>
      </c>
      <c r="D158" s="13" t="inlineStr">
        <is>
          <t>ممارسة رقم RFQ 2163800: توريد مواد ومهمات تشغيلية لزوم شركة البترول الوطنية الكويتية - شركة البترول الوطنية الكويتية</t>
        </is>
      </c>
      <c r="E158" s="13" t="inlineStr">
        <is>
          <t>أعمال وتوريدات تخصصية لزوم شركة البترول الوطنية الكويتية حسب وثائق الممارسة رقم RFQ 2163800 عبر منصة K-Tendering.</t>
        </is>
      </c>
      <c r="F158" s="13" t="inlineStr">
        <is>
          <t>وفقاً لشروط وإجراءات المناقصات والتوريد لدى شركة البترول الوطنية الكويتية (KNPC) عبر منصة K-Tendering.</t>
        </is>
      </c>
      <c r="G158" s="14" t="inlineStr">
        <is>
          <t>عام</t>
        </is>
      </c>
      <c r="H158" s="14" t="inlineStr">
        <is>
          <t>15.0%</t>
        </is>
      </c>
      <c r="I158" s="14" t="inlineStr">
        <is>
          <t>oil_and_gas</t>
        </is>
      </c>
      <c r="J158" s="14" t="inlineStr">
        <is>
          <t>2026-08-30</t>
        </is>
      </c>
      <c r="K158" s="14" t="inlineStr">
        <is>
          <t>-</t>
        </is>
      </c>
      <c r="L158" s="14" t="inlineStr">
        <is>
          <t>-</t>
        </is>
      </c>
      <c r="M158" s="14" t="inlineStr">
        <is>
          <t>-</t>
        </is>
      </c>
      <c r="N158" s="25" t="inlineStr">
        <is>
          <t>NEW</t>
        </is>
      </c>
      <c r="O158" s="14" t="inlineStr">
        <is>
          <t>غير متوافقة</t>
        </is>
      </c>
      <c r="P158" s="22">
        <f>HYPERLINK("https://kuwaitalyawm.media.gov.kw/Online/ViewAdsHTML?id=168778&amp;no=1", "عرض المصدر")</f>
        <v/>
      </c>
    </row>
    <row r="159">
      <c r="A159" s="11" t="inlineStr">
        <is>
          <t>RFQ 2161955</t>
        </is>
      </c>
      <c r="B159" s="11" t="inlineStr">
        <is>
          <t>شركة البترول الوطنية الكويتية</t>
        </is>
      </c>
      <c r="C159" s="11" t="inlineStr">
        <is>
          <t>Abrar Al-Qallaf</t>
        </is>
      </c>
      <c r="D159" s="11" t="inlineStr">
        <is>
          <t>ممارسة رقم RFQ 2161955: توريد مواد ومهمات تشغيلية لزوم شركة البترول الوطنية الكويتية - شركة البترول الوطنية الكويتية</t>
        </is>
      </c>
      <c r="E159" s="11" t="inlineStr">
        <is>
          <t>أعمال وتوريدات تخصصية لزوم شركة البترول الوطنية الكويتية حسب وثائق الممارسة رقم RFQ 2161955 عبر منصة K-Tendering.</t>
        </is>
      </c>
      <c r="F159" s="11" t="inlineStr">
        <is>
          <t>وفقاً لشروط وإجراءات المناقصات والتوريد لدى شركة البترول الوطنية الكويتية (KNPC) عبر منصة K-Tendering.</t>
        </is>
      </c>
      <c r="G159" s="12" t="inlineStr">
        <is>
          <t>عام</t>
        </is>
      </c>
      <c r="H159" s="12" t="inlineStr">
        <is>
          <t>15.0%</t>
        </is>
      </c>
      <c r="I159" s="12" t="inlineStr">
        <is>
          <t>oil_and_gas</t>
        </is>
      </c>
      <c r="J159" s="12" t="inlineStr">
        <is>
          <t>2026-08-30</t>
        </is>
      </c>
      <c r="K159" s="12" t="inlineStr">
        <is>
          <t>-</t>
        </is>
      </c>
      <c r="L159" s="12" t="inlineStr">
        <is>
          <t>-</t>
        </is>
      </c>
      <c r="M159" s="12" t="inlineStr">
        <is>
          <t>-</t>
        </is>
      </c>
      <c r="N159" s="25" t="inlineStr">
        <is>
          <t>NEW</t>
        </is>
      </c>
      <c r="O159" s="12" t="inlineStr">
        <is>
          <t>غير متوافقة</t>
        </is>
      </c>
      <c r="P159" s="23">
        <f>HYPERLINK("https://kuwaitalyawm.media.gov.kw/Online/ViewAdsHTML?id=168779&amp;no=1", "عرض المصدر")</f>
        <v/>
      </c>
    </row>
    <row r="160">
      <c r="A160" s="13" t="inlineStr">
        <is>
          <t>RFQ 2151259</t>
        </is>
      </c>
      <c r="B160" s="13" t="inlineStr">
        <is>
          <t>شركة البترول الوطنية الكويتية</t>
        </is>
      </c>
      <c r="C160" s="13" t="inlineStr">
        <is>
          <t>Abrar Al-Qallaf</t>
        </is>
      </c>
      <c r="D160" s="13" t="inlineStr">
        <is>
          <t>ممارسة رقم RFQ 2151259: توريد مواد ومهمات تشغيلية لزوم شركة البترول الوطنية الكويتية - شركة البترول الوطنية الكويتية</t>
        </is>
      </c>
      <c r="E160" s="13" t="inlineStr">
        <is>
          <t>أعمال وتوريدات تخصصية لزوم شركة البترول الوطنية الكويتية حسب وثائق الممارسة رقم RFQ 2151259 عبر منصة K-Tendering.</t>
        </is>
      </c>
      <c r="F160" s="13" t="inlineStr">
        <is>
          <t>وفقاً لشروط وإجراءات المناقصات والتوريد لدى شركة البترول الوطنية الكويتية (KNPC) عبر منصة K-Tendering.</t>
        </is>
      </c>
      <c r="G160" s="14" t="inlineStr">
        <is>
          <t>عام</t>
        </is>
      </c>
      <c r="H160" s="14" t="inlineStr">
        <is>
          <t>15.0%</t>
        </is>
      </c>
      <c r="I160" s="14" t="inlineStr">
        <is>
          <t>oil_and_gas</t>
        </is>
      </c>
      <c r="J160" s="14" t="inlineStr">
        <is>
          <t>2026-08-30</t>
        </is>
      </c>
      <c r="K160" s="14" t="inlineStr">
        <is>
          <t>-</t>
        </is>
      </c>
      <c r="L160" s="14" t="inlineStr">
        <is>
          <t>-</t>
        </is>
      </c>
      <c r="M160" s="14" t="inlineStr">
        <is>
          <t>-</t>
        </is>
      </c>
      <c r="N160" s="25" t="inlineStr">
        <is>
          <t>NEW</t>
        </is>
      </c>
      <c r="O160" s="14" t="inlineStr">
        <is>
          <t>غير متوافقة</t>
        </is>
      </c>
      <c r="P160" s="22">
        <f>HYPERLINK("https://kuwaitalyawm.media.gov.kw/Online/ViewAdsHTML?id=168780&amp;no=1", "عرض المصدر")</f>
        <v/>
      </c>
    </row>
    <row r="161">
      <c r="A161" s="11" t="inlineStr">
        <is>
          <t>RFQ 2160432</t>
        </is>
      </c>
      <c r="B161" s="11" t="inlineStr">
        <is>
          <t>شركة البترول الوطنية الكويتية</t>
        </is>
      </c>
      <c r="C161" s="11" t="inlineStr">
        <is>
          <t>Abrar Al-Qallaf</t>
        </is>
      </c>
      <c r="D161" s="11" t="inlineStr">
        <is>
          <t>ممارسة رقم RFQ 2160432: توريد مواد ومهمات تشغيلية لزوم شركة البترول الوطنية الكويتية - شركة البترول الوطنية الكويتية</t>
        </is>
      </c>
      <c r="E161" s="11" t="inlineStr">
        <is>
          <t>أعمال وتوريدات تخصصية لزوم شركة البترول الوطنية الكويتية حسب وثائق الممارسة رقم RFQ 2160432 عبر منصة K-Tendering.</t>
        </is>
      </c>
      <c r="F161" s="11" t="inlineStr">
        <is>
          <t>وفقاً لشروط وإجراءات المناقصات والتوريد لدى شركة البترول الوطنية الكويتية (KNPC) عبر منصة K-Tendering.</t>
        </is>
      </c>
      <c r="G161" s="12" t="inlineStr">
        <is>
          <t>عام</t>
        </is>
      </c>
      <c r="H161" s="12" t="inlineStr">
        <is>
          <t>15.0%</t>
        </is>
      </c>
      <c r="I161" s="12" t="inlineStr">
        <is>
          <t>oil_and_gas</t>
        </is>
      </c>
      <c r="J161" s="12" t="inlineStr">
        <is>
          <t>2026-08-30</t>
        </is>
      </c>
      <c r="K161" s="12" t="inlineStr">
        <is>
          <t>-</t>
        </is>
      </c>
      <c r="L161" s="12" t="inlineStr">
        <is>
          <t>-</t>
        </is>
      </c>
      <c r="M161" s="12" t="inlineStr">
        <is>
          <t>-</t>
        </is>
      </c>
      <c r="N161" s="25" t="inlineStr">
        <is>
          <t>NEW</t>
        </is>
      </c>
      <c r="O161" s="12" t="inlineStr">
        <is>
          <t>غير متوافقة</t>
        </is>
      </c>
      <c r="P161" s="23">
        <f>HYPERLINK("https://kuwaitalyawm.media.gov.kw/Online/ViewAdsHTML?id=168781&amp;no=1", "عرض المصدر")</f>
        <v/>
      </c>
    </row>
    <row r="162">
      <c r="A162" s="13" t="inlineStr">
        <is>
          <t>RFQ 2164511</t>
        </is>
      </c>
      <c r="B162" s="13" t="inlineStr">
        <is>
          <t>شركة البترول الوطنية الكويتية</t>
        </is>
      </c>
      <c r="C162" s="13" t="inlineStr">
        <is>
          <t>Abrar Al-Qallaf</t>
        </is>
      </c>
      <c r="D162" s="13" t="inlineStr">
        <is>
          <t>ممارسة رقم RFQ 2164511: توريد مواد ومهمات تشغيلية لزوم شركة البترول الوطنية الكويتية - شركة البترول الوطنية الكويتية</t>
        </is>
      </c>
      <c r="E162" s="13" t="inlineStr">
        <is>
          <t>أعمال وتوريدات تخصصية لزوم شركة البترول الوطنية الكويتية حسب وثائق الممارسة رقم RFQ 2164511 عبر منصة K-Tendering.</t>
        </is>
      </c>
      <c r="F162" s="13" t="inlineStr">
        <is>
          <t>وفقاً لشروط وإجراءات المناقصات والتوريد لدى شركة البترول الوطنية الكويتية (KNPC) عبر منصة K-Tendering.</t>
        </is>
      </c>
      <c r="G162" s="14" t="inlineStr">
        <is>
          <t>عام</t>
        </is>
      </c>
      <c r="H162" s="14" t="inlineStr">
        <is>
          <t>15.0%</t>
        </is>
      </c>
      <c r="I162" s="14" t="inlineStr">
        <is>
          <t>oil_and_gas</t>
        </is>
      </c>
      <c r="J162" s="14" t="inlineStr">
        <is>
          <t>2026-08-30</t>
        </is>
      </c>
      <c r="K162" s="14" t="inlineStr">
        <is>
          <t>2026-12-07</t>
        </is>
      </c>
      <c r="L162" s="14" t="inlineStr">
        <is>
          <t>5000.0</t>
        </is>
      </c>
      <c r="M162" s="14" t="inlineStr">
        <is>
          <t>-</t>
        </is>
      </c>
      <c r="N162" s="25" t="inlineStr">
        <is>
          <t>NEW</t>
        </is>
      </c>
      <c r="O162" s="14" t="inlineStr">
        <is>
          <t>غير متوافقة</t>
        </is>
      </c>
      <c r="P162" s="22">
        <f>HYPERLINK("https://kuwaitalyawm.media.gov.kw/Online/ViewAdsHTML?id=168784&amp;no=1", "عرض المصدر")</f>
        <v/>
      </c>
    </row>
    <row r="163">
      <c r="A163" s="11" t="inlineStr">
        <is>
          <t>RFQ 2166316</t>
        </is>
      </c>
      <c r="B163" s="11" t="inlineStr">
        <is>
          <t>شركة البترول الوطنية الكويتية</t>
        </is>
      </c>
      <c r="C163" s="11" t="inlineStr">
        <is>
          <t>Abrar Al-Qallaf</t>
        </is>
      </c>
      <c r="D163" s="11" t="inlineStr">
        <is>
          <t>ممارسة رقم RFQ 2166316: توريد مواد ومهمات تشغيلية لزوم شركة البترول الوطنية الكويتية - شركة البترول الوطنية الكويتية</t>
        </is>
      </c>
      <c r="E163" s="11" t="inlineStr">
        <is>
          <t>أعمال وتوريدات تخصصية لزوم شركة البترول الوطنية الكويتية حسب وثائق الممارسة رقم RFQ 2166316 عبر منصة K-Tendering.</t>
        </is>
      </c>
      <c r="F163" s="11" t="inlineStr">
        <is>
          <t>وفقاً لشروط وإجراءات المناقصات والتوريد لدى شركة البترول الوطنية الكويتية (KNPC) عبر منصة K-Tendering.</t>
        </is>
      </c>
      <c r="G163" s="12" t="inlineStr">
        <is>
          <t>عام</t>
        </is>
      </c>
      <c r="H163" s="12" t="inlineStr">
        <is>
          <t>15.0%</t>
        </is>
      </c>
      <c r="I163" s="12" t="inlineStr">
        <is>
          <t>oil_and_gas</t>
        </is>
      </c>
      <c r="J163" s="12" t="inlineStr">
        <is>
          <t>2026-08-30</t>
        </is>
      </c>
      <c r="K163" s="12" t="inlineStr">
        <is>
          <t>2026-11-30</t>
        </is>
      </c>
      <c r="L163" s="12" t="inlineStr">
        <is>
          <t>150000.0</t>
        </is>
      </c>
      <c r="M163" s="12" t="inlineStr">
        <is>
          <t>-</t>
        </is>
      </c>
      <c r="N163" s="25" t="inlineStr">
        <is>
          <t>NEW</t>
        </is>
      </c>
      <c r="O163" s="12" t="inlineStr">
        <is>
          <t>غير متوافقة</t>
        </is>
      </c>
      <c r="P163" s="23">
        <f>HYPERLINK("https://kuwaitalyawm.media.gov.kw/Online/ViewAdsHTML?id=168785&amp;no=1", "عرض المصدر")</f>
        <v/>
      </c>
    </row>
    <row r="164">
      <c r="A164" s="13" t="inlineStr">
        <is>
          <t>RFP 2162824</t>
        </is>
      </c>
      <c r="B164" s="13" t="inlineStr">
        <is>
          <t>شركة البترول الوطنية الكويتية</t>
        </is>
      </c>
      <c r="C164" s="13" t="inlineStr">
        <is>
          <t>Abrar Al-Qallaf</t>
        </is>
      </c>
      <c r="D164" s="13" t="inlineStr">
        <is>
          <t>ممارسة رقم RFP 2162824: توريد مواد ومهمات تشغيلية لزوم شركة البترول الوطنية الكويتية - شركة البترول الوطنية الكويتية</t>
        </is>
      </c>
      <c r="E164" s="13" t="inlineStr">
        <is>
          <t>أعمال وتوريدات تخصصية لزوم شركة البترول الوطنية الكويتية حسب وثائق الممارسة رقم RFP 2162824 عبر منصة K-Tendering.</t>
        </is>
      </c>
      <c r="F164" s="13" t="inlineStr">
        <is>
          <t>وفقاً لشروط وإجراءات المناقصات والتوريد لدى شركة البترول الوطنية الكويتية (KNPC) عبر منصة K-Tendering.</t>
        </is>
      </c>
      <c r="G164" s="14" t="inlineStr">
        <is>
          <t>عام</t>
        </is>
      </c>
      <c r="H164" s="14" t="inlineStr">
        <is>
          <t>15.0%</t>
        </is>
      </c>
      <c r="I164" s="14" t="inlineStr">
        <is>
          <t>oil_and_gas</t>
        </is>
      </c>
      <c r="J164" s="14" t="inlineStr">
        <is>
          <t>2026-08-30</t>
        </is>
      </c>
      <c r="K164" s="14" t="inlineStr">
        <is>
          <t>2026-11-30</t>
        </is>
      </c>
      <c r="L164" s="14" t="inlineStr">
        <is>
          <t>50000.0</t>
        </is>
      </c>
      <c r="M164" s="14" t="inlineStr">
        <is>
          <t>-</t>
        </is>
      </c>
      <c r="N164" s="25" t="inlineStr">
        <is>
          <t>NEW</t>
        </is>
      </c>
      <c r="O164" s="14" t="inlineStr">
        <is>
          <t>غير متوافقة</t>
        </is>
      </c>
      <c r="P164" s="22">
        <f>HYPERLINK("https://kuwaitalyawm.media.gov.kw/Online/ViewAdsHTML?id=168786&amp;no=1", "عرض المصدر")</f>
        <v/>
      </c>
    </row>
    <row r="165">
      <c r="A165" s="11" t="inlineStr">
        <is>
          <t>CB CPC 2562</t>
        </is>
      </c>
      <c r="B165" s="11" t="inlineStr">
        <is>
          <t>شركة البترول الوطنية الكويتية</t>
        </is>
      </c>
      <c r="C165" s="11" t="inlineStr">
        <is>
          <t>Abrar Al-Qallaf</t>
        </is>
      </c>
      <c r="D165" s="11" t="inlineStr">
        <is>
          <t>ممارسة رقم CB CPC 2562: توريد مواد ومهمات تشغيلية لزوم شركة البترول الوطنية الكويتية - شركة البترول الوطنية الكويتية</t>
        </is>
      </c>
      <c r="E165" s="11" t="inlineStr">
        <is>
          <t>أعمال وتوريدات تخصصية لزوم شركة البترول الوطنية الكويتية حسب وثائق الممارسة رقم CB CPC 2562 عبر منصة K-Tendering.</t>
        </is>
      </c>
      <c r="F165" s="11" t="inlineStr">
        <is>
          <t>وفقاً لشروط وإجراءات المناقصات والتوريد لدى شركة البترول الوطنية الكويتية (KNPC) عبر منصة K-Tendering.</t>
        </is>
      </c>
      <c r="G165" s="12" t="inlineStr">
        <is>
          <t>عام</t>
        </is>
      </c>
      <c r="H165" s="12" t="inlineStr">
        <is>
          <t>15.0%</t>
        </is>
      </c>
      <c r="I165" s="12" t="inlineStr">
        <is>
          <t>oil_and_gas</t>
        </is>
      </c>
      <c r="J165" s="12" t="inlineStr">
        <is>
          <t>2026-08-23</t>
        </is>
      </c>
      <c r="K165" s="12" t="inlineStr">
        <is>
          <t>2026-11-26</t>
        </is>
      </c>
      <c r="L165" s="12" t="inlineStr">
        <is>
          <t>5000.0</t>
        </is>
      </c>
      <c r="M165" s="12" t="inlineStr">
        <is>
          <t>150.0</t>
        </is>
      </c>
      <c r="N165" s="25" t="inlineStr">
        <is>
          <t>NEW</t>
        </is>
      </c>
      <c r="O165" s="12" t="inlineStr">
        <is>
          <t>غير متوافقة</t>
        </is>
      </c>
      <c r="P165" s="23">
        <f>HYPERLINK("https://kuwaitalyawm.media.gov.kw/Online/ViewAdsHTML?id=167906&amp;no=1", "عرض المصدر")</f>
        <v/>
      </c>
    </row>
    <row r="166">
      <c r="A166" s="13" t="inlineStr">
        <is>
          <t>RFQ 1063574</t>
        </is>
      </c>
      <c r="B166" s="13" t="inlineStr">
        <is>
          <t>شركة البترول الوطنية الكويتية</t>
        </is>
      </c>
      <c r="C166" s="13" t="inlineStr">
        <is>
          <t>Abrar Al-Qallaf</t>
        </is>
      </c>
      <c r="D166" s="13" t="inlineStr">
        <is>
          <t>ممارسة رقم RFQ 1063574: توريد مواد ومهمات تشغيلية لزوم شركة البترول الوطنية الكويتية - شركة البترول الوطنية الكويتية</t>
        </is>
      </c>
      <c r="E166" s="13" t="inlineStr">
        <is>
          <t>أعمال وتوريدات تخصصية لزوم شركة البترول الوطنية الكويتية حسب وثائق الممارسة رقم RFQ 1063574 عبر منصة K-Tendering.</t>
        </is>
      </c>
      <c r="F166" s="13" t="inlineStr">
        <is>
          <t>وفقاً لشروط وإجراءات المناقصات والتوريد لدى شركة البترول الوطنية الكويتية (KNPC) عبر منصة K-Tendering.</t>
        </is>
      </c>
      <c r="G166" s="14" t="inlineStr">
        <is>
          <t>عام</t>
        </is>
      </c>
      <c r="H166" s="14" t="inlineStr">
        <is>
          <t>15.0%</t>
        </is>
      </c>
      <c r="I166" s="14" t="inlineStr">
        <is>
          <t>oil_and_gas</t>
        </is>
      </c>
      <c r="J166" s="14" t="inlineStr">
        <is>
          <t>2026-08-23</t>
        </is>
      </c>
      <c r="K166" s="14" t="inlineStr">
        <is>
          <t>2026-12-03</t>
        </is>
      </c>
      <c r="L166" s="14" t="inlineStr">
        <is>
          <t>1000.0</t>
        </is>
      </c>
      <c r="M166" s="14" t="inlineStr">
        <is>
          <t>-</t>
        </is>
      </c>
      <c r="N166" s="25" t="inlineStr">
        <is>
          <t>NEW</t>
        </is>
      </c>
      <c r="O166" s="14" t="inlineStr">
        <is>
          <t>غير متوافقة</t>
        </is>
      </c>
      <c r="P166" s="22">
        <f>HYPERLINK("https://kuwaitalyawm.media.gov.kw/Online/ViewAdsHTML?id=167907&amp;no=1", "عرض المصدر")</f>
        <v/>
      </c>
    </row>
    <row r="167">
      <c r="A167" s="11" t="inlineStr">
        <is>
          <t>1000</t>
        </is>
      </c>
      <c r="B167" s="11" t="inlineStr">
        <is>
          <t>شركة البترول الوطنية الكويتية</t>
        </is>
      </c>
      <c r="C167" s="11" t="inlineStr">
        <is>
          <t>Abrar Al-Qallaf</t>
        </is>
      </c>
      <c r="D167" s="11" t="inlineStr">
        <is>
          <t>ممارسة رقم 1000: توريد مواد ومهمات تشغيلية لزوم شركة البترول الوطنية الكويتية - شركة البترول الوطنية الكويتية</t>
        </is>
      </c>
      <c r="E167" s="11" t="inlineStr">
        <is>
          <t>أعمال وتوريدات تخصصية لزوم شركة البترول الوطنية الكويتية حسب وثائق الممارسة رقم 1000 عبر منصة K-Tendering.</t>
        </is>
      </c>
      <c r="F167" s="11" t="inlineStr">
        <is>
          <t>وفقاً لشروط وإجراءات المناقصات والتوريد لدى شركة البترول الوطنية الكويتية (KNPC) عبر منصة K-Tendering.</t>
        </is>
      </c>
      <c r="G167" s="12" t="inlineStr">
        <is>
          <t>عام</t>
        </is>
      </c>
      <c r="H167" s="12" t="inlineStr">
        <is>
          <t>15.0%</t>
        </is>
      </c>
      <c r="I167" s="12" t="inlineStr">
        <is>
          <t>oil_and_gas</t>
        </is>
      </c>
      <c r="J167" s="12" t="inlineStr">
        <is>
          <t>2026-08-23</t>
        </is>
      </c>
      <c r="K167" s="12" t="inlineStr">
        <is>
          <t>-</t>
        </is>
      </c>
      <c r="L167" s="12" t="inlineStr">
        <is>
          <t>-</t>
        </is>
      </c>
      <c r="M167" s="12" t="inlineStr">
        <is>
          <t>-</t>
        </is>
      </c>
      <c r="N167" s="25" t="inlineStr">
        <is>
          <t>NEW</t>
        </is>
      </c>
      <c r="O167" s="12" t="inlineStr">
        <is>
          <t>غير متوافقة</t>
        </is>
      </c>
      <c r="P167" s="23">
        <f>HYPERLINK("https://kuwaitalyawm.media.gov.kw/Online/ViewAdsHTML?id=167908&amp;no=1", "عرض المصدر")</f>
        <v/>
      </c>
    </row>
    <row r="168">
      <c r="A168" s="13" t="inlineStr">
        <is>
          <t>RFQ/2167075</t>
        </is>
      </c>
      <c r="B168" s="13" t="inlineStr">
        <is>
          <t>شركة البترول الوطنية الكويتية</t>
        </is>
      </c>
      <c r="C168" s="13" t="inlineStr">
        <is>
          <t>Abrar Al-Qallaf</t>
        </is>
      </c>
      <c r="D168" s="13" t="inlineStr">
        <is>
          <t>ممارسة رقم RFQ/2167075: توريد مواد ومهمات تشغيلية لزوم شركة البترول الوطنية الكويتية - شركة البترول الوطنية الكويتية</t>
        </is>
      </c>
      <c r="E168" s="13" t="inlineStr">
        <is>
          <t>أعمال وتوريدات تخصصية لزوم شركة البترول الوطنية الكويتية حسب وثائق الممارسة رقم RFQ/2167075 عبر منصة K-Tendering.</t>
        </is>
      </c>
      <c r="F168" s="13" t="inlineStr">
        <is>
          <t>وفقاً لشروط وإجراءات المناقصات والتوريد لدى شركة البترول الوطنية الكويتية (KNPC) عبر منصة K-Tendering.</t>
        </is>
      </c>
      <c r="G168" s="14" t="inlineStr">
        <is>
          <t>عام</t>
        </is>
      </c>
      <c r="H168" s="14" t="inlineStr">
        <is>
          <t>15.0%</t>
        </is>
      </c>
      <c r="I168" s="14" t="inlineStr">
        <is>
          <t>oil_and_gas</t>
        </is>
      </c>
      <c r="J168" s="14" t="inlineStr">
        <is>
          <t>2026-09-27</t>
        </is>
      </c>
      <c r="K168" s="14" t="inlineStr">
        <is>
          <t>2026-11-02</t>
        </is>
      </c>
      <c r="L168" s="14" t="inlineStr">
        <is>
          <t>500000.0 KWD</t>
        </is>
      </c>
      <c r="M168" s="14" t="inlineStr">
        <is>
          <t>-</t>
        </is>
      </c>
      <c r="N168" s="21" t="inlineStr">
        <is>
          <t>UPDATED</t>
        </is>
      </c>
      <c r="O168" s="14" t="inlineStr">
        <is>
          <t>غير متوافقة</t>
        </is>
      </c>
      <c r="P168" s="22">
        <f>HYPERLINK("https://kuwaitalyawm.media.gov.kw/Online/ViewAdsHTML?id=171742&amp;no=1", "عرض المصدر")</f>
        <v/>
      </c>
    </row>
    <row r="169">
      <c r="A169" s="11" t="inlineStr">
        <is>
          <t>RFQ/1062690</t>
        </is>
      </c>
      <c r="B169" s="11" t="inlineStr">
        <is>
          <t>شركة البترول الوطنية الكويتية</t>
        </is>
      </c>
      <c r="C169" s="11" t="inlineStr">
        <is>
          <t>Abrar Al-Qallaf</t>
        </is>
      </c>
      <c r="D169" s="11" t="inlineStr">
        <is>
          <t>ممارسة رقم RFQ/1062690: توريد مواد ومهمات تشغيلية لزوم شركة البترول الوطنية الكويتية - شركة البترول الوطنية الكويتية</t>
        </is>
      </c>
      <c r="E169" s="11" t="inlineStr">
        <is>
          <t>أعمال وتوريدات تخصصية لزوم شركة البترول الوطنية الكويتية حسب وثائق الممارسة رقم RFQ/1062690 عبر منصة K-Tendering.</t>
        </is>
      </c>
      <c r="F169" s="11" t="inlineStr">
        <is>
          <t>وفقاً لشروط وإجراءات المناقصات والتوريد لدى شركة البترول الوطنية الكويتية (KNPC)</t>
        </is>
      </c>
      <c r="G169" s="12" t="inlineStr">
        <is>
          <t>عام</t>
        </is>
      </c>
      <c r="H169" s="12" t="inlineStr">
        <is>
          <t>15.0%</t>
        </is>
      </c>
      <c r="I169" s="12" t="inlineStr">
        <is>
          <t>oil_and_gas</t>
        </is>
      </c>
      <c r="J169" s="12" t="inlineStr">
        <is>
          <t>2026-09-27</t>
        </is>
      </c>
      <c r="K169" s="12" t="inlineStr">
        <is>
          <t>2026-10-22</t>
        </is>
      </c>
      <c r="L169" s="12" t="inlineStr">
        <is>
          <t>1000.0 KWD</t>
        </is>
      </c>
      <c r="M169" s="12" t="inlineStr">
        <is>
          <t>-</t>
        </is>
      </c>
      <c r="N169" s="21" t="inlineStr">
        <is>
          <t>UPDATED</t>
        </is>
      </c>
      <c r="O169" s="12" t="inlineStr">
        <is>
          <t>غير متوافقة</t>
        </is>
      </c>
      <c r="P169" s="23">
        <f>HYPERLINK("https://kuwaitalyawm.media.gov.kw/flip/index?id=5599&amp;no=223", "عرض المصدر")</f>
        <v/>
      </c>
    </row>
    <row r="170">
      <c r="A170" s="13" t="inlineStr">
        <is>
          <t>RFQ/1063968</t>
        </is>
      </c>
      <c r="B170" s="13" t="inlineStr">
        <is>
          <t>شركة البترول الوطنية الكويتية</t>
        </is>
      </c>
      <c r="C170" s="13" t="inlineStr">
        <is>
          <t>Abrar Al-Qallaf</t>
        </is>
      </c>
      <c r="D170" s="13" t="inlineStr">
        <is>
          <t>ممارسة رقم RFQ/1063968: توريد مواد ومهمات تشغيلية لزوم شركة البترول الوطنية الكويتية - شركة البترول الوطنية الكويتية</t>
        </is>
      </c>
      <c r="E170" s="13" t="inlineStr">
        <is>
          <t>أعمال وتوريدات تخصصية لزوم شركة البترول الوطنية الكويتية حسب وثائق الممارسة رقم RFQ/1063968 عبر منصة K-Tendering.</t>
        </is>
      </c>
      <c r="F170" s="13" t="inlineStr">
        <is>
          <t>وفقاً لشروط وإجراءات المناقصات والتوريد لدى شركة البترول الوطنية الكويتية (KNPC)</t>
        </is>
      </c>
      <c r="G170" s="14" t="inlineStr">
        <is>
          <t>عام</t>
        </is>
      </c>
      <c r="H170" s="14" t="inlineStr">
        <is>
          <t>15.0%</t>
        </is>
      </c>
      <c r="I170" s="14" t="inlineStr">
        <is>
          <t>oil_and_gas</t>
        </is>
      </c>
      <c r="J170" s="14" t="inlineStr">
        <is>
          <t>2026-09-27</t>
        </is>
      </c>
      <c r="K170" s="18" t="inlineStr">
        <is>
          <t>2026-10-15</t>
        </is>
      </c>
      <c r="L170" s="14" t="inlineStr">
        <is>
          <t>1000.0 KWD</t>
        </is>
      </c>
      <c r="M170" s="14" t="inlineStr">
        <is>
          <t>-</t>
        </is>
      </c>
      <c r="N170" s="21" t="inlineStr">
        <is>
          <t>UPDATED</t>
        </is>
      </c>
      <c r="O170" s="14" t="inlineStr">
        <is>
          <t>غير متوافقة</t>
        </is>
      </c>
      <c r="P170" s="22">
        <f>HYPERLINK("https://kuwaitalyawm.media.gov.kw/flip/index?id=5599&amp;no=224", "عرض المصدر")</f>
        <v/>
      </c>
    </row>
    <row r="171">
      <c r="A171" s="11" t="inlineStr">
        <is>
          <t>RFQ/1063246</t>
        </is>
      </c>
      <c r="B171" s="11" t="inlineStr">
        <is>
          <t>شركة البترول الوطنية الكويتية</t>
        </is>
      </c>
      <c r="C171" s="11" t="inlineStr">
        <is>
          <t>Abrar Al-Qallaf</t>
        </is>
      </c>
      <c r="D171" s="11" t="inlineStr">
        <is>
          <t>ممارسة رقم RFQ/1063246: توريد مواد ومهمات تشغيلية لزوم شركة البترول الوطنية الكويتية - شركة البترول الوطنية الكويتية</t>
        </is>
      </c>
      <c r="E171" s="11" t="inlineStr">
        <is>
          <t>أعمال وتوريدات تخصصية لزوم شركة البترول الوطنية الكويتية حسب وثائق الممارسة رقم RFQ/1063246 عبر منصة K-Tendering.</t>
        </is>
      </c>
      <c r="F171" s="11" t="inlineStr">
        <is>
          <t>وفقاً لشروط وإجراءات المناقصات والتوريد لدى شركة البترول الوطنية الكويتية (KNPC)</t>
        </is>
      </c>
      <c r="G171" s="12" t="inlineStr">
        <is>
          <t>عام</t>
        </is>
      </c>
      <c r="H171" s="12" t="inlineStr">
        <is>
          <t>15.0%</t>
        </is>
      </c>
      <c r="I171" s="12" t="inlineStr">
        <is>
          <t>oil_and_gas</t>
        </is>
      </c>
      <c r="J171" s="12" t="inlineStr">
        <is>
          <t>2026-09-27</t>
        </is>
      </c>
      <c r="K171" s="12" t="inlineStr">
        <is>
          <t>2026-10-22</t>
        </is>
      </c>
      <c r="L171" s="12" t="inlineStr">
        <is>
          <t>1000.0 KWD</t>
        </is>
      </c>
      <c r="M171" s="12" t="inlineStr">
        <is>
          <t>-</t>
        </is>
      </c>
      <c r="N171" s="21" t="inlineStr">
        <is>
          <t>UPDATED</t>
        </is>
      </c>
      <c r="O171" s="12" t="inlineStr">
        <is>
          <t>غير متوافقة</t>
        </is>
      </c>
      <c r="P171" s="23">
        <f>HYPERLINK("https://kuwaitalyawm.media.gov.kw/flip/index?id=5599&amp;no=224", "عرض المصدر")</f>
        <v/>
      </c>
    </row>
    <row r="172">
      <c r="A172" s="13" t="inlineStr">
        <is>
          <t>RFQ/1063799</t>
        </is>
      </c>
      <c r="B172" s="13" t="inlineStr">
        <is>
          <t>شركة البترول الوطنية الكويتية</t>
        </is>
      </c>
      <c r="C172" s="13" t="inlineStr">
        <is>
          <t>Abrar Al-Qallaf</t>
        </is>
      </c>
      <c r="D172" s="13" t="inlineStr">
        <is>
          <t>ممارسة رقم RFQ/1063799: توريد مواد ومهمات تشغيلية لزوم شركة البترول الوطنية الكويتية - شركة البترول الوطنية الكويتية</t>
        </is>
      </c>
      <c r="E172" s="13" t="inlineStr">
        <is>
          <t>أعمال وتوريدات تخصصية لزوم شركة البترول الوطنية الكويتية حسب وثائق الممارسة رقم RFQ/1063799 عبر منصة K-Tendering.</t>
        </is>
      </c>
      <c r="F172" s="13" t="inlineStr">
        <is>
          <t>وفقاً لشروط وإجراءات المناقصات والتوريد لدى شركة البترول الوطنية الكويتية (KNPC)</t>
        </is>
      </c>
      <c r="G172" s="14" t="inlineStr">
        <is>
          <t>عام</t>
        </is>
      </c>
      <c r="H172" s="14" t="inlineStr">
        <is>
          <t>15.0%</t>
        </is>
      </c>
      <c r="I172" s="14" t="inlineStr">
        <is>
          <t>oil_and_gas</t>
        </is>
      </c>
      <c r="J172" s="14" t="inlineStr">
        <is>
          <t>2026-09-27</t>
        </is>
      </c>
      <c r="K172" s="14" t="inlineStr">
        <is>
          <t>2026-10-22</t>
        </is>
      </c>
      <c r="L172" s="14" t="inlineStr">
        <is>
          <t>1000.0 KWD</t>
        </is>
      </c>
      <c r="M172" s="14" t="inlineStr">
        <is>
          <t>-</t>
        </is>
      </c>
      <c r="N172" s="21" t="inlineStr">
        <is>
          <t>UPDATED</t>
        </is>
      </c>
      <c r="O172" s="14" t="inlineStr">
        <is>
          <t>غير متوافقة</t>
        </is>
      </c>
      <c r="P172" s="22">
        <f>HYPERLINK("https://kuwaitalyawm.media.gov.kw/flip/index?id=5599&amp;no=225", "عرض المصدر")</f>
        <v/>
      </c>
    </row>
    <row r="173">
      <c r="A173" s="11" t="inlineStr">
        <is>
          <t>RFQ/1061616</t>
        </is>
      </c>
      <c r="B173" s="11" t="inlineStr">
        <is>
          <t>شركة البترول الوطنية الكويتية</t>
        </is>
      </c>
      <c r="C173" s="11" t="inlineStr">
        <is>
          <t>Abrar Al-Qallaf</t>
        </is>
      </c>
      <c r="D173" s="11" t="inlineStr">
        <is>
          <t>ممارسة رقم RFQ/1061616: إعادة طرح توريد المواد المضافة للوقود (Stability Additive for 0.5% Sulfur IMO Bunker Fuel Oil - MAA) - شركة البترول الوطنية الكويتية</t>
        </is>
      </c>
      <c r="E173" s="11" t="inlineStr">
        <is>
          <t>توريد مواد مضافة كيميائية لتحسين ثبات منتج وقود السفن منخفض الكبريت 0.5% بمصفاة ميناء الأحمدي.</t>
        </is>
      </c>
      <c r="F173" s="11" t="inlineStr">
        <is>
          <t>وفقاً لشروط وإجراءات المناقصات والتوريد لدى شركة البترول الوطنية الكويتية (KNPC)</t>
        </is>
      </c>
      <c r="G173" s="12" t="inlineStr">
        <is>
          <t>عام</t>
        </is>
      </c>
      <c r="H173" s="12" t="inlineStr">
        <is>
          <t>15.0%</t>
        </is>
      </c>
      <c r="I173" s="12" t="inlineStr">
        <is>
          <t>oil_and_gas</t>
        </is>
      </c>
      <c r="J173" s="12" t="inlineStr">
        <is>
          <t>2026-09-27</t>
        </is>
      </c>
      <c r="K173" s="18" t="inlineStr">
        <is>
          <t>2026-10-15</t>
        </is>
      </c>
      <c r="L173" s="12" t="inlineStr">
        <is>
          <t>1000.0 KWD</t>
        </is>
      </c>
      <c r="M173" s="12" t="inlineStr">
        <is>
          <t>-</t>
        </is>
      </c>
      <c r="N173" s="21" t="inlineStr">
        <is>
          <t>UPDATED</t>
        </is>
      </c>
      <c r="O173" s="12" t="inlineStr">
        <is>
          <t>غير متوافقة</t>
        </is>
      </c>
      <c r="P173" s="23">
        <f>HYPERLINK("https://kuwaitalyawm.media.gov.kw/flip/index?id=5599&amp;no=225", "عرض المصدر")</f>
        <v/>
      </c>
    </row>
    <row r="174">
      <c r="A174" s="13" t="inlineStr">
        <is>
          <t>RFQ/2165292</t>
        </is>
      </c>
      <c r="B174" s="13" t="inlineStr">
        <is>
          <t>شركة البترول الوطنية الكويتية</t>
        </is>
      </c>
      <c r="C174" s="13" t="inlineStr">
        <is>
          <t>Abrar Al-Qallaf</t>
        </is>
      </c>
      <c r="D174" s="13" t="inlineStr">
        <is>
          <t>ممارسة رقم RFQ/2165292: توريد مواد ومهمات تشغيلية لزوم شركة البترول الوطنية الكويتية - شركة البترول الوطنية الكويتية</t>
        </is>
      </c>
      <c r="E174" s="13" t="inlineStr">
        <is>
          <t>أعمال وتوريدات تخصصية لزوم شركة البترول الوطنية الكويتية حسب وثائق الممارسة رقم RFQ/2165292 عبر منصة K-Tendering.</t>
        </is>
      </c>
      <c r="F174" s="13" t="inlineStr">
        <is>
          <t>وفقاً لشروط وإجراءات المناقصات والتوريد لدى شركة البترول الوطنية الكويتية (KNPC) عبر منصة K-Tendering.</t>
        </is>
      </c>
      <c r="G174" s="14" t="inlineStr">
        <is>
          <t>عام</t>
        </is>
      </c>
      <c r="H174" s="14" t="inlineStr">
        <is>
          <t>15.0%</t>
        </is>
      </c>
      <c r="I174" s="14" t="inlineStr">
        <is>
          <t>oil_and_gas</t>
        </is>
      </c>
      <c r="J174" s="14" t="inlineStr">
        <is>
          <t>2026-09-27</t>
        </is>
      </c>
      <c r="K174" s="14" t="inlineStr">
        <is>
          <t>-</t>
        </is>
      </c>
      <c r="L174" s="14" t="inlineStr">
        <is>
          <t>-</t>
        </is>
      </c>
      <c r="M174" s="14" t="inlineStr">
        <is>
          <t>-</t>
        </is>
      </c>
      <c r="N174" s="21" t="inlineStr">
        <is>
          <t>UPDATED</t>
        </is>
      </c>
      <c r="O174" s="14" t="inlineStr">
        <is>
          <t>غير متوافقة</t>
        </is>
      </c>
      <c r="P174" s="22">
        <f>HYPERLINK("https://kuwaitalyawm.media.gov.kw/Online/ViewAdsHTML?id=171740&amp;no=1", "عرض المصدر")</f>
        <v/>
      </c>
    </row>
    <row r="175">
      <c r="A175" s="11" t="inlineStr">
        <is>
          <t>RFQ/2167957</t>
        </is>
      </c>
      <c r="B175" s="11" t="inlineStr">
        <is>
          <t>شركة البترول الوطنية الكويتية</t>
        </is>
      </c>
      <c r="C175" s="11" t="inlineStr">
        <is>
          <t>Abrar Al-Qallaf</t>
        </is>
      </c>
      <c r="D175" s="11" t="inlineStr">
        <is>
          <t>ممارسة رقم RFQ/2167957: توريد مواد ومهمات تشغيلية لزوم شركة البترول الوطنية الكويتية - شركة البترول الوطنية الكويتية</t>
        </is>
      </c>
      <c r="E175" s="11" t="inlineStr">
        <is>
          <t>أعمال وتوريدات تخصصية لزوم شركة البترول الوطنية الكويتية حسب وثائق الممارسة رقم RFQ/2167957 عبر منصة K-Tendering.</t>
        </is>
      </c>
      <c r="F175" s="11" t="inlineStr">
        <is>
          <t>وفقاً لشروط وإجراءات المناقصات والتوريد لدى شركة البترول الوطنية الكويتية (KNPC) عبر منصة K-Tendering.</t>
        </is>
      </c>
      <c r="G175" s="12" t="inlineStr">
        <is>
          <t>عام</t>
        </is>
      </c>
      <c r="H175" s="12" t="inlineStr">
        <is>
          <t>15.0%</t>
        </is>
      </c>
      <c r="I175" s="12" t="inlineStr">
        <is>
          <t>oil_and_gas</t>
        </is>
      </c>
      <c r="J175" s="12" t="inlineStr">
        <is>
          <t>2026-09-27</t>
        </is>
      </c>
      <c r="K175" s="12" t="inlineStr">
        <is>
          <t>2026-11-02</t>
        </is>
      </c>
      <c r="L175" s="12" t="inlineStr">
        <is>
          <t>15000.0 KWD</t>
        </is>
      </c>
      <c r="M175" s="12" t="inlineStr">
        <is>
          <t>-</t>
        </is>
      </c>
      <c r="N175" s="21" t="inlineStr">
        <is>
          <t>UPDATED</t>
        </is>
      </c>
      <c r="O175" s="12" t="inlineStr">
        <is>
          <t>غير متوافقة</t>
        </is>
      </c>
      <c r="P175" s="23">
        <f>HYPERLINK("https://kuwaitalyawm.media.gov.kw/Online/ViewAdsHTML?id=171741&amp;no=1", "عرض المصدر")</f>
        <v/>
      </c>
    </row>
    <row r="176">
      <c r="A176" s="13" t="inlineStr">
        <is>
          <t>RFP/2159728</t>
        </is>
      </c>
      <c r="B176" s="13" t="inlineStr">
        <is>
          <t>شركة البترول الوطنية الكويتية</t>
        </is>
      </c>
      <c r="C176" s="13" t="inlineStr">
        <is>
          <t>Abrar Al-Qallaf</t>
        </is>
      </c>
      <c r="D176" s="13" t="inlineStr">
        <is>
          <t>ممارسة رقم RFP/2159728: توريد مواد ومهمات تشغيلية لزوم شركة البترول الوطنية الكويتية - شركة البترول الوطنية الكويتية</t>
        </is>
      </c>
      <c r="E176" s="13" t="inlineStr">
        <is>
          <t>أعمال وتوريدات تخصصية لزوم شركة البترول الوطنية الكويتية حسب وثائق الممارسة رقم RFP/2159728 عبر منصة K-Tendering.</t>
        </is>
      </c>
      <c r="F176" s="13" t="inlineStr">
        <is>
          <t>وفقاً لشروط وإجراءات المناقصات والتوريد لدى شركة البترول الوطنية الكويتية (KNPC)</t>
        </is>
      </c>
      <c r="G176" s="14" t="inlineStr">
        <is>
          <t>عام</t>
        </is>
      </c>
      <c r="H176" s="14" t="inlineStr">
        <is>
          <t>15.0%</t>
        </is>
      </c>
      <c r="I176" s="14" t="inlineStr">
        <is>
          <t>oil_and_gas</t>
        </is>
      </c>
      <c r="J176" s="14" t="inlineStr">
        <is>
          <t>2026-09-27</t>
        </is>
      </c>
      <c r="K176" s="14" t="inlineStr">
        <is>
          <t>2026-10-26</t>
        </is>
      </c>
      <c r="L176" s="14" t="inlineStr">
        <is>
          <t>1000.0</t>
        </is>
      </c>
      <c r="M176" s="14" t="inlineStr">
        <is>
          <t>75.0</t>
        </is>
      </c>
      <c r="N176" s="26" t="inlineStr">
        <is>
          <t>UNCHANGED</t>
        </is>
      </c>
      <c r="O176" s="14" t="inlineStr">
        <is>
          <t>غير متوافقة</t>
        </is>
      </c>
      <c r="P176" s="22">
        <f>HYPERLINK("https://kuwaitalyawm.media.gov.kw/flip/index?id=5599&amp;no=238", "عرض المصدر")</f>
        <v/>
      </c>
    </row>
    <row r="177">
      <c r="A177" s="11" t="inlineStr">
        <is>
          <t>RFQ/2162141</t>
        </is>
      </c>
      <c r="B177" s="11" t="inlineStr">
        <is>
          <t>شركة البترول الوطنية الكويتية</t>
        </is>
      </c>
      <c r="C177" s="11" t="inlineStr">
        <is>
          <t>Abrar Al-Qallaf</t>
        </is>
      </c>
      <c r="D177" s="11" t="inlineStr">
        <is>
          <t>ممارسة رقم RFQ/2162141: توريد مواد ومهمات تشغيلية لزوم شركة البترول الوطنية الكويتية - شركة البترول الوطنية الكويتية</t>
        </is>
      </c>
      <c r="E177" s="11" t="inlineStr">
        <is>
          <t>أعمال وتوريدات تخصصية لزوم شركة البترول الوطنية الكويتية حسب وثائق الممارسة رقم RFQ/2162141 عبر منصة K-Tendering.</t>
        </is>
      </c>
      <c r="F177" s="11" t="inlineStr">
        <is>
          <t>وفقاً لشروط وإجراءات المناقصات والتوريد لدى شركة البترول الوطنية الكويتية (KNPC)</t>
        </is>
      </c>
      <c r="G177" s="12" t="inlineStr">
        <is>
          <t>عام</t>
        </is>
      </c>
      <c r="H177" s="12" t="inlineStr">
        <is>
          <t>15.0%</t>
        </is>
      </c>
      <c r="I177" s="12" t="inlineStr">
        <is>
          <t>oil_and_gas</t>
        </is>
      </c>
      <c r="J177" s="12" t="inlineStr">
        <is>
          <t>2026-09-27</t>
        </is>
      </c>
      <c r="K177" s="12" t="inlineStr">
        <is>
          <t>-</t>
        </is>
      </c>
      <c r="L177" s="12" t="inlineStr">
        <is>
          <t>-</t>
        </is>
      </c>
      <c r="M177" s="12" t="inlineStr">
        <is>
          <t>-</t>
        </is>
      </c>
      <c r="N177" s="25" t="inlineStr">
        <is>
          <t>NEW</t>
        </is>
      </c>
      <c r="O177" s="12" t="inlineStr">
        <is>
          <t>غير متوافقة</t>
        </is>
      </c>
      <c r="P177" s="23">
        <f>HYPERLINK("https://kuwaitalyawm.media.gov.kw/flip/index?id=5599&amp;no=232", "عرض المصدر")</f>
        <v/>
      </c>
    </row>
    <row r="178">
      <c r="A178" s="13" t="inlineStr">
        <is>
          <t>RFQ/2162882</t>
        </is>
      </c>
      <c r="B178" s="13" t="inlineStr">
        <is>
          <t>شركة البترول الوطنية الكويتية</t>
        </is>
      </c>
      <c r="C178" s="13" t="inlineStr">
        <is>
          <t>Abrar Al-Qallaf</t>
        </is>
      </c>
      <c r="D178" s="13" t="inlineStr">
        <is>
          <t>ممارسة رقم RFQ/2162882: توريد مواد ومهمات تشغيلية لزوم شركة البترول الوطنية الكويتية - شركة البترول الوطنية الكويتية</t>
        </is>
      </c>
      <c r="E178" s="13" t="inlineStr">
        <is>
          <t>أعمال وتوريدات تخصصية لزوم شركة البترول الوطنية الكويتية حسب وثائق الممارسة رقم RFQ/2162882 عبر منصة K-Tendering.</t>
        </is>
      </c>
      <c r="F178" s="13" t="inlineStr">
        <is>
          <t>وفقاً لشروط وإجراءات المناقصات والتوريد لدى شركة البترول الوطنية الكويتية (KNPC)</t>
        </is>
      </c>
      <c r="G178" s="14" t="inlineStr">
        <is>
          <t>عام</t>
        </is>
      </c>
      <c r="H178" s="14" t="inlineStr">
        <is>
          <t>15.0%</t>
        </is>
      </c>
      <c r="I178" s="14" t="inlineStr">
        <is>
          <t>oil_and_gas</t>
        </is>
      </c>
      <c r="J178" s="14" t="inlineStr">
        <is>
          <t>2026-08-30</t>
        </is>
      </c>
      <c r="K178" s="14" t="inlineStr">
        <is>
          <t>-</t>
        </is>
      </c>
      <c r="L178" s="14" t="inlineStr">
        <is>
          <t>-</t>
        </is>
      </c>
      <c r="M178" s="14" t="inlineStr">
        <is>
          <t>-</t>
        </is>
      </c>
      <c r="N178" s="25" t="inlineStr">
        <is>
          <t>NEW</t>
        </is>
      </c>
      <c r="O178" s="14" t="inlineStr">
        <is>
          <t>غير متوافقة</t>
        </is>
      </c>
      <c r="P178" s="22">
        <f>HYPERLINK("https://kuwaitalyawm.media.gov.kw/flip/index?id=5599&amp;no=232", "عرض المصدر")</f>
        <v/>
      </c>
    </row>
    <row r="179">
      <c r="A179" s="11" t="inlineStr">
        <is>
          <t>RFQ/2164961</t>
        </is>
      </c>
      <c r="B179" s="11" t="inlineStr">
        <is>
          <t>شركة البترول الوطنية الكويتية</t>
        </is>
      </c>
      <c r="C179" s="11" t="inlineStr">
        <is>
          <t>Abrar Al-Qallaf</t>
        </is>
      </c>
      <c r="D179" s="11" t="inlineStr">
        <is>
          <t>ممارسة رقم RFQ/2164961: توريد مواد ومهمات تشغيلية لزوم شركة البترول الوطنية الكويتية - شركة البترول الوطنية الكويتية</t>
        </is>
      </c>
      <c r="E179" s="11" t="inlineStr">
        <is>
          <t>أعمال وتوريدات تخصصية لزوم شركة البترول الوطنية الكويتية حسب وثائق الممارسة رقم RFQ/2164961 عبر منصة K-Tendering.</t>
        </is>
      </c>
      <c r="F179" s="11" t="inlineStr">
        <is>
          <t>وفقاً لشروط وإجراءات المناقصات والتوريد لدى شركة البترول الوطنية الكويتية (KNPC)</t>
        </is>
      </c>
      <c r="G179" s="12" t="inlineStr">
        <is>
          <t>عام</t>
        </is>
      </c>
      <c r="H179" s="12" t="inlineStr">
        <is>
          <t>15.0%</t>
        </is>
      </c>
      <c r="I179" s="12" t="inlineStr">
        <is>
          <t>oil_and_gas</t>
        </is>
      </c>
      <c r="J179" s="12" t="inlineStr">
        <is>
          <t>2026-09-27</t>
        </is>
      </c>
      <c r="K179" s="12" t="inlineStr">
        <is>
          <t>2026-09-27</t>
        </is>
      </c>
      <c r="L179" s="12" t="inlineStr">
        <is>
          <t>15000.0</t>
        </is>
      </c>
      <c r="M179" s="12" t="inlineStr">
        <is>
          <t>-</t>
        </is>
      </c>
      <c r="N179" s="25" t="inlineStr">
        <is>
          <t>NEW</t>
        </is>
      </c>
      <c r="O179" s="12" t="inlineStr">
        <is>
          <t>غير متوافقة</t>
        </is>
      </c>
      <c r="P179" s="23">
        <f>HYPERLINK("https://kuwaitalyawm.media.gov.kw/flip/index?id=5599&amp;no=232", "عرض المصدر")</f>
        <v/>
      </c>
    </row>
    <row r="180">
      <c r="A180" s="13" t="inlineStr">
        <is>
          <t>RFQ/2167837</t>
        </is>
      </c>
      <c r="B180" s="13" t="inlineStr">
        <is>
          <t>شركة البترول الوطنية الكويتية</t>
        </is>
      </c>
      <c r="C180" s="13" t="inlineStr">
        <is>
          <t>Abrar Al-Qallaf</t>
        </is>
      </c>
      <c r="D180" s="13" t="inlineStr">
        <is>
          <t>ممارسة رقم RFQ/2167837: توريد مواد ومهمات تشغيلية لزوم شركة البترول الوطنية الكويتية - شركة البترول الوطنية الكويتية</t>
        </is>
      </c>
      <c r="E180" s="13" t="inlineStr">
        <is>
          <t>أعمال وتوريدات تخصصية لزوم شركة البترول الوطنية الكويتية حسب وثائق الممارسة رقم RFQ/2167837 عبر منصة K-Tendering.</t>
        </is>
      </c>
      <c r="F180" s="13" t="inlineStr">
        <is>
          <t>وفقاً لشروط وإجراءات المناقصات والتوريد لدى شركة البترول الوطنية الكويتية (KNPC)</t>
        </is>
      </c>
      <c r="G180" s="14" t="inlineStr">
        <is>
          <t>عام</t>
        </is>
      </c>
      <c r="H180" s="14" t="inlineStr">
        <is>
          <t>15.0%</t>
        </is>
      </c>
      <c r="I180" s="14" t="inlineStr">
        <is>
          <t>oil_and_gas</t>
        </is>
      </c>
      <c r="J180" s="14" t="inlineStr">
        <is>
          <t>2026-09-27</t>
        </is>
      </c>
      <c r="K180" s="14" t="inlineStr">
        <is>
          <t>2026-09-27</t>
        </is>
      </c>
      <c r="L180" s="14" t="inlineStr">
        <is>
          <t>15000.0</t>
        </is>
      </c>
      <c r="M180" s="14" t="inlineStr">
        <is>
          <t>-</t>
        </is>
      </c>
      <c r="N180" s="25" t="inlineStr">
        <is>
          <t>NEW</t>
        </is>
      </c>
      <c r="O180" s="14" t="inlineStr">
        <is>
          <t>غير متوافقة</t>
        </is>
      </c>
      <c r="P180" s="22">
        <f>HYPERLINK("https://kuwaitalyawm.media.gov.kw/flip/index?id=5599&amp;no=233", "عرض المصدر")</f>
        <v/>
      </c>
    </row>
    <row r="181">
      <c r="A181" s="11" t="inlineStr">
        <is>
          <t>RFP/2158821</t>
        </is>
      </c>
      <c r="B181" s="11" t="inlineStr">
        <is>
          <t>شركة البترول الوطنية الكويتية</t>
        </is>
      </c>
      <c r="C181" s="11" t="inlineStr">
        <is>
          <t>Abrar Al-Qallaf</t>
        </is>
      </c>
      <c r="D181" s="11" t="inlineStr">
        <is>
          <t>ممارسة رقم RFP/2158821: توريد مواد ومهمات تشغيلية لزوم شركة البترول الوطنية الكويتية - شركة البترول الوطنية الكويتية</t>
        </is>
      </c>
      <c r="E181" s="11" t="inlineStr">
        <is>
          <t>أعمال وتوريدات تخصصية لزوم شركة البترول الوطنية الكويتية حسب وثائق الممارسة رقم RFP/2158821 عبر منصة K-Tendering.</t>
        </is>
      </c>
      <c r="F181" s="11" t="inlineStr">
        <is>
          <t>وفقاً لشروط وإجراءات المناقصات والتوريد لدى شركة البترول الوطنية الكويتية (KNPC)</t>
        </is>
      </c>
      <c r="G181" s="12" t="inlineStr">
        <is>
          <t>عام</t>
        </is>
      </c>
      <c r="H181" s="12" t="inlineStr">
        <is>
          <t>15.0%</t>
        </is>
      </c>
      <c r="I181" s="12" t="inlineStr">
        <is>
          <t>oil_and_gas</t>
        </is>
      </c>
      <c r="J181" s="12" t="inlineStr">
        <is>
          <t>2026-09-27</t>
        </is>
      </c>
      <c r="K181" s="12" t="inlineStr">
        <is>
          <t>-</t>
        </is>
      </c>
      <c r="L181" s="12" t="inlineStr">
        <is>
          <t>-</t>
        </is>
      </c>
      <c r="M181" s="12" t="inlineStr">
        <is>
          <t>-</t>
        </is>
      </c>
      <c r="N181" s="25" t="inlineStr">
        <is>
          <t>NEW</t>
        </is>
      </c>
      <c r="O181" s="12" t="inlineStr">
        <is>
          <t>غير متوافقة</t>
        </is>
      </c>
      <c r="P181" s="23">
        <f>HYPERLINK("https://kuwaitalyawm.media.gov.kw/flip/index?id=5599&amp;no=234", "عرض المصدر")</f>
        <v/>
      </c>
    </row>
    <row r="182">
      <c r="A182" s="13" t="inlineStr">
        <is>
          <t>RFP/2162144</t>
        </is>
      </c>
      <c r="B182" s="13" t="inlineStr">
        <is>
          <t>شركة البترول الوطنية الكويتية</t>
        </is>
      </c>
      <c r="C182" s="13" t="inlineStr">
        <is>
          <t>Abrar Al-Qallaf</t>
        </is>
      </c>
      <c r="D182" s="13" t="inlineStr">
        <is>
          <t>ممارسة رقم RFP/2162144: توريد مواد ومهمات تشغيلية لزوم شركة البترول الوطنية الكويتية - شركة البترول الوطنية الكويتية</t>
        </is>
      </c>
      <c r="E182" s="13" t="inlineStr">
        <is>
          <t>أعمال وتوريدات تخصصية لزوم شركة البترول الوطنية الكويتية حسب وثائق الممارسة رقم RFP/2162144 عبر منصة K-Tendering.</t>
        </is>
      </c>
      <c r="F182" s="13" t="inlineStr">
        <is>
          <t>وفقاً لشروط وإجراءات المناقصات والتوريد لدى شركة البترول الوطنية الكويتية (KNPC)</t>
        </is>
      </c>
      <c r="G182" s="14" t="inlineStr">
        <is>
          <t>عام</t>
        </is>
      </c>
      <c r="H182" s="14" t="inlineStr">
        <is>
          <t>15.0%</t>
        </is>
      </c>
      <c r="I182" s="14" t="inlineStr">
        <is>
          <t>oil_and_gas</t>
        </is>
      </c>
      <c r="J182" s="14" t="inlineStr">
        <is>
          <t>2026-09-27</t>
        </is>
      </c>
      <c r="K182" s="14" t="inlineStr">
        <is>
          <t>2026-10-12</t>
        </is>
      </c>
      <c r="L182" s="14" t="inlineStr">
        <is>
          <t>-</t>
        </is>
      </c>
      <c r="M182" s="14" t="inlineStr">
        <is>
          <t>-</t>
        </is>
      </c>
      <c r="N182" s="26" t="inlineStr">
        <is>
          <t>UNCHANGED</t>
        </is>
      </c>
      <c r="O182" s="14" t="inlineStr">
        <is>
          <t>غير متوافقة</t>
        </is>
      </c>
      <c r="P182" s="22">
        <f>HYPERLINK("https://kuwaitalyawm.media.gov.kw/flip/index?id=5599&amp;no=234", "عرض المصدر")</f>
        <v/>
      </c>
    </row>
    <row r="183">
      <c r="A183" s="11" t="inlineStr">
        <is>
          <t>RFP/2163368</t>
        </is>
      </c>
      <c r="B183" s="11" t="inlineStr">
        <is>
          <t>شركة البترول الوطنية الكويتية</t>
        </is>
      </c>
      <c r="C183" s="11" t="inlineStr">
        <is>
          <t>Abrar Al-Qallaf</t>
        </is>
      </c>
      <c r="D183" s="11" t="inlineStr">
        <is>
          <t>ممارسة رقم RFP/2163368: توريد مواد ومهمات تشغيلية لزوم شركة البترول الوطنية الكويتية - شركة البترول الوطنية الكويتية</t>
        </is>
      </c>
      <c r="E183" s="11" t="inlineStr">
        <is>
          <t>أعمال وتوريدات تخصصية لزوم شركة البترول الوطنية الكويتية حسب وثائق الممارسة رقم RFP/2163368 عبر منصة K-Tendering.</t>
        </is>
      </c>
      <c r="F183" s="11" t="inlineStr">
        <is>
          <t>وفقاً لشروط وإجراءات المناقصات والتوريد لدى شركة البترول الوطنية الكويتية (KNPC)</t>
        </is>
      </c>
      <c r="G183" s="12" t="inlineStr">
        <is>
          <t>عام</t>
        </is>
      </c>
      <c r="H183" s="12" t="inlineStr">
        <is>
          <t>15.0%</t>
        </is>
      </c>
      <c r="I183" s="12" t="inlineStr">
        <is>
          <t>oil_and_gas</t>
        </is>
      </c>
      <c r="J183" s="12" t="inlineStr">
        <is>
          <t>2026-09-27</t>
        </is>
      </c>
      <c r="K183" s="12" t="inlineStr">
        <is>
          <t>-</t>
        </is>
      </c>
      <c r="L183" s="12" t="inlineStr">
        <is>
          <t>30000.0</t>
        </is>
      </c>
      <c r="M183" s="12" t="inlineStr">
        <is>
          <t>-</t>
        </is>
      </c>
      <c r="N183" s="26" t="inlineStr">
        <is>
          <t>UNCHANGED</t>
        </is>
      </c>
      <c r="O183" s="12" t="inlineStr">
        <is>
          <t>غير متوافقة</t>
        </is>
      </c>
      <c r="P183" s="23">
        <f>HYPERLINK("https://kuwaitalyawm.media.gov.kw/flip/index?id=5589&amp;no=190", "عرض المصدر")</f>
        <v/>
      </c>
    </row>
    <row r="184">
      <c r="A184" s="13" t="inlineStr">
        <is>
          <t>RFP/2163398</t>
        </is>
      </c>
      <c r="B184" s="13" t="inlineStr">
        <is>
          <t>شركة البترول الوطنية الكويتية</t>
        </is>
      </c>
      <c r="C184" s="13" t="inlineStr">
        <is>
          <t>Abrar Al-Qallaf</t>
        </is>
      </c>
      <c r="D184" s="13" t="inlineStr">
        <is>
          <t>ممارسة رقم RFP/2163398: توريد مواد ومهمات تشغيلية لزوم شركة البترول الوطنية الكويتية - شركة البترول الوطنية الكويتية</t>
        </is>
      </c>
      <c r="E184" s="13" t="inlineStr">
        <is>
          <t>أعمال وتوريدات تخصصية لزوم شركة البترول الوطنية الكويتية حسب وثائق الممارسة رقم RFP/2163398 عبر منصة K-Tendering.</t>
        </is>
      </c>
      <c r="F184" s="13" t="inlineStr">
        <is>
          <t>وفقاً لشروط وإجراءات المناقصات والتوريد لدى شركة البترول الوطنية الكويتية (KNPC)</t>
        </is>
      </c>
      <c r="G184" s="14" t="inlineStr">
        <is>
          <t>عام</t>
        </is>
      </c>
      <c r="H184" s="14" t="inlineStr">
        <is>
          <t>15.0%</t>
        </is>
      </c>
      <c r="I184" s="14" t="inlineStr">
        <is>
          <t>oil_and_gas</t>
        </is>
      </c>
      <c r="J184" s="14" t="inlineStr">
        <is>
          <t>2026-09-27</t>
        </is>
      </c>
      <c r="K184" s="14" t="inlineStr">
        <is>
          <t>-</t>
        </is>
      </c>
      <c r="L184" s="14" t="inlineStr">
        <is>
          <t>50000.0</t>
        </is>
      </c>
      <c r="M184" s="14" t="inlineStr">
        <is>
          <t>-</t>
        </is>
      </c>
      <c r="N184" s="26" t="inlineStr">
        <is>
          <t>UNCHANGED</t>
        </is>
      </c>
      <c r="O184" s="14" t="inlineStr">
        <is>
          <t>غير متوافقة</t>
        </is>
      </c>
      <c r="P184" s="22">
        <f>HYPERLINK("https://kuwaitalyawm.media.gov.kw/flip/index?id=5599&amp;no=236", "عرض المصدر")</f>
        <v/>
      </c>
    </row>
    <row r="185">
      <c r="A185" s="11" t="inlineStr">
        <is>
          <t>RFP/2165997</t>
        </is>
      </c>
      <c r="B185" s="11" t="inlineStr">
        <is>
          <t>شركة البترول الوطنية الكويتية</t>
        </is>
      </c>
      <c r="C185" s="11" t="inlineStr">
        <is>
          <t>Abrar Al-Qallaf</t>
        </is>
      </c>
      <c r="D185" s="11" t="inlineStr">
        <is>
          <t>ممارسة رقم RFP/2165997: توريد مواد ومهمات تشغيلية لزوم شركة البترول الوطنية الكويتية - شركة البترول الوطنية الكويتية</t>
        </is>
      </c>
      <c r="E185" s="11" t="inlineStr">
        <is>
          <t>أعمال وتوريدات تخصصية لزوم شركة البترول الوطنية الكويتية حسب وثائق الممارسة رقم RFP/2165997 عبر منصة K-Tendering.</t>
        </is>
      </c>
      <c r="F185" s="11" t="inlineStr">
        <is>
          <t>وفقاً لشروط وإجراءات المناقصات والتوريد لدى شركة البترول الوطنية الكويتية (KNPC)</t>
        </is>
      </c>
      <c r="G185" s="12" t="inlineStr">
        <is>
          <t>عام</t>
        </is>
      </c>
      <c r="H185" s="12" t="inlineStr">
        <is>
          <t>15.0%</t>
        </is>
      </c>
      <c r="I185" s="12" t="inlineStr">
        <is>
          <t>oil_and_gas</t>
        </is>
      </c>
      <c r="J185" s="12" t="inlineStr">
        <is>
          <t>2026-09-27</t>
        </is>
      </c>
      <c r="K185" s="12" t="inlineStr">
        <is>
          <t>-</t>
        </is>
      </c>
      <c r="L185" s="12" t="inlineStr">
        <is>
          <t>-</t>
        </is>
      </c>
      <c r="M185" s="12" t="inlineStr">
        <is>
          <t>250.0</t>
        </is>
      </c>
      <c r="N185" s="26" t="inlineStr">
        <is>
          <t>UNCHANGED</t>
        </is>
      </c>
      <c r="O185" s="12" t="inlineStr">
        <is>
          <t>غير متوافقة</t>
        </is>
      </c>
      <c r="P185" s="23">
        <f>HYPERLINK("https://kuwaitalyawm.media.gov.kw/flip/index?id=5599&amp;no=238", "عرض المصدر")</f>
        <v/>
      </c>
    </row>
    <row r="186">
      <c r="A186" s="13" t="inlineStr">
        <is>
          <t>RFP-2162140</t>
        </is>
      </c>
      <c r="B186" s="13" t="inlineStr">
        <is>
          <t>شركة البترول الوطنية الكويتية</t>
        </is>
      </c>
      <c r="C186" s="13" t="inlineStr">
        <is>
          <t>Abrar Al-Qallaf</t>
        </is>
      </c>
      <c r="D186" s="13" t="inlineStr">
        <is>
          <t>ممارسة رقم RFP-2162140: توريد مواد ومهمات تشغيلية لزوم شركة البترول الوطنية الكويتية - شركة البترول الوطنية الكويتية</t>
        </is>
      </c>
      <c r="E186" s="13" t="inlineStr">
        <is>
          <t>أعمال وتوريدات تخصصية لزوم شركة البترول الوطنية الكويتية حسب وثائق الممارسة رقم RFP-2162140 عبر منصة K-Tendering.</t>
        </is>
      </c>
      <c r="F186" s="13" t="inlineStr">
        <is>
          <t>وفقاً لشروط وإجراءات المناقصات والتوريد لدى شركة البترول الوطنية الكويتية (KNPC) عبر منصة K-Tendering.</t>
        </is>
      </c>
      <c r="G186" s="14" t="inlineStr">
        <is>
          <t>عام</t>
        </is>
      </c>
      <c r="H186" s="14" t="inlineStr">
        <is>
          <t>15.0%</t>
        </is>
      </c>
      <c r="I186" s="14" t="inlineStr">
        <is>
          <t>oil_and_gas</t>
        </is>
      </c>
      <c r="J186" s="14" t="inlineStr">
        <is>
          <t>2026-09-27</t>
        </is>
      </c>
      <c r="K186" s="14" t="inlineStr">
        <is>
          <t>2026-12-22</t>
        </is>
      </c>
      <c r="L186" s="14" t="inlineStr">
        <is>
          <t>170000.000 KWD</t>
        </is>
      </c>
      <c r="M186" s="14" t="inlineStr">
        <is>
          <t>3500.000 KWD</t>
        </is>
      </c>
      <c r="N186" s="26" t="inlineStr">
        <is>
          <t>UNCHANGED</t>
        </is>
      </c>
      <c r="O186" s="14" t="inlineStr">
        <is>
          <t>غير متوافقة</t>
        </is>
      </c>
      <c r="P186" s="22">
        <f>HYPERLINK("https://capt.gov.kw/ar/tenders/opening-tenders/#card-2", "عرض المصدر")</f>
        <v/>
      </c>
    </row>
    <row r="187">
      <c r="A187" s="11" t="inlineStr">
        <is>
          <t>MNA-19-2026</t>
        </is>
      </c>
      <c r="B187" s="11" t="inlineStr">
        <is>
          <t>شركة صناعة الكيماويات البترولية</t>
        </is>
      </c>
      <c r="C187" s="11" t="inlineStr">
        <is>
          <t>Abrar Al-Qallaf</t>
        </is>
      </c>
      <c r="D187" s="11" t="inlineStr">
        <is>
          <t>مناقصة رقم MNA-19-2026: Network Maintenance and Managed Network Support Services (صيانة الشبكات والدعم المدار) - شركة صناعة الكيماويات البترولية</t>
        </is>
      </c>
      <c r="E187" s="11" t="inlineStr">
        <is>
          <t>تقديم خدمات صيانة الشبكات والدعم الفني المدار (Managed Network Support Services)، دعم وإدارة أجهزة وسويتشات سيسكو (Cisco Switches &amp; Routers)، أجهزة أمن وحماية الشبكات، ودعم فني مدار على مدار الساعة 24x7 لشركة PIC.</t>
        </is>
      </c>
      <c r="F187" s="11" t="inlineStr">
        <is>
          <t>• The Bidder MUST hold valid certifications covering:
  - Cisco Managed Services Providers Certificate
  - Cisco Preferred Networking Partner Certificate
  - Cisco Preferred Security Partner Certificate
  - Cisco Collaboration Partner Certificate
• Must be an established Kuwaiti Company with local offices and local staff.
• Must have at least five (5) years of experience in providing Managed Services.
• Must be Certified ISO 20000 IT Service Management (ITSM).
• The Managed Services Centers must be ISO 27001 and ISO 27017 certified.
• Must be ISO 22301 (Business Continuity Management) certified.
• Must have at least 2 similar Managed Services projects in Kuwait (min KWD 100,000 each past 10 years).
• All submitted Cisco certificates must have minimum validity of 6 months.
• موعد إقفال المناقصة: 06/10/2026 الساعة 01:00 ظهراً عبر منصة K-Tendering.
• تأمين أولي: 15,000 د.ك صالح لمدة 90 يوماً | رسوم الوثيقة: 500 د.ك.</t>
        </is>
      </c>
      <c r="G187" s="24" t="inlineStr">
        <is>
          <t>قطاع العمليات المدارة والدعم الفني متعدد الموردين</t>
        </is>
      </c>
      <c r="H187" s="12" t="inlineStr">
        <is>
          <t>95.0%</t>
        </is>
      </c>
      <c r="I187" s="12" t="inlineStr">
        <is>
          <t>oil_and_gas</t>
        </is>
      </c>
      <c r="J187" s="12" t="inlineStr">
        <is>
          <t>2026-09-06</t>
        </is>
      </c>
      <c r="K187" s="12" t="inlineStr">
        <is>
          <t>2026-10-06</t>
        </is>
      </c>
      <c r="L187" s="12" t="inlineStr">
        <is>
          <t>15000.0</t>
        </is>
      </c>
      <c r="M187" s="12" t="inlineStr">
        <is>
          <t>-</t>
        </is>
      </c>
      <c r="N187" s="25" t="inlineStr">
        <is>
          <t>NEW</t>
        </is>
      </c>
      <c r="O187" s="12" t="inlineStr">
        <is>
          <t>موصى بالتقديم</t>
        </is>
      </c>
      <c r="P187" s="23">
        <f>HYPERLINK("https://kuwaitalyawm.media.gov.kw/Online/ViewAdsHTML?id=169424&amp;no=1", "عرض المصدر")</f>
        <v/>
      </c>
    </row>
    <row r="188">
      <c r="A188" s="13" t="inlineStr">
        <is>
          <t>MNA-24-2026</t>
        </is>
      </c>
      <c r="B188" s="13" t="inlineStr">
        <is>
          <t>شركة صناعة الكيماويات البترولية</t>
        </is>
      </c>
      <c r="C188" s="13" t="inlineStr">
        <is>
          <t>Abrar Al-Qallaf</t>
        </is>
      </c>
      <c r="D188" s="13" t="inlineStr">
        <is>
          <t>مناقصة رقم MNA-24-2026: IBM Maximo Application Suite (MAS) MAS-IT (ICD) License Renewal and Support Services - شركة صناعة الكيماويات البترولية</t>
        </is>
      </c>
      <c r="E188" s="13" t="inlineStr">
        <is>
          <t>تجديد تراخيص ودعم برمجيات IBM Maximo Application Suite (MAS) و MAS-IT (نظام إدارة خدمات تكنولوجيا المعلومات سابقاً ICD) لشركة PIC لضمان استمرارية الأعمال ودعم مبادرات التحول الرقمي والذكاء الاصطناعي وتحديث العمليات.</t>
        </is>
      </c>
      <c r="F188" s="13" t="inlineStr">
        <is>
          <t>• The bidder must be an authorized IBM partner/reseller in Kuwait as per IBM online partner directory under VAR/Reseller/Solution Provider category.
• Official partnership letter should be provided (failing to meet these qualifications will lead to disqualification).
• موعد إقفال المناقصة: 06/10/2026 الساعة 01:00 ظهراً عبر منصة K-Tendering.
• تأمين أولي: 15,000 د.ك صالح لمدة 90 يوماً | رسوم الوثيقة: 500 د.ك.
• موعد الاجتماع التمهيدي الافتراضي: 14/09/2026 الساعة 10:00 صباحاً.</t>
        </is>
      </c>
      <c r="G188" s="24" t="inlineStr">
        <is>
          <t>قطاع برمجيات IBM وحلول الذكاء الاصطناعي وRed Hat</t>
        </is>
      </c>
      <c r="H188" s="14" t="inlineStr">
        <is>
          <t>95.0%</t>
        </is>
      </c>
      <c r="I188" s="14" t="inlineStr">
        <is>
          <t>oil_and_gas</t>
        </is>
      </c>
      <c r="J188" s="14" t="inlineStr">
        <is>
          <t>2026-09-06</t>
        </is>
      </c>
      <c r="K188" s="14" t="inlineStr">
        <is>
          <t>2026-10-06</t>
        </is>
      </c>
      <c r="L188" s="14" t="inlineStr">
        <is>
          <t>15000.0</t>
        </is>
      </c>
      <c r="M188" s="14" t="inlineStr">
        <is>
          <t>-</t>
        </is>
      </c>
      <c r="N188" s="25" t="inlineStr">
        <is>
          <t>NEW</t>
        </is>
      </c>
      <c r="O188" s="14" t="inlineStr">
        <is>
          <t>موصى بالتقديم</t>
        </is>
      </c>
      <c r="P188" s="22">
        <f>HYPERLINK("https://kuwaitalyawm.media.gov.kw/Online/ViewAdsHTML?id=169425&amp;no=1", "عرض المصدر")</f>
        <v/>
      </c>
    </row>
    <row r="189">
      <c r="A189" s="11" t="inlineStr">
        <is>
          <t>2147428</t>
        </is>
      </c>
      <c r="B189" s="11" t="inlineStr">
        <is>
          <t>شركة نفط الكويت</t>
        </is>
      </c>
      <c r="C189" s="11" t="inlineStr">
        <is>
          <t>Ahmed Habib</t>
        </is>
      </c>
      <c r="D189" s="11" t="inlineStr">
        <is>
          <t>تقديم خدمات الامن السيبراني المدارة</t>
        </is>
      </c>
      <c r="E189" s="11" t="inlineStr">
        <is>
          <t>أعمال وتوريدات تقديم خدمات الامن السيبراني المدارة لصالح شركة نفط الكويت وفقاً للشروط والمواصفات المعتمدة في وثائق الطرح.</t>
        </is>
      </c>
      <c r="F18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89" s="12" t="inlineStr">
        <is>
          <t>قطاع الأمن السيبراني والدفاع الرقمي</t>
        </is>
      </c>
      <c r="H189" s="12" t="inlineStr">
        <is>
          <t>47.0%</t>
        </is>
      </c>
      <c r="I189" s="12" t="inlineStr">
        <is>
          <t>oil_and_gas</t>
        </is>
      </c>
      <c r="J189" s="12" t="inlineStr">
        <is>
          <t>2026-08-23</t>
        </is>
      </c>
      <c r="K189" s="12" t="inlineStr">
        <is>
          <t>2026-11-17</t>
        </is>
      </c>
      <c r="L189" s="12" t="inlineStr">
        <is>
          <t>220000.000 KWD</t>
        </is>
      </c>
      <c r="M189" s="12" t="inlineStr">
        <is>
          <t>3500.000 KWD</t>
        </is>
      </c>
      <c r="N189" s="25" t="inlineStr">
        <is>
          <t>NEW</t>
        </is>
      </c>
      <c r="O189" s="12" t="inlineStr">
        <is>
          <t>فرصة تتطلب شراكة أو دراسة نطاق</t>
        </is>
      </c>
      <c r="P189" s="23">
        <f>HYPERLINK("https://capt.gov.kw/ar/tenders/opening-tenders/#card-9", "عرض المصدر")</f>
        <v/>
      </c>
    </row>
    <row r="190">
      <c r="A190" s="13" t="inlineStr">
        <is>
          <t>P&amp;MAB-04/2025</t>
        </is>
      </c>
      <c r="B190" s="13" t="inlineStr">
        <is>
          <t>شركة نفط الكويت</t>
        </is>
      </c>
      <c r="C190" s="13" t="inlineStr">
        <is>
          <t>Ahmed Habib</t>
        </is>
      </c>
      <c r="D190" s="13" t="inlineStr">
        <is>
          <t>ممارسة رقم P&amp;MAB-04/2025: ممارسة التصميم والإشراف على مشروع أرض مساحتها</t>
        </is>
      </c>
      <c r="E190" s="13" t="inlineStr">
        <is>
          <t>أعمال وتوريدات ممارسة رقم P&amp;MAB-04/2025: ممارسة التصميم والإشراف على مشروع أرض مساحتها لصالح شركة ناقلات النفط الكويتية وفقاً للشروط والمواصفات المعتمدة في وثائق الطرح.</t>
        </is>
      </c>
      <c r="F190" s="13" t="inlineStr">
        <is>
          <t>وفقاً لشروط وإجراءات المناقصات والتوريد لدى شركة البترول الوطنية الكويتية (KNPC)</t>
        </is>
      </c>
      <c r="G190" s="14" t="inlineStr">
        <is>
          <t>عام</t>
        </is>
      </c>
      <c r="H190" s="14" t="inlineStr">
        <is>
          <t>15.0%</t>
        </is>
      </c>
      <c r="I190" s="14" t="inlineStr">
        <is>
          <t>oil_and_gas</t>
        </is>
      </c>
      <c r="J190" s="14" t="inlineStr">
        <is>
          <t>2026-09-27</t>
        </is>
      </c>
      <c r="K190" s="14" t="inlineStr">
        <is>
          <t>2026-11-03</t>
        </is>
      </c>
      <c r="L190" s="14" t="inlineStr">
        <is>
          <t>2500.0 KWD</t>
        </is>
      </c>
      <c r="M190" s="14" t="inlineStr">
        <is>
          <t>-</t>
        </is>
      </c>
      <c r="N190" s="21" t="inlineStr">
        <is>
          <t>UPDATED</t>
        </is>
      </c>
      <c r="O190" s="14" t="inlineStr">
        <is>
          <t>غير متوافقة مع اختصاصات KBM</t>
        </is>
      </c>
      <c r="P190" s="22">
        <f>HYPERLINK("https://kuwaitalyawm.media.gov.kw/flip/index?id=5599&amp;no=227", "عرض المصدر")</f>
        <v/>
      </c>
    </row>
    <row r="191">
      <c r="A191" s="11" t="inlineStr">
        <is>
          <t>و ك م/63/2025/2026</t>
        </is>
      </c>
      <c r="B191" s="11" t="inlineStr">
        <is>
          <t>وزارة الكهرباء والماء والطاقة المتجددة</t>
        </is>
      </c>
      <c r="C191" s="11" t="inlineStr">
        <is>
          <t>Raed Obeid</t>
        </is>
      </c>
      <c r="D191" s="11" t="inlineStr">
        <is>
          <t>اصلاح وتوريد وتركيب خطوط هوائية ضغط متوسط 11 ك.ف وضغط منخفض والأعمال المدنية المتعلقة بهما في المنطقة الجنوبية</t>
        </is>
      </c>
      <c r="E191" s="11" t="inlineStr">
        <is>
          <t>أعمال وتوريدات اصلاح وتوريد وتركيب خطوط هوائية ضغط متوسط 11 ك.ف وضغط منخفض والأعمال المدنية المتعلقة بهما في المنطقة الجنوبية لصالح وزارة الكهرباء والماء والطاقة المتجددة وفقاً للشروط والمواصفات المعتمدة في وثائق الطرح.</t>
        </is>
      </c>
      <c r="F19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91" s="12" t="inlineStr">
        <is>
          <t>عام</t>
        </is>
      </c>
      <c r="H191" s="12" t="inlineStr">
        <is>
          <t>15.0%</t>
        </is>
      </c>
      <c r="I191" s="12" t="inlineStr">
        <is>
          <t>oil_and_gas</t>
        </is>
      </c>
      <c r="J191" s="12" t="inlineStr">
        <is>
          <t>2026-10-04</t>
        </is>
      </c>
      <c r="K191" s="12" t="inlineStr">
        <is>
          <t>2026-12-29</t>
        </is>
      </c>
      <c r="L191" s="12" t="inlineStr">
        <is>
          <t>45000.000 KWD</t>
        </is>
      </c>
      <c r="M191" s="12" t="inlineStr">
        <is>
          <t>1000.000 KWD</t>
        </is>
      </c>
      <c r="N191" s="26" t="inlineStr">
        <is>
          <t>UNCHANGED</t>
        </is>
      </c>
      <c r="O191" s="12" t="inlineStr">
        <is>
          <t>غير متوافقة مع اختصاصات KBM</t>
        </is>
      </c>
      <c r="P191" s="23">
        <f>HYPERLINK("https://capt.gov.kw/ar/tenders/opening-tenders/#card-6", "عرض المصدر")</f>
        <v/>
      </c>
    </row>
    <row r="192">
      <c r="A192" s="13" t="inlineStr">
        <is>
          <t>و ك م/35/2024/2025</t>
        </is>
      </c>
      <c r="B192" s="13" t="inlineStr">
        <is>
          <t>وزارة الكهرباء والماء والطاقة المتجددة</t>
        </is>
      </c>
      <c r="C192" s="13" t="inlineStr">
        <is>
          <t>Raed Obeid</t>
        </is>
      </c>
      <c r="D192" s="13" t="inlineStr">
        <is>
          <t>إنشاء وإنجاز وصيانة خطي مياه عذبة قطر 1600مم من مجمع توزيع مياه ميناء عبدالله إلى مجمع غرب الفنيطيس وخط مياه قليل الملوحة قطر 1200مم من مجمع ميناء عبدالله إلى مجمع الزور والأعمال الملحقة</t>
        </is>
      </c>
      <c r="E192" s="13" t="inlineStr">
        <is>
          <t>تنفيذ الأعمال المدنية والإنشائية والترميم والصيانة العامة للمباني والمنشآت والمرافق التابعة للجهة.</t>
        </is>
      </c>
      <c r="F19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92" s="14" t="inlineStr">
        <is>
          <t>عام</t>
        </is>
      </c>
      <c r="H192" s="14" t="inlineStr">
        <is>
          <t>15.0%</t>
        </is>
      </c>
      <c r="I192" s="14" t="inlineStr">
        <is>
          <t>oil_and_gas</t>
        </is>
      </c>
      <c r="J192" s="14" t="inlineStr">
        <is>
          <t>2026-10-04</t>
        </is>
      </c>
      <c r="K192" s="14" t="inlineStr">
        <is>
          <t>2026-11-03</t>
        </is>
      </c>
      <c r="L192" s="14" t="inlineStr">
        <is>
          <t>850000.000 KWD</t>
        </is>
      </c>
      <c r="M192" s="14" t="inlineStr">
        <is>
          <t>10000.000 KWD</t>
        </is>
      </c>
      <c r="N192" s="26" t="inlineStr">
        <is>
          <t>UNCHANGED</t>
        </is>
      </c>
      <c r="O192" s="14" t="inlineStr">
        <is>
          <t>غير متوافقة مع اختصاصات KBM</t>
        </is>
      </c>
      <c r="P192" s="22">
        <f>HYPERLINK("https://capt.gov.kw/ar/tenders/opening-tenders/#card-5", "عرض المصدر")</f>
        <v/>
      </c>
    </row>
    <row r="193">
      <c r="A193" s="11" t="inlineStr">
        <is>
          <t>و ك م/22/2025/2026</t>
        </is>
      </c>
      <c r="B193" s="11" t="inlineStr">
        <is>
          <t>وزارة الكهرباء والماء والطاقة المتجددة</t>
        </is>
      </c>
      <c r="C193" s="11" t="inlineStr">
        <is>
          <t>Raed Obeid</t>
        </is>
      </c>
      <c r="D193" s="11" t="inlineStr">
        <is>
          <t>أعمال صيانة البطاريات وشواحنها بمحطات التحويل الرئيسية</t>
        </is>
      </c>
      <c r="E193" s="11" t="inlineStr">
        <is>
          <t>أعمال وتوريدات أعمال صيانة البطاريات وشواحنها بمحطات التحويل الرئيسية لصالح وزارة الكهرباء والماء والطاقة المتجددة وفقاً للشروط والمواصفات المعتمدة في وثائق الطرح.</t>
        </is>
      </c>
      <c r="F19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93" s="12" t="inlineStr">
        <is>
          <t>عام</t>
        </is>
      </c>
      <c r="H193" s="12" t="inlineStr">
        <is>
          <t>15.0%</t>
        </is>
      </c>
      <c r="I193" s="12" t="inlineStr">
        <is>
          <t>oil_and_gas</t>
        </is>
      </c>
      <c r="J193" s="12" t="inlineStr">
        <is>
          <t>2026-10-11</t>
        </is>
      </c>
      <c r="K193" s="12" t="inlineStr">
        <is>
          <t>2026-11-10</t>
        </is>
      </c>
      <c r="L193" s="12" t="inlineStr">
        <is>
          <t>45000.000 KWD</t>
        </is>
      </c>
      <c r="M193" s="12" t="inlineStr">
        <is>
          <t>1000.000 KWD</t>
        </is>
      </c>
      <c r="N193" s="26" t="inlineStr">
        <is>
          <t>UNCHANGED</t>
        </is>
      </c>
      <c r="O193" s="12" t="inlineStr">
        <is>
          <t>غير متوافقة مع اختصاصات KBM</t>
        </is>
      </c>
      <c r="P193" s="23">
        <f>HYPERLINK("https://capt.gov.kw/ar/tenders/opening-tenders/#card-9", "عرض المصدر")</f>
        <v/>
      </c>
    </row>
    <row r="194">
      <c r="A194" s="13" t="inlineStr">
        <is>
          <t>ممارسة و.ك.م/11-2024/2025</t>
        </is>
      </c>
      <c r="B194" s="13" t="inlineStr">
        <is>
          <t>وزارة الكهرباء والماء والطاقة المتجددة</t>
        </is>
      </c>
      <c r="C194" s="13" t="inlineStr">
        <is>
          <t>Raed Obeid</t>
        </is>
      </c>
      <c r="D194" s="13" t="inlineStr">
        <is>
          <t>أعمال الخدمات الإستشارية للدراسات وتشغيل الشبكة الكهربائية</t>
        </is>
      </c>
      <c r="E194" s="13" t="inlineStr">
        <is>
          <t>تنفيذ أعمال أعمال الخدمات الإستشارية للدراسات وتشغيل الشبكة الكهربائية، وتوفير كافة الأجهزة والمعدات والأنظمة وخدمات الدعم الفني والضمان وفقاً لكراسة الشروط والمواصفات الفنية.</t>
        </is>
      </c>
      <c r="F19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94" s="14" t="inlineStr">
        <is>
          <t>عام</t>
        </is>
      </c>
      <c r="H194" s="14" t="inlineStr">
        <is>
          <t>15.0%</t>
        </is>
      </c>
      <c r="I194" s="14" t="inlineStr">
        <is>
          <t>oil_and_gas</t>
        </is>
      </c>
      <c r="J194" s="14" t="inlineStr">
        <is>
          <t>2026-10-11</t>
        </is>
      </c>
      <c r="K194" s="14" t="inlineStr">
        <is>
          <t>2026-11-10</t>
        </is>
      </c>
      <c r="L194" s="14" t="inlineStr">
        <is>
          <t>23000.000 KWD</t>
        </is>
      </c>
      <c r="M194" s="14" t="inlineStr">
        <is>
          <t>1000.000 KWD</t>
        </is>
      </c>
      <c r="N194" s="26" t="inlineStr">
        <is>
          <t>UNCHANGED</t>
        </is>
      </c>
      <c r="O194" s="14" t="inlineStr">
        <is>
          <t>غير متوافقة مع اختصاصات KBM</t>
        </is>
      </c>
      <c r="P194" s="22">
        <f>HYPERLINK("https://capt.gov.kw/ar/tenders/opening-tenders/#card-3", "عرض المصدر")</f>
        <v/>
      </c>
    </row>
    <row r="195">
      <c r="A195" s="11" t="inlineStr">
        <is>
          <t>15140/15567</t>
        </is>
      </c>
      <c r="B195" s="11" t="inlineStr">
        <is>
          <t>وزارة الكهرباء والماء والطاقة المتجددة</t>
        </is>
      </c>
      <c r="C195" s="11" t="inlineStr">
        <is>
          <t>Raed Obeid</t>
        </is>
      </c>
      <c r="D195" s="11" t="inlineStr">
        <is>
          <t>ممارسة رقم 15140/15567: الوقت النهائي لتقديم العطاءات : في تمام الساعة العاشرة والنصف صباحاً من اليوم المحدد بالإعلان أدناه المقرر لإيداع العطاءات ولن يقبل أي عطاء يرد بعد ذلك.</t>
        </is>
      </c>
      <c r="E195" s="11" t="inlineStr">
        <is>
          <t>أعمال وتوريدات في تمام الساعة العاشرة والنصف صباحاً من اليوم المحدد بالإعلان أدناه المقرر لإيداع العطاءات ولن يقبل أي عطاء يرد بعد ذلك. لصالح وزارة الكهرباء والماء وفقاً للشروط والمواصفات المعتمدة في وثائق الطرح.</t>
        </is>
      </c>
      <c r="F19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95" s="12" t="inlineStr">
        <is>
          <t>عام</t>
        </is>
      </c>
      <c r="H195" s="12" t="inlineStr">
        <is>
          <t>15.0%</t>
        </is>
      </c>
      <c r="I195" s="12" t="inlineStr">
        <is>
          <t>oil_and_gas</t>
        </is>
      </c>
      <c r="J195" s="12" t="inlineStr">
        <is>
          <t>2026-09-27</t>
        </is>
      </c>
      <c r="K195" s="18" t="inlineStr">
        <is>
          <t>2026-10-20</t>
        </is>
      </c>
      <c r="L195" s="12" t="inlineStr">
        <is>
          <t>-</t>
        </is>
      </c>
      <c r="M195" s="12" t="inlineStr">
        <is>
          <t>10.0 KWD</t>
        </is>
      </c>
      <c r="N195" s="21" t="inlineStr">
        <is>
          <t>UPDATED</t>
        </is>
      </c>
      <c r="O195" s="12" t="inlineStr">
        <is>
          <t>غير متوافقة مع اختصاصات KBM</t>
        </is>
      </c>
      <c r="P195" s="23">
        <f>HYPERLINK("https://kuwaitalyawm.media.gov.kw/Online/ViewAdsHTML?id=171669&amp;no=1", "عرض المصدر")</f>
        <v/>
      </c>
    </row>
    <row r="196">
      <c r="A196" s="13" t="inlineStr">
        <is>
          <t>15353/15580</t>
        </is>
      </c>
      <c r="B196" s="13" t="inlineStr">
        <is>
          <t>وزارة الكهرباء والماء والطاقة المتجددة</t>
        </is>
      </c>
      <c r="C196" s="13" t="inlineStr">
        <is>
          <t>Raed Obeid</t>
        </is>
      </c>
      <c r="D196" s="13" t="inlineStr">
        <is>
          <t>ممارسة رقم 15353/15580: الوقت النهائي لتقديم العطاءات : في تمام الساعة العاشرة والنصف صباحاً من اليوم المحدد بالإعلان أدناه المقرر لإيداع العطاءات ولن يقبل أي عطاء يرد بعد ذلك.</t>
        </is>
      </c>
      <c r="E196" s="13" t="inlineStr">
        <is>
          <t>أعمال وتوريدات في تمام الساعة العاشرة والنصف صباحاً من اليوم المحدد بالإعلان أدناه المقرر لإيداع العطاءات ولن يقبل أي عطاء يرد بعد ذلك. لصالح وزارة الكهرباء والماء والطاقة المتجددة وفقاً للشروط والمواصفات المعتمدة في وثائق الطرح.</t>
        </is>
      </c>
      <c r="F19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96" s="14" t="inlineStr">
        <is>
          <t>عام</t>
        </is>
      </c>
      <c r="H196" s="14" t="inlineStr">
        <is>
          <t>15.0%</t>
        </is>
      </c>
      <c r="I196" s="14" t="inlineStr">
        <is>
          <t>oil_and_gas</t>
        </is>
      </c>
      <c r="J196" s="14" t="inlineStr">
        <is>
          <t>2026-09-27</t>
        </is>
      </c>
      <c r="K196" s="14" t="inlineStr">
        <is>
          <t>-</t>
        </is>
      </c>
      <c r="L196" s="14" t="inlineStr">
        <is>
          <t>-</t>
        </is>
      </c>
      <c r="M196" s="14" t="inlineStr">
        <is>
          <t>7.0 KWD</t>
        </is>
      </c>
      <c r="N196" s="21" t="inlineStr">
        <is>
          <t>UPDATED</t>
        </is>
      </c>
      <c r="O196" s="14" t="inlineStr">
        <is>
          <t>غير متوافقة مع اختصاصات KBM</t>
        </is>
      </c>
      <c r="P196" s="22">
        <f>HYPERLINK("https://kuwaitalyawm.media.gov.kw/Online/ViewAdsHTML?id=171670&amp;no=1", "عرض المصدر")</f>
        <v/>
      </c>
    </row>
    <row r="197">
      <c r="A197" s="11" t="inlineStr">
        <is>
          <t>2027/2026/1</t>
        </is>
      </c>
      <c r="B197" s="11" t="inlineStr">
        <is>
          <t>وزارة الكهرباء والماء والطاقة المتجددة</t>
        </is>
      </c>
      <c r="C197" s="11" t="inlineStr">
        <is>
          <t>Raed Obeid</t>
        </is>
      </c>
      <c r="D197" s="11" t="inlineStr">
        <is>
          <t>ممارسة رقم 2027/2026/1: صيانة جهاز تحليل وقياس الكربون العضوي في الماء</t>
        </is>
      </c>
      <c r="E197" s="11" t="inlineStr">
        <is>
          <t>أعمال وتوريدات صيانة جهاز تحليل وقياس الكربون العضوي في الماء لصالح وزارة الكهرباء والماء وفقاً للشروط والمواصفات المعتمدة في وثائق الطرح.</t>
        </is>
      </c>
      <c r="F19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97" s="12" t="inlineStr">
        <is>
          <t>عام</t>
        </is>
      </c>
      <c r="H197" s="12" t="inlineStr">
        <is>
          <t>15.0%</t>
        </is>
      </c>
      <c r="I197" s="12" t="inlineStr">
        <is>
          <t>oil_and_gas</t>
        </is>
      </c>
      <c r="J197" s="12" t="inlineStr">
        <is>
          <t>2026-09-27</t>
        </is>
      </c>
      <c r="K197" s="12" t="inlineStr">
        <is>
          <t>2026-10-25</t>
        </is>
      </c>
      <c r="L197" s="12" t="inlineStr">
        <is>
          <t>600.0 KWD</t>
        </is>
      </c>
      <c r="M197" s="12" t="inlineStr">
        <is>
          <t>15.0 KWD</t>
        </is>
      </c>
      <c r="N197" s="21" t="inlineStr">
        <is>
          <t>UPDATED</t>
        </is>
      </c>
      <c r="O197" s="12" t="inlineStr">
        <is>
          <t>غير متوافقة مع اختصاصات KBM</t>
        </is>
      </c>
      <c r="P197" s="23">
        <f>HYPERLINK("https://kuwaitalyawm.media.gov.kw/Online/ViewAdsHTML?id=171671&amp;no=1", "عرض المصدر")</f>
        <v/>
      </c>
    </row>
    <row r="198">
      <c r="A198" s="13" t="inlineStr">
        <is>
          <t>و ك م /48/2025/2026</t>
        </is>
      </c>
      <c r="B198" s="13" t="inlineStr">
        <is>
          <t>وزارة الكهرباء والماء والطاقة المتجددة</t>
        </is>
      </c>
      <c r="C198" s="13" t="inlineStr">
        <is>
          <t>Raed Obeid</t>
        </is>
      </c>
      <c r="D198" s="13" t="inlineStr">
        <is>
          <t>أعمال صيانة أنظمة الإنذار ومكافحة الحريق في محطات الشعيبة لتوليد القوى الكهربائية وتقطير المياه</t>
        </is>
      </c>
      <c r="E198" s="13" t="inlineStr">
        <is>
          <t>تنفيذ أعمال أعمال صيانة أنظمة الإنذار ومكافحة الحريق في محطات الشعيبة لتوليد القوى الكهربائية وتقطير المياه، وتوفير كافة الأجهزة والمعدات والأنظمة وخدمات الدعم الفني والضمان وفقاً لكراسة الشروط والمواصفات الفنية.</t>
        </is>
      </c>
      <c r="F19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98" s="24" t="inlineStr">
        <is>
          <t>قطاع العمليات المدارة والدعم الفني متعدد الموردين</t>
        </is>
      </c>
      <c r="H198" s="14" t="inlineStr">
        <is>
          <t>64.0%</t>
        </is>
      </c>
      <c r="I198" s="14" t="inlineStr">
        <is>
          <t>oil_and_gas</t>
        </is>
      </c>
      <c r="J198" s="14" t="inlineStr">
        <is>
          <t>2026-10-04</t>
        </is>
      </c>
      <c r="K198" s="14" t="inlineStr">
        <is>
          <t>2026-11-03</t>
        </is>
      </c>
      <c r="L198" s="14" t="inlineStr">
        <is>
          <t>23000.000 KWD</t>
        </is>
      </c>
      <c r="M198" s="14" t="inlineStr">
        <is>
          <t>1000.000 KWD</t>
        </is>
      </c>
      <c r="N198" s="26" t="inlineStr">
        <is>
          <t>UNCHANGED</t>
        </is>
      </c>
      <c r="O198" s="14" t="inlineStr">
        <is>
          <t>فرصة ICT متوافقة مع قدرات KBM</t>
        </is>
      </c>
      <c r="P198" s="22">
        <f>HYPERLINK("https://capt.gov.kw/ar/tenders/opening-tenders/#card-4", "عرض المصدر")</f>
        <v/>
      </c>
    </row>
    <row r="199">
      <c r="A199" s="11" t="inlineStr">
        <is>
          <t>و ك م/61/2025/2026</t>
        </is>
      </c>
      <c r="B199" s="11" t="inlineStr">
        <is>
          <t>وزارة الكهرباء والماء والطاقة المتجددة</t>
        </is>
      </c>
      <c r="C199" s="11" t="inlineStr">
        <is>
          <t>Raed Obeid</t>
        </is>
      </c>
      <c r="D199" s="11" t="inlineStr">
        <is>
          <t>أعمال الصيانة السنوية للمعدات الكهربائية في محطة الشعيبة الجنوبية لتوليد القوى الكهربائية وتقطير المياه</t>
        </is>
      </c>
      <c r="E199" s="11" t="inlineStr">
        <is>
          <t>أعمال وتوريدات أعمال الصيانة السنوية للمعدات الكهربائية في محطة الشعيبة الجنوبية لتوليد القوى الكهربائية وتقطير المياه لصالح وزارة الكهرباء والماء والطاقة المتجددة وفقاً للشروط والمواصفات المعتمدة في وثائق الطرح.</t>
        </is>
      </c>
      <c r="F19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99" s="12" t="inlineStr">
        <is>
          <t>عام</t>
        </is>
      </c>
      <c r="H199" s="12" t="inlineStr">
        <is>
          <t>0.0%</t>
        </is>
      </c>
      <c r="I199" s="12" t="inlineStr">
        <is>
          <t>oil_and_gas</t>
        </is>
      </c>
      <c r="J199" s="12" t="inlineStr">
        <is>
          <t>2026-08-16</t>
        </is>
      </c>
      <c r="K199" s="12" t="inlineStr">
        <is>
          <t>2026-10-13</t>
        </is>
      </c>
      <c r="L199" s="12" t="inlineStr">
        <is>
          <t>45000.000 KWD</t>
        </is>
      </c>
      <c r="M199" s="12" t="inlineStr">
        <is>
          <t>1000.000 KWD</t>
        </is>
      </c>
      <c r="N199" s="25" t="inlineStr">
        <is>
          <t>NEW</t>
        </is>
      </c>
      <c r="O199" s="12" t="inlineStr">
        <is>
          <t>غير متوافقة مع اختصاصات KBM</t>
        </is>
      </c>
      <c r="P199" s="23">
        <f>HYPERLINK("https://capt.gov.kw/ar/tenders/opening-tenders/#card-9", "عرض المصدر")</f>
        <v/>
      </c>
    </row>
    <row r="200">
      <c r="A200" s="13" t="inlineStr">
        <is>
          <t>و ك م /41/2024/2025</t>
        </is>
      </c>
      <c r="B200" s="13" t="inlineStr">
        <is>
          <t>وزارة الكهرباء والماء والطاقة المتجددة</t>
        </is>
      </c>
      <c r="C200" s="13" t="inlineStr">
        <is>
          <t>Raed Obeid</t>
        </is>
      </c>
      <c r="D200" s="13" t="inlineStr">
        <is>
          <t>أعمال توريد وتركيب وصيانة خطوط هوائية ضغط متوسط 11 ك.ف وضغط منخفض والأعمال المدنية المتعلقة بهما في ( المنطقة الجنوبية )</t>
        </is>
      </c>
      <c r="E200" s="13" t="inlineStr">
        <is>
          <t>أعمال وتوريدات أعمال توريد وتركيب وصيانة خطوط هوائية ضغط متوسط 11 ك.ف وضغط منخفض والأعمال المدنية المتعلقة بهما في ( المنطقة الجنوبية ) لصالح وزارة الكهرباء والماء والطاقة المتجددة وفقاً للشروط والمواصفات المعتمدة في وثائق الطرح.</t>
        </is>
      </c>
      <c r="F20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00" s="14" t="inlineStr">
        <is>
          <t>عام</t>
        </is>
      </c>
      <c r="H200" s="14" t="inlineStr">
        <is>
          <t>0.0%</t>
        </is>
      </c>
      <c r="I200" s="14" t="inlineStr">
        <is>
          <t>oil_and_gas</t>
        </is>
      </c>
      <c r="J200" s="14" t="inlineStr">
        <is>
          <t>2026-08-23</t>
        </is>
      </c>
      <c r="K200" s="18" t="inlineStr">
        <is>
          <t>2026-10-20</t>
        </is>
      </c>
      <c r="L200" s="14" t="inlineStr">
        <is>
          <t>100000.000 KWD</t>
        </is>
      </c>
      <c r="M200" s="14" t="inlineStr">
        <is>
          <t>3500.000 KWD</t>
        </is>
      </c>
      <c r="N200" s="25" t="inlineStr">
        <is>
          <t>NEW</t>
        </is>
      </c>
      <c r="O200" s="14" t="inlineStr">
        <is>
          <t>غير متوافقة مع اختصاصات KBM</t>
        </is>
      </c>
      <c r="P200" s="22">
        <f>HYPERLINK("https://capt.gov.kw/ar/tenders/opening-tenders/#card-7", "عرض المصدر")</f>
        <v/>
      </c>
    </row>
    <row r="201">
      <c r="A201" s="11" t="inlineStr">
        <is>
          <t>و ك م /39/2024/2025</t>
        </is>
      </c>
      <c r="B201" s="11" t="inlineStr">
        <is>
          <t>وزارة الكهرباء والماء والطاقة المتجددة</t>
        </is>
      </c>
      <c r="C201" s="11" t="inlineStr">
        <is>
          <t>Raed Obeid</t>
        </is>
      </c>
      <c r="D201" s="11" t="inlineStr">
        <is>
          <t>اعمال توريد وتركيب وصيانة خطوط هوائية ضغط متوسط 11 ك.ف وضغط منخفض و الأعمال المدنية المتعلقة بهما في ( المنطقة الشمالية )</t>
        </is>
      </c>
      <c r="E201" s="11" t="inlineStr">
        <is>
          <t>أعمال وتوريدات اعمال توريد وتركيب وصيانة خطوط هوائية ضغط متوسط 11 ك.ف وضغط منخفض و الأعمال المدنية المتعلقة بهما في ( المنطقة الشمالية ) لصالح وزارة الكهرباء والماء والطاقة المتجددة وفقاً للشروط والمواصفات المعتمدة في وثائق الطرح.</t>
        </is>
      </c>
      <c r="F20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01" s="12" t="inlineStr">
        <is>
          <t>عام</t>
        </is>
      </c>
      <c r="H201" s="12" t="inlineStr">
        <is>
          <t>0.0%</t>
        </is>
      </c>
      <c r="I201" s="12" t="inlineStr">
        <is>
          <t>oil_and_gas</t>
        </is>
      </c>
      <c r="J201" s="12" t="inlineStr">
        <is>
          <t>2026-08-23</t>
        </is>
      </c>
      <c r="K201" s="18" t="inlineStr">
        <is>
          <t>2026-10-20</t>
        </is>
      </c>
      <c r="L201" s="12" t="inlineStr">
        <is>
          <t>100000.000 KWD</t>
        </is>
      </c>
      <c r="M201" s="12" t="inlineStr">
        <is>
          <t>3500.000 KWD</t>
        </is>
      </c>
      <c r="N201" s="25" t="inlineStr">
        <is>
          <t>NEW</t>
        </is>
      </c>
      <c r="O201" s="12" t="inlineStr">
        <is>
          <t>غير متوافقة مع اختصاصات KBM</t>
        </is>
      </c>
      <c r="P201" s="23">
        <f>HYPERLINK("https://capt.gov.kw/ar/tenders/opening-tenders/#card-6", "عرض المصدر")</f>
        <v/>
      </c>
    </row>
    <row r="202">
      <c r="A202" s="13" t="inlineStr">
        <is>
          <t>و ك م /14/2024/2025</t>
        </is>
      </c>
      <c r="B202" s="13" t="inlineStr">
        <is>
          <t>وزارة الكهرباء والماء والطاقة المتجددة</t>
        </is>
      </c>
      <c r="C202" s="13" t="inlineStr">
        <is>
          <t>Raed Obeid</t>
        </is>
      </c>
      <c r="D202" s="13" t="inlineStr">
        <is>
          <t>اعمال توريد وتركيب وصيانه خطوط هوائيه ضغط متوسط 11 ك.ف وضغط منخفض والاعمال المدنيه المتعلقه بهما في (المنطقه الوسطى)</t>
        </is>
      </c>
      <c r="E202" s="13" t="inlineStr">
        <is>
          <t>أعمال وتوريدات اعمال توريد وتركيب وصيانه خطوط هوائيه ضغط متوسط 11 ك.ف وضغط منخفض والاعمال المدنيه المتعلقه بهما في (المنطقه الوسطى) لصالح وزارة الكهرباء والماء والطاقة المتجددة وفقاً للشروط والمواصفات المعتمدة في وثائق الطرح.</t>
        </is>
      </c>
      <c r="F20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02" s="14" t="inlineStr">
        <is>
          <t>عام</t>
        </is>
      </c>
      <c r="H202" s="14" t="inlineStr">
        <is>
          <t>0.0%</t>
        </is>
      </c>
      <c r="I202" s="14" t="inlineStr">
        <is>
          <t>oil_and_gas</t>
        </is>
      </c>
      <c r="J202" s="14" t="inlineStr">
        <is>
          <t>2026-08-23</t>
        </is>
      </c>
      <c r="K202" s="18" t="inlineStr">
        <is>
          <t>2026-10-20</t>
        </is>
      </c>
      <c r="L202" s="14" t="inlineStr">
        <is>
          <t>100000.000 KWD</t>
        </is>
      </c>
      <c r="M202" s="14" t="inlineStr">
        <is>
          <t>3500.000 KWD</t>
        </is>
      </c>
      <c r="N202" s="25" t="inlineStr">
        <is>
          <t>NEW</t>
        </is>
      </c>
      <c r="O202" s="14" t="inlineStr">
        <is>
          <t>غير متوافقة مع اختصاصات KBM</t>
        </is>
      </c>
      <c r="P202" s="22">
        <f>HYPERLINK("https://capt.gov.kw/ar/tenders/opening-tenders/#card-5", "عرض المصدر")</f>
        <v/>
      </c>
    </row>
    <row r="203">
      <c r="A203" s="11" t="inlineStr">
        <is>
          <t>62/2020/2021</t>
        </is>
      </c>
      <c r="B203" s="11" t="inlineStr">
        <is>
          <t>وزارة الكهرباء والماء والطاقة المتجددة</t>
        </is>
      </c>
      <c r="C203" s="11" t="inlineStr">
        <is>
          <t>Raed Obeid</t>
        </is>
      </c>
      <c r="D203" s="11" t="inlineStr">
        <is>
          <t>توريد وتركيب وصيانة خطوط هوائية ضغط متوسط 11 ك.ف وضغط منخفض والاعمال المدنية المتعلقة بهما في مزارع الوفرة</t>
        </is>
      </c>
      <c r="E203" s="11" t="inlineStr">
        <is>
          <t>أعمال وتوريدات توريد وتركيب وصيانة خطوط هوائية ضغط متوسط 11 ك.ف وضغط منخفض والاعمال المدنية المتعلقة بهما في مزارع الوفرة لصالح وزارة الكهرباء والماء والطاقة المتجددة وفقاً للشروط والمواصفات المعتمدة في وثائق الطرح.</t>
        </is>
      </c>
      <c r="F20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03" s="12" t="inlineStr">
        <is>
          <t>عام</t>
        </is>
      </c>
      <c r="H203" s="12" t="inlineStr">
        <is>
          <t>0.0%</t>
        </is>
      </c>
      <c r="I203" s="12" t="inlineStr">
        <is>
          <t>oil_and_gas</t>
        </is>
      </c>
      <c r="J203" s="12" t="inlineStr">
        <is>
          <t>2026-08-23</t>
        </is>
      </c>
      <c r="K203" s="18" t="inlineStr">
        <is>
          <t>2026-10-20</t>
        </is>
      </c>
      <c r="L203" s="12" t="inlineStr">
        <is>
          <t>100000.000 KWD</t>
        </is>
      </c>
      <c r="M203" s="12" t="inlineStr">
        <is>
          <t>3500.000 KWD</t>
        </is>
      </c>
      <c r="N203" s="25" t="inlineStr">
        <is>
          <t>NEW</t>
        </is>
      </c>
      <c r="O203" s="12" t="inlineStr">
        <is>
          <t>غير متوافقة مع اختصاصات KBM</t>
        </is>
      </c>
      <c r="P203" s="23">
        <f>HYPERLINK("https://capt.gov.kw/ar/tenders/opening-tenders/#card-1", "عرض المصدر")</f>
        <v/>
      </c>
    </row>
    <row r="204">
      <c r="A204" s="13" t="inlineStr">
        <is>
          <t>و ك م 16/2025/2026</t>
        </is>
      </c>
      <c r="B204" s="13" t="inlineStr">
        <is>
          <t>وزارة الكهرباء والماء والطاقة المتجددة</t>
        </is>
      </c>
      <c r="C204" s="13" t="inlineStr">
        <is>
          <t>Raed Obeid</t>
        </is>
      </c>
      <c r="D204" s="13" t="inlineStr">
        <is>
          <t>صيانة واستبدال التالف و الاعمال المدنيه المتعلقه بعدد من المحولات حتى سعة 75 م.ف.أ و المفاعل المتوازي حتى سعة 50 م.فأ.أ.ر(المرحلة الثانيه)</t>
        </is>
      </c>
      <c r="E204" s="13" t="inlineStr">
        <is>
          <t>أعمال وتوريدات صيانة واستبدال التالف و الاعمال المدنيه المتعلقه بعدد من المحولات حتى سعة 75 م.ف.أ و المفاعل المتوازي حتى سعة 50 م.فأ.أ.ر(المرحلة الثانيه) لصالح وزارة الكهرباء والماء والطاقة المتجددة وفقاً للشروط والمواصفات المعتمدة في وثائق الطرح.</t>
        </is>
      </c>
      <c r="F20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04" s="14" t="inlineStr">
        <is>
          <t>عام</t>
        </is>
      </c>
      <c r="H204" s="14" t="inlineStr">
        <is>
          <t>0.0%</t>
        </is>
      </c>
      <c r="I204" s="14" t="inlineStr">
        <is>
          <t>oil_and_gas</t>
        </is>
      </c>
      <c r="J204" s="14" t="inlineStr">
        <is>
          <t>2026-08-30</t>
        </is>
      </c>
      <c r="K204" s="14" t="inlineStr">
        <is>
          <t>2026-11-01</t>
        </is>
      </c>
      <c r="L204" s="14" t="inlineStr">
        <is>
          <t>23000.000 KWD</t>
        </is>
      </c>
      <c r="M204" s="14" t="inlineStr">
        <is>
          <t>1000.000 KWD</t>
        </is>
      </c>
      <c r="N204" s="25" t="inlineStr">
        <is>
          <t>NEW</t>
        </is>
      </c>
      <c r="O204" s="14" t="inlineStr">
        <is>
          <t>غير متوافقة مع اختصاصات KBM</t>
        </is>
      </c>
      <c r="P204" s="22">
        <f>HYPERLINK("https://capt.gov.kw/ar/tenders/opening-tenders/#card-8", "عرض المصدر")</f>
        <v/>
      </c>
    </row>
    <row r="205">
      <c r="A205" s="11" t="inlineStr">
        <is>
          <t>و ك م/38/2025/2026</t>
        </is>
      </c>
      <c r="B205" s="11" t="inlineStr">
        <is>
          <t>وزارة الكهرباء والماء والطاقة المتجددة</t>
        </is>
      </c>
      <c r="C205" s="11" t="inlineStr">
        <is>
          <t>Raed Obeid</t>
        </is>
      </c>
      <c r="D205" s="11" t="inlineStr">
        <is>
          <t>أعمال صيانة آلات تصويرمستندات ماركات مختلفة بجميع قطاعات الوزارة والإدارات التابعة لها بجميع مرافق الوزارة</t>
        </is>
      </c>
      <c r="E205" s="11" t="inlineStr">
        <is>
          <t>أعمال وتوريدات أعمال صيانة آلات تصويرمستندات ماركات مختلفة بجميع قطاعات الوزارة والإدارات التابعة لها بجميع مرافق الوزارة لصالح وزارة الكهرباء والماء والطاقة المتجددة وفقاً للشروط والمواصفات المعتمدة في وثائق الطرح.</t>
        </is>
      </c>
      <c r="F20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05" s="12" t="inlineStr">
        <is>
          <t>عام</t>
        </is>
      </c>
      <c r="H205" s="12" t="inlineStr">
        <is>
          <t>15.0%</t>
        </is>
      </c>
      <c r="I205" s="12" t="inlineStr">
        <is>
          <t>oil_and_gas</t>
        </is>
      </c>
      <c r="J205" s="12" t="inlineStr">
        <is>
          <t>2026-09-06</t>
        </is>
      </c>
      <c r="K205" s="12" t="inlineStr">
        <is>
          <t>2026-10-25</t>
        </is>
      </c>
      <c r="L205" s="12" t="inlineStr">
        <is>
          <t>23000.000 KWD</t>
        </is>
      </c>
      <c r="M205" s="12" t="inlineStr">
        <is>
          <t>1000.000 KWD</t>
        </is>
      </c>
      <c r="N205" s="26" t="inlineStr">
        <is>
          <t>UNCHANGED</t>
        </is>
      </c>
      <c r="O205" s="12" t="inlineStr">
        <is>
          <t>غير متوافقة مع اختصاصات KBM</t>
        </is>
      </c>
      <c r="P205" s="23">
        <f>HYPERLINK("https://capt.gov.kw/ar/tenders/opening-tenders/#card-3", "عرض المصدر")</f>
        <v/>
      </c>
    </row>
    <row r="206">
      <c r="A206" s="13" t="inlineStr">
        <is>
          <t>و ك م/12/2025/2026</t>
        </is>
      </c>
      <c r="B206" s="13" t="inlineStr">
        <is>
          <t>وزارة الكهرباء والماء والطاقة المتجددة</t>
        </is>
      </c>
      <c r="C206" s="13" t="inlineStr">
        <is>
          <t>Raed Obeid</t>
        </is>
      </c>
      <c r="D206" s="13" t="inlineStr">
        <is>
          <t>احلال واستبدال التالف بعدد من المحولات حتى سعة 75م.ف.أ والمفاعل المتوازي حتى سعة 50 م.ف.أ.ر (المرحلة الأولى)</t>
        </is>
      </c>
      <c r="E206" s="13" t="inlineStr">
        <is>
          <t>أعمال وتوريدات احلال واستبدال التالف بعدد من المحولات حتى سعة 75م.ف.أ والمفاعل المتوازي حتى سعة 50 م.ف.أ.ر (المرحلة الأولى) لصالح وزارة الكهرباء والماء والطاقة المتجددة وفقاً للشروط والمواصفات المعتمدة في وثائق الطرح.</t>
        </is>
      </c>
      <c r="F20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06" s="14" t="inlineStr">
        <is>
          <t>عام</t>
        </is>
      </c>
      <c r="H206" s="14" t="inlineStr">
        <is>
          <t>15.0%</t>
        </is>
      </c>
      <c r="I206" s="14" t="inlineStr">
        <is>
          <t>oil_and_gas</t>
        </is>
      </c>
      <c r="J206" s="14" t="inlineStr">
        <is>
          <t>2026-09-06</t>
        </is>
      </c>
      <c r="K206" s="14" t="inlineStr">
        <is>
          <t>2026-11-03</t>
        </is>
      </c>
      <c r="L206" s="14" t="inlineStr">
        <is>
          <t>0.000 KWD</t>
        </is>
      </c>
      <c r="M206" s="14" t="inlineStr">
        <is>
          <t>500.000 KWD</t>
        </is>
      </c>
      <c r="N206" s="26" t="inlineStr">
        <is>
          <t>UNCHANGED</t>
        </is>
      </c>
      <c r="O206" s="14" t="inlineStr">
        <is>
          <t>غير متوافقة مع اختصاصات KBM</t>
        </is>
      </c>
      <c r="P206" s="22">
        <f>HYPERLINK("https://capt.gov.kw/ar/tenders/opening-tenders/#card-2", "عرض المصدر")</f>
        <v/>
      </c>
    </row>
    <row r="207">
      <c r="A207" s="11" t="inlineStr">
        <is>
          <t>و ك م /95/2024/2025</t>
        </is>
      </c>
      <c r="B207" s="11" t="inlineStr">
        <is>
          <t>وزارة الكهرباء والماء والطاقة المتجددة</t>
        </is>
      </c>
      <c r="C207" s="11" t="inlineStr">
        <is>
          <t>Raed Obeid</t>
        </is>
      </c>
      <c r="D207" s="11" t="inlineStr">
        <is>
          <t>إنشاء وإنجاز وصيانة مبنى أخضر لمحافظة الفروانية</t>
        </is>
      </c>
      <c r="E207" s="11" t="inlineStr">
        <is>
          <t>تنفيذ الأعمال المدنية والإنشائية والترميم والصيانة العامة للمباني والمنشآت والمرافق التابعة للجهة.</t>
        </is>
      </c>
      <c r="F20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07" s="12" t="inlineStr">
        <is>
          <t>عام</t>
        </is>
      </c>
      <c r="H207" s="12" t="inlineStr">
        <is>
          <t>15.0%</t>
        </is>
      </c>
      <c r="I207" s="12" t="inlineStr">
        <is>
          <t>oil_and_gas</t>
        </is>
      </c>
      <c r="J207" s="12" t="inlineStr">
        <is>
          <t>2026-09-06</t>
        </is>
      </c>
      <c r="K207" s="12" t="inlineStr">
        <is>
          <t>2026-11-01</t>
        </is>
      </c>
      <c r="L207" s="12" t="inlineStr">
        <is>
          <t>62000.000 KWD</t>
        </is>
      </c>
      <c r="M207" s="12" t="inlineStr">
        <is>
          <t>1000.000 KWD</t>
        </is>
      </c>
      <c r="N207" s="26" t="inlineStr">
        <is>
          <t>UNCHANGED</t>
        </is>
      </c>
      <c r="O207" s="12" t="inlineStr">
        <is>
          <t>غير متوافقة مع اختصاصات KBM</t>
        </is>
      </c>
      <c r="P207" s="23">
        <f>HYPERLINK("https://capt.gov.kw/ar/tenders/opening-tenders/#card-1", "عرض المصدر")</f>
        <v/>
      </c>
    </row>
    <row r="208">
      <c r="A208" s="13" t="inlineStr">
        <is>
          <t>و ك م /48/2024/2025</t>
        </is>
      </c>
      <c r="B208" s="13" t="inlineStr">
        <is>
          <t>وزارة الكهرباء والماء والطاقة المتجددة</t>
        </is>
      </c>
      <c r="C208" s="13" t="inlineStr">
        <is>
          <t>Raed Obeid</t>
        </is>
      </c>
      <c r="D208" s="13" t="inlineStr">
        <is>
          <t>توريد كيبلات ألمنيوم ضغط متوسط 11ك.ف، كيبلات نحاس ضغط متوسط 11ك.ف كيبلات قيادية (PILOT) كيبلات ضغط منخفض 1ك.ف لمشاريع شبكات التوزيع الكهربائية 11ك.ف</t>
        </is>
      </c>
      <c r="E208" s="13" t="inlineStr">
        <is>
          <t>تنفيذ أعمال توريد كيبلات ألمنيوم ضغط متوسط 11ك.ف، كيبلات نحاس ضغط متوسط 11ك.ف كيبلات قيادية (PILOT) كيبلات ضغط منخفض 1ك.ف لمشاريع شبكات التوزيع الكهربائية 11ك.ف، وتوفير كافة الأجهزة والمعدات والأنظمة وخدمات الدعم الفني والضمان وفقاً لكراسة الشروط والمواصفات الفنية.</t>
        </is>
      </c>
      <c r="F20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08" s="24" t="inlineStr">
        <is>
          <t>قطاع العمليات المدارة والدعم الفني متعدد الموردين</t>
        </is>
      </c>
      <c r="H208" s="14" t="inlineStr">
        <is>
          <t>64.0%</t>
        </is>
      </c>
      <c r="I208" s="14" t="inlineStr">
        <is>
          <t>oil_and_gas</t>
        </is>
      </c>
      <c r="J208" s="14" t="inlineStr">
        <is>
          <t>2026-09-06</t>
        </is>
      </c>
      <c r="K208" s="14" t="inlineStr">
        <is>
          <t>2026-11-01</t>
        </is>
      </c>
      <c r="L208" s="14" t="inlineStr">
        <is>
          <t>0.000 KWD</t>
        </is>
      </c>
      <c r="M208" s="14" t="inlineStr">
        <is>
          <t>500.000 KWD</t>
        </is>
      </c>
      <c r="N208" s="26" t="inlineStr">
        <is>
          <t>UNCHANGED</t>
        </is>
      </c>
      <c r="O208" s="14" t="inlineStr">
        <is>
          <t>فرصة ICT متوافقة مع قدرات KBM</t>
        </is>
      </c>
      <c r="P208" s="22">
        <f>HYPERLINK("https://capt.gov.kw/ar/tenders/opening-tenders/#card-0", "عرض المصدر")</f>
        <v/>
      </c>
    </row>
    <row r="209">
      <c r="A209" s="11" t="inlineStr">
        <is>
          <t>و ك م /11/2025/2026</t>
        </is>
      </c>
      <c r="B209" s="11" t="inlineStr">
        <is>
          <t>وزارة الكهرباء والماء والطاقة المتجددة</t>
        </is>
      </c>
      <c r="C209" s="11" t="inlineStr">
        <is>
          <t>Raed Obeid</t>
        </is>
      </c>
      <c r="D209" s="11" t="inlineStr">
        <is>
          <t>توريد وتسليم ومناولة مواد كيماوية لوحدة التناضح العكسي لمحطة الشويخ القوى الكهربائية وتقطير المياه</t>
        </is>
      </c>
      <c r="E209" s="11" t="inlineStr">
        <is>
          <t>أعمال وتوريدات توريد وتسليم ومناولة مواد كيماوية لوحدة التناضح العكسي لمحطة الشويخ القوى الكهربائية وتقطير المياه لصالح وزارة الكهرباء والماء والطاقة المتجددة وفقاً للشروط والمواصفات المعتمدة في وثائق الطرح.</t>
        </is>
      </c>
      <c r="F20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09" s="12" t="inlineStr">
        <is>
          <t>عام</t>
        </is>
      </c>
      <c r="H209" s="12" t="inlineStr">
        <is>
          <t>15.0%</t>
        </is>
      </c>
      <c r="I209" s="12" t="inlineStr">
        <is>
          <t>oil_and_gas</t>
        </is>
      </c>
      <c r="J209" s="12" t="inlineStr">
        <is>
          <t>2026-09-06</t>
        </is>
      </c>
      <c r="K209" s="12" t="inlineStr">
        <is>
          <t>2026-10-25</t>
        </is>
      </c>
      <c r="L209" s="12" t="inlineStr">
        <is>
          <t>0.000 KWD</t>
        </is>
      </c>
      <c r="M209" s="12" t="inlineStr">
        <is>
          <t>250.000 KWD</t>
        </is>
      </c>
      <c r="N209" s="26" t="inlineStr">
        <is>
          <t>UNCHANGED</t>
        </is>
      </c>
      <c r="O209" s="12" t="inlineStr">
        <is>
          <t>غير متوافقة مع اختصاصات KBM</t>
        </is>
      </c>
      <c r="P209" s="23">
        <f>HYPERLINK("https://capt.gov.kw/ar/tenders/opening-tenders/#card-9", "عرض المصدر")</f>
        <v/>
      </c>
    </row>
    <row r="210">
      <c r="A210" s="13" t="inlineStr">
        <is>
          <t>و ك م/57/2025/2026</t>
        </is>
      </c>
      <c r="B210" s="13" t="inlineStr">
        <is>
          <t>وزارة الكهرباء والماء والطاقة المتجددة</t>
        </is>
      </c>
      <c r="C210" s="13" t="inlineStr">
        <is>
          <t>Raed Obeid</t>
        </is>
      </c>
      <c r="D210" s="13" t="inlineStr">
        <is>
          <t>توريد وتركيب محركات كهربائية في محطة الدوحة الغربية لتوليد القوى الكهربائية وتقطير المياه</t>
        </is>
      </c>
      <c r="E210" s="13" t="inlineStr">
        <is>
          <t>أعمال وتوريدات توريد وتركيب محركات كهربائية في محطة الدوحة الغربية لتوليد القوى الكهربائية وتقطير المياه لصالح وزارة الكهرباء والماء والطاقة المتجددة وفقاً للشروط والمواصفات المعتمدة في وثائق الطرح.</t>
        </is>
      </c>
      <c r="F21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10" s="14" t="inlineStr">
        <is>
          <t>عام</t>
        </is>
      </c>
      <c r="H210" s="14" t="inlineStr">
        <is>
          <t>15.0%</t>
        </is>
      </c>
      <c r="I210" s="14" t="inlineStr">
        <is>
          <t>oil_and_gas</t>
        </is>
      </c>
      <c r="J210" s="14" t="inlineStr">
        <is>
          <t>2026-09-13</t>
        </is>
      </c>
      <c r="K210" s="14" t="inlineStr">
        <is>
          <t>2026-11-10</t>
        </is>
      </c>
      <c r="L210" s="14" t="inlineStr">
        <is>
          <t>62000.000 KWD</t>
        </is>
      </c>
      <c r="M210" s="14" t="inlineStr">
        <is>
          <t>1000.000 KWD</t>
        </is>
      </c>
      <c r="N210" s="26" t="inlineStr">
        <is>
          <t>UNCHANGED</t>
        </is>
      </c>
      <c r="O210" s="14" t="inlineStr">
        <is>
          <t>غير متوافقة مع اختصاصات KBM</t>
        </is>
      </c>
      <c r="P210" s="22">
        <f>HYPERLINK("https://capt.gov.kw/ar/tenders/opening-tenders/#card-3", "عرض المصدر")</f>
        <v/>
      </c>
    </row>
    <row r="211">
      <c r="A211" s="11" t="inlineStr">
        <is>
          <t>وك م-65/2025/2026</t>
        </is>
      </c>
      <c r="B211" s="11" t="inlineStr">
        <is>
          <t>وزارة الكهرباء والماء والطاقة المتجددة</t>
        </is>
      </c>
      <c r="C211" s="11" t="inlineStr">
        <is>
          <t>Raed Obeid</t>
        </is>
      </c>
      <c r="D211" s="11" t="inlineStr">
        <is>
          <t>توريد وتركيب وتشغيل وصيانة وضمان أعمال التمديدات الكهربائية للأعمال الصغيرة بمحافظات(الفروانية-الجهراء-العاصمة)</t>
        </is>
      </c>
      <c r="E211" s="11" t="inlineStr">
        <is>
          <t>أعمال وتوريدات توريد وتركيب وتشغيل وصيانة وضمان أعمال التمديدات الكهربائية للأعمال الصغيرة بمحافظات(الفروانية-الجهراء-العاصمة) لصالح وزارة الكهرباء والماء والطاقة المتجددة وفقاً للشروط والمواصفات المعتمدة في وثائق الطرح.</t>
        </is>
      </c>
      <c r="F21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11" s="24" t="inlineStr">
        <is>
          <t>قطاع العمليات المدارة والدعم الفني متعدد الموردين</t>
        </is>
      </c>
      <c r="H211" s="12" t="inlineStr">
        <is>
          <t>64.0%</t>
        </is>
      </c>
      <c r="I211" s="12" t="inlineStr">
        <is>
          <t>oil_and_gas</t>
        </is>
      </c>
      <c r="J211" s="12" t="inlineStr">
        <is>
          <t>2026-09-20</t>
        </is>
      </c>
      <c r="K211" s="12" t="inlineStr">
        <is>
          <t>2026-12-15</t>
        </is>
      </c>
      <c r="L211" s="12" t="inlineStr">
        <is>
          <t>23000.000 KWD</t>
        </is>
      </c>
      <c r="M211" s="12" t="inlineStr">
        <is>
          <t>1000.000 KWD</t>
        </is>
      </c>
      <c r="N211" s="26" t="inlineStr">
        <is>
          <t>UNCHANGED</t>
        </is>
      </c>
      <c r="O211" s="12" t="inlineStr">
        <is>
          <t>فرصة ICT متوافقة مع قدرات KBM</t>
        </is>
      </c>
      <c r="P211" s="23">
        <f>HYPERLINK("https://capt.gov.kw/ar/tenders/opening-tenders/#card-6", "عرض المصدر")</f>
        <v/>
      </c>
    </row>
    <row r="212">
      <c r="A212" s="13" t="inlineStr">
        <is>
          <t>و ك م /27/2024/2025</t>
        </is>
      </c>
      <c r="B212" s="13" t="inlineStr">
        <is>
          <t>وزارة الكهرباء والماء والطاقة المتجددة</t>
        </is>
      </c>
      <c r="C212" s="13" t="inlineStr">
        <is>
          <t>Raed Obeid</t>
        </is>
      </c>
      <c r="D212" s="13" t="inlineStr">
        <is>
          <t>توريد كيبلات PILC جهد 11 ك.ف احادي القالب _630 مم 2 , وجهد 33 ك.ف احادي القالب _1000 مم2 , وجهد 33 ك.ف احادي القالب _240 مم2 وجهد 33 ك.ف احادي القالب _1200 مم2 وملحقاتها</t>
        </is>
      </c>
      <c r="E212" s="13" t="inlineStr">
        <is>
          <t>أعمال وتوريدات توريد كيبلات PILC جهد 11 ك.ف احادي القالب _630 مم 2 , وجهد 33 ك.ف احادي القالب _1000 مم2 , وجهد 33 ك.ف احادي القالب _240 مم2 وجهد 33 ك.ف احادي القالب _1200 مم2 وملحقاتها لصالح وزارة الكهرباء والماء والطاقة المتجددة وفقاً للشروط والمواصفات المعتمدة في وثائق الطرح.</t>
        </is>
      </c>
      <c r="F21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12" s="14" t="inlineStr">
        <is>
          <t>عام</t>
        </is>
      </c>
      <c r="H212" s="14" t="inlineStr">
        <is>
          <t>15.0%</t>
        </is>
      </c>
      <c r="I212" s="14" t="inlineStr">
        <is>
          <t>oil_and_gas</t>
        </is>
      </c>
      <c r="J212" s="14" t="inlineStr">
        <is>
          <t>2026-09-20</t>
        </is>
      </c>
      <c r="K212" s="18" t="inlineStr">
        <is>
          <t>2026-10-20</t>
        </is>
      </c>
      <c r="L212" s="14" t="inlineStr">
        <is>
          <t>23000.000 KWD</t>
        </is>
      </c>
      <c r="M212" s="14" t="inlineStr">
        <is>
          <t>1000.000 KWD</t>
        </is>
      </c>
      <c r="N212" s="26" t="inlineStr">
        <is>
          <t>UNCHANGED</t>
        </is>
      </c>
      <c r="O212" s="14" t="inlineStr">
        <is>
          <t>غير متوافقة مع اختصاصات KBM</t>
        </is>
      </c>
      <c r="P212" s="22">
        <f>HYPERLINK("https://capt.gov.kw/ar/tenders/opening-tenders/#card-5", "عرض المصدر")</f>
        <v/>
      </c>
    </row>
    <row r="213">
      <c r="A213" s="11" t="inlineStr">
        <is>
          <t>وك م/9/2025/2026</t>
        </is>
      </c>
      <c r="B213" s="11" t="inlineStr">
        <is>
          <t>وزارة الكهرباء والماء والطاقة المتجددة</t>
        </is>
      </c>
      <c r="C213" s="11" t="inlineStr">
        <is>
          <t>Raed Obeid</t>
        </is>
      </c>
      <c r="D213" s="11" t="inlineStr">
        <is>
          <t>أعمال النظافة في محطة الصبية لتوليد القوى الكهربائية وتقطير المياه</t>
        </is>
      </c>
      <c r="E213" s="11" t="inlineStr">
        <is>
          <t>توفير خدمات وأعمال النظافة العامة والشاملة للمباني والمرافق وتوفير العمالة والمعدات والمستهلكات اللازمة.</t>
        </is>
      </c>
      <c r="F21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13" s="12" t="inlineStr">
        <is>
          <t>عام</t>
        </is>
      </c>
      <c r="H213" s="12" t="inlineStr">
        <is>
          <t>0.0%</t>
        </is>
      </c>
      <c r="I213" s="12" t="inlineStr">
        <is>
          <t>oil_and_gas</t>
        </is>
      </c>
      <c r="J213" s="12" t="inlineStr">
        <is>
          <t>2026-09-27</t>
        </is>
      </c>
      <c r="K213" s="12" t="inlineStr">
        <is>
          <t>2026-10-27</t>
        </is>
      </c>
      <c r="L213" s="12" t="inlineStr">
        <is>
          <t>15000.000 KWD</t>
        </is>
      </c>
      <c r="M213" s="12" t="inlineStr">
        <is>
          <t>1000.000 KWD</t>
        </is>
      </c>
      <c r="N213" s="26" t="inlineStr">
        <is>
          <t>UNCHANGED</t>
        </is>
      </c>
      <c r="O213" s="12" t="inlineStr">
        <is>
          <t>غير متوافقة مع اختصاصات KBM</t>
        </is>
      </c>
      <c r="P213" s="23">
        <f>HYPERLINK("https://capt.gov.kw/ar/tenders/opening-tenders/#card-9", "عرض المصدر")</f>
        <v/>
      </c>
    </row>
    <row r="214">
      <c r="A214" s="13" t="inlineStr">
        <is>
          <t>2027/2026/11</t>
        </is>
      </c>
      <c r="B214" s="13" t="inlineStr">
        <is>
          <t>الهيئة العامة للطيران المدني</t>
        </is>
      </c>
      <c r="C214" s="13" t="inlineStr">
        <is>
          <t>Eiman Ashkanani</t>
        </is>
      </c>
      <c r="D214" s="13" t="inlineStr">
        <is>
          <t>ممارسة رقم 2027/2026/11: الدعم الفني والصيانة الوقائية لأنظمة إنذار ومكافحة الحريق في مبنى المول التجاري ومواقف السيارات بمبنى الركاب T1 في مطار الكويت الدولي</t>
        </is>
      </c>
      <c r="E214" s="13" t="inlineStr">
        <is>
          <t>تنفيذ أعمال الدعم الفني والصيانة الوقائية لأنظمة إنذار ومكافحة الحريق في مبنى المول التجاري ومواقف السيارات بمبنى الركاب T1 في مطار الكويت الدولي، وتوفير كافة الأجهزة والمعدات والأنظمة وخدمات الدعم الفني والضمان وفقاً لكراسة الشروط والمواصفات الفنية.</t>
        </is>
      </c>
      <c r="F21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14" s="24" t="inlineStr">
        <is>
          <t>عام</t>
        </is>
      </c>
      <c r="H214" s="14" t="inlineStr">
        <is>
          <t>0.0%</t>
        </is>
      </c>
      <c r="I214" s="14" t="inlineStr">
        <is>
          <t>other</t>
        </is>
      </c>
      <c r="J214" s="14" t="inlineStr">
        <is>
          <t>2026-09-27</t>
        </is>
      </c>
      <c r="K214" s="14" t="inlineStr">
        <is>
          <t>-</t>
        </is>
      </c>
      <c r="L214" s="14" t="inlineStr">
        <is>
          <t>-</t>
        </is>
      </c>
      <c r="M214" s="14" t="inlineStr">
        <is>
          <t>-</t>
        </is>
      </c>
      <c r="N214" s="21" t="inlineStr">
        <is>
          <t>UPDATED</t>
        </is>
      </c>
      <c r="O214" s="14" t="inlineStr">
        <is>
          <t>غير متوافقة مع اختصاصات KBM</t>
        </is>
      </c>
      <c r="P214" s="22">
        <f>HYPERLINK("https://kuwaitalyawm.media.gov.kw/Online/ViewAdsHTML?id=171690&amp;no=1", "عرض المصدر")</f>
        <v/>
      </c>
    </row>
    <row r="215">
      <c r="A215" s="11" t="inlineStr">
        <is>
          <t>2027/2026/15</t>
        </is>
      </c>
      <c r="B215" s="11" t="inlineStr">
        <is>
          <t>الهيئة العامة للطيران المدني</t>
        </is>
      </c>
      <c r="C215" s="11" t="inlineStr">
        <is>
          <t>Eiman Ashkanani</t>
        </is>
      </c>
      <c r="D215" s="11" t="inlineStr">
        <is>
          <t>ممارسة رقم 2027/2026/15: ممارسة تطوير وصيانة أنظمة وأجهزة الحضور</t>
        </is>
      </c>
      <c r="E215" s="11" t="inlineStr">
        <is>
          <t>تنفيذ أعمال ممارسة تطوير وصيانة أنظمة وأجهزة الحضور، وتوفير كافة الأجهزة والمعدات والأنظمة وخدمات الدعم الفني والضمان وفقاً لكراسة الشروط والمواصفات الفنية.</t>
        </is>
      </c>
      <c r="F215" s="11" t="inlineStr">
        <is>
          <t>• علماً بأن آخر موعد لتقديم العروض هو الساعة (الواحدة ظهراً) من يوم (الأربعاء) الموافق (21/10/2026) ويرفض أي عرض بعد هذا الموعد.</t>
        </is>
      </c>
      <c r="G215" s="24" t="inlineStr">
        <is>
          <t>قطاع العمليات المدارة والدعم الفني متعدد الموردين</t>
        </is>
      </c>
      <c r="H215" s="12" t="inlineStr">
        <is>
          <t>49.0%</t>
        </is>
      </c>
      <c r="I215" s="12" t="inlineStr">
        <is>
          <t>other</t>
        </is>
      </c>
      <c r="J215" s="12" t="inlineStr">
        <is>
          <t>2026-09-27</t>
        </is>
      </c>
      <c r="K215" s="18" t="inlineStr">
        <is>
          <t>2026-10-21</t>
        </is>
      </c>
      <c r="L215" s="12" t="inlineStr">
        <is>
          <t>-</t>
        </is>
      </c>
      <c r="M215" s="12" t="inlineStr">
        <is>
          <t>75.0 KWD</t>
        </is>
      </c>
      <c r="N215" s="21" t="inlineStr">
        <is>
          <t>UPDATED</t>
        </is>
      </c>
      <c r="O215" s="12" t="inlineStr">
        <is>
          <t>فرصة تتطلب شراكة أو دراسة نطاق</t>
        </is>
      </c>
      <c r="P215" s="23">
        <f>HYPERLINK("https://kuwaitalyawm.media.gov.kw/Online/ViewAdsHTML?id=171693&amp;no=1", "عرض المصدر")</f>
        <v/>
      </c>
    </row>
    <row r="216">
      <c r="A216" s="13" t="inlineStr">
        <is>
          <t>و أ / 406/2026/2027</t>
        </is>
      </c>
      <c r="B216" s="13" t="inlineStr">
        <is>
          <t>وزارة الاعلام</t>
        </is>
      </c>
      <c r="C216" s="13" t="inlineStr">
        <is>
          <t>Eiman Ashkanani</t>
        </is>
      </c>
      <c r="D216" s="13" t="inlineStr">
        <is>
          <t>تجهيز خدمات التنظيف و النقل الداخلي و التخلص من النفايات بمبنى مجمع الاعلام و المحطات الخارجية التابعة له</t>
        </is>
      </c>
      <c r="E216" s="13" t="inlineStr">
        <is>
          <t>توفير خدمات وأعمال النظافة العامة والشاملة للمباني والمرافق وتوفير العمالة والمعدات والمستهلكات اللازمة.</t>
        </is>
      </c>
      <c r="F21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16" s="14" t="inlineStr">
        <is>
          <t>عام</t>
        </is>
      </c>
      <c r="H216" s="14" t="inlineStr">
        <is>
          <t>0.0%</t>
        </is>
      </c>
      <c r="I216" s="14" t="inlineStr">
        <is>
          <t>telecom_and_media</t>
        </is>
      </c>
      <c r="J216" s="14" t="inlineStr">
        <is>
          <t>2026-09-20</t>
        </is>
      </c>
      <c r="K216" s="14" t="inlineStr">
        <is>
          <t>2026-12-15</t>
        </is>
      </c>
      <c r="L216" s="14" t="inlineStr">
        <is>
          <t>23000.000 KWD</t>
        </is>
      </c>
      <c r="M216" s="14" t="inlineStr">
        <is>
          <t>1000.000 KWD</t>
        </is>
      </c>
      <c r="N216" s="26" t="inlineStr">
        <is>
          <t>UNCHANGED</t>
        </is>
      </c>
      <c r="O216" s="14" t="inlineStr">
        <is>
          <t>غير متوافقة مع اختصاصات KBM</t>
        </is>
      </c>
      <c r="P216" s="22">
        <f>HYPERLINK("https://capt.gov.kw/ar/tenders/opening-tenders/#card-3", "عرض المصدر")</f>
        <v/>
      </c>
    </row>
    <row r="217">
      <c r="A217" s="11" t="inlineStr">
        <is>
          <t>ب ب هـ / 1/2025/2026</t>
        </is>
      </c>
      <c r="B217" s="11" t="inlineStr">
        <is>
          <t>وزارة المواصلات</t>
        </is>
      </c>
      <c r="C217" s="11" t="inlineStr">
        <is>
          <t>Eiman Ashkanani</t>
        </is>
      </c>
      <c r="D217" s="11" t="inlineStr">
        <is>
          <t>اعمال التنظيف و خدمة مرافق و مكاتب وزارة المواصلات</t>
        </is>
      </c>
      <c r="E217" s="11" t="inlineStr">
        <is>
          <t>توفير خدمات وأعمال النظافة العامة والشاملة للمباني والمرافق وتوفير العمالة والمعدات والمستهلكات اللازمة.</t>
        </is>
      </c>
      <c r="F21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17" s="12" t="inlineStr">
        <is>
          <t>عام</t>
        </is>
      </c>
      <c r="H217" s="12" t="inlineStr">
        <is>
          <t>0.0%</t>
        </is>
      </c>
      <c r="I217" s="12" t="inlineStr">
        <is>
          <t>telecom_and_media</t>
        </is>
      </c>
      <c r="J217" s="12" t="inlineStr">
        <is>
          <t>2026-10-04</t>
        </is>
      </c>
      <c r="K217" s="12" t="inlineStr">
        <is>
          <t>2026-12-29</t>
        </is>
      </c>
      <c r="L217" s="12" t="inlineStr">
        <is>
          <t>45000.000 KWD</t>
        </is>
      </c>
      <c r="M217" s="12" t="inlineStr">
        <is>
          <t>1000.000 KWD</t>
        </is>
      </c>
      <c r="N217" s="26" t="inlineStr">
        <is>
          <t>UNCHANGED</t>
        </is>
      </c>
      <c r="O217" s="12" t="inlineStr">
        <is>
          <t>غير متوافقة مع اختصاصات KBM</t>
        </is>
      </c>
      <c r="P217" s="23">
        <f>HYPERLINK("https://capt.gov.kw/ar/tenders/opening-tenders/#card-1", "عرض المصدر")</f>
        <v/>
      </c>
    </row>
  </sheetData>
  <autoFilter ref="A1:P2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17"/>
  <sheetViews>
    <sheetView rightToLeft="1" workbookViewId="0">
      <pane ySplit="1" topLeftCell="A2" activePane="bottomLeft" state="frozen"/>
      <selection pane="bottomLeft" activeCell="A1" sqref="A1"/>
    </sheetView>
  </sheetViews>
  <sheetFormatPr baseColWidth="8" defaultRowHeight="15"/>
  <cols>
    <col width="29" customWidth="1" min="1" max="1"/>
    <col width="45" customWidth="1" min="2" max="2"/>
    <col width="33" customWidth="1" min="3" max="3"/>
    <col width="45" customWidth="1" min="4" max="4"/>
    <col width="45" customWidth="1" min="5" max="5"/>
    <col width="45" customWidth="1" min="6" max="6"/>
    <col width="45" customWidth="1" min="7" max="7"/>
    <col width="15" customWidth="1" min="8" max="8"/>
    <col width="25" customWidth="1" min="9" max="9"/>
    <col width="18" customWidth="1" min="10" max="10"/>
    <col width="19" customWidth="1" min="11" max="11"/>
    <col width="17" customWidth="1" min="12" max="12"/>
    <col width="16" customWidth="1" min="13" max="13"/>
    <col width="12" customWidth="1" min="14" max="14"/>
    <col width="41" customWidth="1" min="15" max="15"/>
    <col width="15" customWidth="1" min="16" max="16"/>
  </cols>
  <sheetData>
    <row r="1">
      <c r="A1" s="10" t="inlineStr">
        <is>
          <t>رقم المناقصة</t>
        </is>
      </c>
      <c r="B1" s="10" t="inlineStr">
        <is>
          <t>الجهة المصدرة</t>
        </is>
      </c>
      <c r="C1" s="10" t="inlineStr">
        <is>
          <t>مسؤول الحساب (Account Manager)</t>
        </is>
      </c>
      <c r="D1" s="10" t="inlineStr">
        <is>
          <t>موضوع المناقصة</t>
        </is>
      </c>
      <c r="E1" s="10" t="inlineStr">
        <is>
          <t>المطلوب في المناقصة ونطاق العمل والأجهزة (Required Scope &amp; Equipment)</t>
        </is>
      </c>
      <c r="F1" s="10" t="inlineStr">
        <is>
          <t>شروط ومتطلبات المشاركة (Requirements)</t>
        </is>
      </c>
      <c r="G1" s="10" t="inlineStr">
        <is>
          <t>قطاع KBM المختص</t>
        </is>
      </c>
      <c r="H1" s="10" t="inlineStr">
        <is>
          <t>درجة التوافق</t>
        </is>
      </c>
      <c r="I1" s="10" t="inlineStr">
        <is>
          <t>القطاع</t>
        </is>
      </c>
      <c r="J1" s="10" t="inlineStr">
        <is>
          <t>تاريخ النشر</t>
        </is>
      </c>
      <c r="K1" s="10" t="inlineStr">
        <is>
          <t>آخر موعد للتقديم</t>
        </is>
      </c>
      <c r="L1" s="10" t="inlineStr">
        <is>
          <t>التأمين الأولي</t>
        </is>
      </c>
      <c r="M1" s="10" t="inlineStr">
        <is>
          <t>سعر الكراسة</t>
        </is>
      </c>
      <c r="N1" s="10" t="inlineStr">
        <is>
          <t>الحالة</t>
        </is>
      </c>
      <c r="O1" s="10" t="inlineStr">
        <is>
          <t>قرار Presales</t>
        </is>
      </c>
      <c r="P1" s="10" t="inlineStr">
        <is>
          <t>رابط الإعلان</t>
        </is>
      </c>
    </row>
    <row r="2">
      <c r="A2" s="13" t="inlineStr">
        <is>
          <t>2027/2026/8</t>
        </is>
      </c>
      <c r="B2" s="13" t="inlineStr">
        <is>
          <t>الإدارة العامة للإطفاء</t>
        </is>
      </c>
      <c r="C2" s="13" t="inlineStr">
        <is>
          <t>Eiman Ashkanani</t>
        </is>
      </c>
      <c r="D2" s="13" t="inlineStr">
        <is>
          <t>ممارسة رقم 2027/2026/8: بشأن شراء وتجديد حزمة برامج Manage engine</t>
        </is>
      </c>
      <c r="E2" s="13" t="inlineStr">
        <is>
          <t>تنفيذ أعمال بشأن شراء وتجديد حزمة برامج Manage engine، وتوفير كافة الأجهزة والمعدات والأنظمة وخدمات الدعم الفني والضمان وفقاً لكراسة الشروط والمواصفات الفنية.</t>
        </is>
      </c>
      <c r="F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 s="24" t="inlineStr">
        <is>
          <t>قطاع برمجيات IBM وحلول الذكاء الاصطناعي وRed Hat</t>
        </is>
      </c>
      <c r="H2" s="14" t="inlineStr">
        <is>
          <t>68.0%</t>
        </is>
      </c>
      <c r="I2" s="14" t="inlineStr">
        <is>
          <t>defense_and_security</t>
        </is>
      </c>
      <c r="J2" s="14" t="inlineStr">
        <is>
          <t>2026-09-27</t>
        </is>
      </c>
      <c r="K2" s="14" t="inlineStr">
        <is>
          <t>-</t>
        </is>
      </c>
      <c r="L2" s="14" t="inlineStr">
        <is>
          <t>-</t>
        </is>
      </c>
      <c r="M2" s="14" t="inlineStr">
        <is>
          <t>75.0 KWD</t>
        </is>
      </c>
      <c r="N2" s="21" t="inlineStr">
        <is>
          <t>UPDATED</t>
        </is>
      </c>
      <c r="O2" s="14" t="inlineStr">
        <is>
          <t>فرصة ICT متوافقة مع قدرات KBM</t>
        </is>
      </c>
      <c r="P2" s="22">
        <f>HYPERLINK("https://kuwaitalyawm.media.gov.kw/Online/ViewAdsHTML?id=171698&amp;no=1", "عرض المصدر")</f>
        <v/>
      </c>
    </row>
    <row r="3">
      <c r="A3" s="11" t="inlineStr">
        <is>
          <t>17/2026/2027</t>
        </is>
      </c>
      <c r="B3" s="11" t="inlineStr">
        <is>
          <t>الإدارة العامة للإطفاء</t>
        </is>
      </c>
      <c r="C3" s="11" t="inlineStr">
        <is>
          <t>Eiman Ashkanani</t>
        </is>
      </c>
      <c r="D3" s="11" t="inlineStr">
        <is>
          <t>صيانة أنظمة و أجهزة الاتصالات بقوة الإطفاء العام</t>
        </is>
      </c>
      <c r="E3" s="11" t="inlineStr">
        <is>
          <t>تنفيذ أعمال صيانة أنظمة و أجهزة الاتصالات بقوة الإطفاء العام، وتوفير كافة الأجهزة والمعدات والأنظمة وخدمات الدعم الفني والضمان وفقاً لكراسة الشروط والمواصفات الفنية.</t>
        </is>
      </c>
      <c r="F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3" s="24" t="inlineStr">
        <is>
          <t>قطاع العمليات المدارة والدعم الفني متعدد الموردين</t>
        </is>
      </c>
      <c r="H3" s="12" t="inlineStr">
        <is>
          <t>85.0%</t>
        </is>
      </c>
      <c r="I3" s="12" t="inlineStr">
        <is>
          <t>defense_and_security</t>
        </is>
      </c>
      <c r="J3" s="12" t="inlineStr">
        <is>
          <t>2026-09-20</t>
        </is>
      </c>
      <c r="K3" s="12" t="inlineStr">
        <is>
          <t>2026-11-10</t>
        </is>
      </c>
      <c r="L3" s="12" t="inlineStr">
        <is>
          <t>23000.000 KWD</t>
        </is>
      </c>
      <c r="M3" s="12" t="inlineStr">
        <is>
          <t>1000.000 KWD</t>
        </is>
      </c>
      <c r="N3" s="26" t="inlineStr">
        <is>
          <t>UNCHANGED</t>
        </is>
      </c>
      <c r="O3" s="12" t="inlineStr">
        <is>
          <t>فرصة استراتيجية رئيسية (موصى بالتقديم)</t>
        </is>
      </c>
      <c r="P3" s="23">
        <f>HYPERLINK("https://capt.gov.kw/ar/tenders/opening-tenders/#card-0", "عرض المصدر")</f>
        <v/>
      </c>
    </row>
    <row r="4">
      <c r="A4" s="13" t="inlineStr">
        <is>
          <t>2027/2026/5</t>
        </is>
      </c>
      <c r="B4" s="13" t="inlineStr">
        <is>
          <t>الإدارة المركزية للإحصاء</t>
        </is>
      </c>
      <c r="C4" s="13" t="inlineStr">
        <is>
          <t>Eiman Ashkanani</t>
        </is>
      </c>
      <c r="D4" s="13" t="inlineStr">
        <is>
          <t>ممارسة رقم 2027/2026/5 - الإدارة المركزية للاحصاء (العدد 1810)</t>
        </is>
      </c>
      <c r="E4" s="13" t="inlineStr">
        <is>
          <t>أعمال وتوريدات ممارسة رقم 2027/2026/5 - الإدارة المركزية للاحصاء لصالح الإدارة المركزية للاحصاء وفقاً للشروط والمواصفات المعتمدة في وثائق الطرح.</t>
        </is>
      </c>
      <c r="F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4" s="14" t="inlineStr">
        <is>
          <t>عام</t>
        </is>
      </c>
      <c r="H4" s="14" t="inlineStr">
        <is>
          <t>0.0%</t>
        </is>
      </c>
      <c r="I4" s="14" t="inlineStr">
        <is>
          <t>government</t>
        </is>
      </c>
      <c r="J4" s="14" t="inlineStr">
        <is>
          <t>2026-09-27</t>
        </is>
      </c>
      <c r="K4" s="14" t="inlineStr">
        <is>
          <t>-</t>
        </is>
      </c>
      <c r="L4" s="14" t="inlineStr">
        <is>
          <t>-</t>
        </is>
      </c>
      <c r="M4" s="14" t="inlineStr">
        <is>
          <t>75.0 KWD</t>
        </is>
      </c>
      <c r="N4" s="21" t="inlineStr">
        <is>
          <t>UPDATED</t>
        </is>
      </c>
      <c r="O4" s="14" t="inlineStr">
        <is>
          <t>غير متوافقة مع اختصاصات KBM</t>
        </is>
      </c>
      <c r="P4" s="22">
        <f>HYPERLINK("https://kuwaitalyawm.media.gov.kw/Online/ViewAdsHTML?id=171697&amp;no=1", "عرض المصدر")</f>
        <v/>
      </c>
    </row>
    <row r="5">
      <c r="A5" s="11" t="inlineStr">
        <is>
          <t>6/2025/2026</t>
        </is>
      </c>
      <c r="B5" s="11" t="inlineStr">
        <is>
          <t>الادارة العامة للطيران المدني</t>
        </is>
      </c>
      <c r="C5" s="11" t="inlineStr">
        <is>
          <t>Eiman Ashkanani</t>
        </is>
      </c>
      <c r="D5" s="11" t="inlineStr">
        <is>
          <t>اعمال صيانة و ترميم المباني و الاعمال الانشائية و اية اعمال اخرى في مواقع مختلفة للطيران المدني</t>
        </is>
      </c>
      <c r="E5" s="11" t="inlineStr">
        <is>
          <t>تنفيذ الأعمال المدنية والإنشائية والترميم والصيانة العامة للمباني والمنشآت والمرافق التابعة للجهة.</t>
        </is>
      </c>
      <c r="F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5" s="12" t="inlineStr">
        <is>
          <t>عام</t>
        </is>
      </c>
      <c r="H5" s="12" t="inlineStr">
        <is>
          <t>0.0%</t>
        </is>
      </c>
      <c r="I5" s="12" t="inlineStr">
        <is>
          <t>government</t>
        </is>
      </c>
      <c r="J5" s="12" t="inlineStr">
        <is>
          <t>2026-08-23</t>
        </is>
      </c>
      <c r="K5" s="12" t="inlineStr">
        <is>
          <t>2026-11-17</t>
        </is>
      </c>
      <c r="L5" s="12" t="inlineStr">
        <is>
          <t>170000.000 KWD</t>
        </is>
      </c>
      <c r="M5" s="12" t="inlineStr">
        <is>
          <t>3500.000 KWD</t>
        </is>
      </c>
      <c r="N5" s="25" t="inlineStr">
        <is>
          <t>NEW</t>
        </is>
      </c>
      <c r="O5" s="12" t="inlineStr">
        <is>
          <t>غير متوافقة مع اختصاصات KBM</t>
        </is>
      </c>
      <c r="P5" s="23">
        <f>HYPERLINK("https://capt.gov.kw/ar/tenders/opening-tenders/#card-0", "عرض المصدر")</f>
        <v/>
      </c>
    </row>
    <row r="6">
      <c r="A6" s="13" t="inlineStr">
        <is>
          <t>الاستشارية 8/2023/2024</t>
        </is>
      </c>
      <c r="B6" s="13" t="inlineStr">
        <is>
          <t>الادارة العامة للطيران المدني</t>
        </is>
      </c>
      <c r="C6" s="13" t="inlineStr">
        <is>
          <t>Eiman Ashkanani</t>
        </is>
      </c>
      <c r="D6" s="13" t="inlineStr">
        <is>
          <t>خدمات إدارة المشاريع لتنفيذ مشاريع المخطط الهيلكي 2020 وإعداد العقود والدراسات ومتابعة المشغلين والمستثمرين في مطار الكويت الدولي</t>
        </is>
      </c>
      <c r="E6" s="13" t="inlineStr">
        <is>
          <t>أعمال وتوريدات خدمات إدارة المشاريع لتنفيذ مشاريع المخطط الهيلكي 2020 وإعداد العقود والدراسات ومتابعة المشغلين والمستثمرين في مطار الكويت الدولي لصالح الادارة العامة للطيران المدني وفقاً للشروط والمواصفات المعتمدة في وثائق الطرح.</t>
        </is>
      </c>
      <c r="F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6" s="14" t="inlineStr">
        <is>
          <t>عام</t>
        </is>
      </c>
      <c r="H6" s="14" t="inlineStr">
        <is>
          <t>0.0%</t>
        </is>
      </c>
      <c r="I6" s="14" t="inlineStr">
        <is>
          <t>government</t>
        </is>
      </c>
      <c r="J6" s="14" t="inlineStr">
        <is>
          <t>2026-09-13</t>
        </is>
      </c>
      <c r="K6" s="14" t="inlineStr">
        <is>
          <t>2026-12-08</t>
        </is>
      </c>
      <c r="L6" s="14" t="inlineStr">
        <is>
          <t>100000.000 KWD</t>
        </is>
      </c>
      <c r="M6" s="14" t="inlineStr">
        <is>
          <t>3500.000 KWD</t>
        </is>
      </c>
      <c r="N6" s="26" t="inlineStr">
        <is>
          <t>UNCHANGED</t>
        </is>
      </c>
      <c r="O6" s="14" t="inlineStr">
        <is>
          <t>غير متوافقة مع اختصاصات KBM</t>
        </is>
      </c>
      <c r="P6" s="22">
        <f>HYPERLINK("https://capt.gov.kw/ar/tenders/opening-tenders/#card-9", "عرض المصدر")</f>
        <v/>
      </c>
    </row>
    <row r="7">
      <c r="A7" s="11" t="inlineStr">
        <is>
          <t>2026/35</t>
        </is>
      </c>
      <c r="B7" s="11" t="inlineStr">
        <is>
          <t>الجهاز المركزي لتكنولوجيا المعلومات</t>
        </is>
      </c>
      <c r="C7" s="11" t="inlineStr">
        <is>
          <t>Eiman Ashkanani</t>
        </is>
      </c>
      <c r="D7" s="11" t="inlineStr">
        <is>
          <t>ممارسة رقم 2026/35: إعلان طرح الممارسة رقم (35-2026/2027) توفير خدمة الدعم الفني والصيانة لعدد 4 وحدات إمداد الطاقة الكهربائية اللامنقطعة UPS والبطاريات الملحقة بها للجهاز المركزي لتكنولوجيا المعلومات</t>
        </is>
      </c>
      <c r="E7" s="11" t="inlineStr">
        <is>
          <t>تنفيذ أعمال إعلان طرح الممارسة رقم (35-2026/2027) توفير خدمة الدعم الفني والصيانة لعدد 4 وحدات إمداد الطاقة الكهربائية اللامنقطعة UPS والبطاريات الملحقة بها للجهاز المركزي لتكنولوجيا المعلومات، وتوفير كافة الأجهزة والمعدات والأنظمة وخدمات الدعم الفني والضمان وفقاً لكراسة الشروط والمواصفات الفنية.</t>
        </is>
      </c>
      <c r="F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7" s="24" t="inlineStr">
        <is>
          <t>قطاع العمليات المدارة والدعم الفني متعدد الموردين</t>
        </is>
      </c>
      <c r="H7" s="12" t="inlineStr">
        <is>
          <t>85.0%</t>
        </is>
      </c>
      <c r="I7" s="12" t="inlineStr">
        <is>
          <t>government</t>
        </is>
      </c>
      <c r="J7" s="12" t="inlineStr">
        <is>
          <t>2026-09-27</t>
        </is>
      </c>
      <c r="K7" s="18" t="inlineStr">
        <is>
          <t>2026-10-15</t>
        </is>
      </c>
      <c r="L7" s="12" t="inlineStr">
        <is>
          <t>-</t>
        </is>
      </c>
      <c r="M7" s="12" t="inlineStr">
        <is>
          <t>75.0 KWD</t>
        </is>
      </c>
      <c r="N7" s="21" t="inlineStr">
        <is>
          <t>UPDATED</t>
        </is>
      </c>
      <c r="O7" s="12" t="inlineStr">
        <is>
          <t>فرصة استراتيجية رئيسية (موصى بالتقديم)</t>
        </is>
      </c>
      <c r="P7" s="23">
        <f>HYPERLINK("https://kuwaitalyawm.media.gov.kw/Online/ViewAdsHTML?id=171699&amp;no=1", "عرض المصدر")</f>
        <v/>
      </c>
    </row>
    <row r="8">
      <c r="A8" s="13" t="inlineStr">
        <is>
          <t>ممارسة 3/2026/2027</t>
        </is>
      </c>
      <c r="B8" s="13" t="inlineStr">
        <is>
          <t>الجهاز المركزي للمناقصات العامة</t>
        </is>
      </c>
      <c r="C8" s="13" t="inlineStr">
        <is>
          <t>Eiman Ashkanani</t>
        </is>
      </c>
      <c r="D8" s="13" t="inlineStr">
        <is>
          <t>تصميم وتطوير خدمات الموقع الإلكتروني والبرامج الذكية للجهاز المركزي للمناقصات العامة</t>
        </is>
      </c>
      <c r="E8" s="13" t="inlineStr">
        <is>
          <t>تنفيذ أعمال تصميم وتطوير خدمات الموقع الإلكتروني والبرامج الذكية للجهاز المركزي للمناقصات العامة، وتوفير كافة الأجهزة والمعدات والأنظمة وخدمات الدعم الفني والضمان وفقاً لكراسة الشروط والمواصفات الفنية.</t>
        </is>
      </c>
      <c r="F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8" s="14" t="inlineStr">
        <is>
          <t>عام</t>
        </is>
      </c>
      <c r="H8" s="14" t="inlineStr">
        <is>
          <t>28.0%</t>
        </is>
      </c>
      <c r="I8" s="14" t="inlineStr">
        <is>
          <t>government</t>
        </is>
      </c>
      <c r="J8" s="14" t="inlineStr">
        <is>
          <t>2026-09-13</t>
        </is>
      </c>
      <c r="K8" s="14" t="inlineStr">
        <is>
          <t>2026-10-06</t>
        </is>
      </c>
      <c r="L8" s="14" t="inlineStr">
        <is>
          <t>1000.000 KWD</t>
        </is>
      </c>
      <c r="M8" s="14" t="inlineStr">
        <is>
          <t>50.000 KWD</t>
        </is>
      </c>
      <c r="N8" s="25" t="inlineStr">
        <is>
          <t>NEW</t>
        </is>
      </c>
      <c r="O8" s="14" t="inlineStr">
        <is>
          <t>غير متوافقة مع اختصاصات KBM</t>
        </is>
      </c>
      <c r="P8" s="22">
        <f>HYPERLINK("https://capt.gov.kw/ar/tenders/opening-tenders/#card-0", "عرض المصدر")</f>
        <v/>
      </c>
    </row>
    <row r="9">
      <c r="A9" s="11" t="inlineStr">
        <is>
          <t>2027/2026/12</t>
        </is>
      </c>
      <c r="B9" s="11" t="inlineStr">
        <is>
          <t>الرئاسة العامة للحرس الوطني</t>
        </is>
      </c>
      <c r="C9" s="11" t="inlineStr">
        <is>
          <t>Eiman Ashkanani</t>
        </is>
      </c>
      <c r="D9" s="11" t="inlineStr">
        <is>
          <t>ممارسة رقم 2027/2026/12: الخاصة بصيانة أجهزة توزيع أحمال الشبكة</t>
        </is>
      </c>
      <c r="E9" s="11" t="inlineStr">
        <is>
          <t>تنفيذ أعمال الخاصة بصيانة أجهزة توزيع أحمال الشبكة، وتوفير كافة الأجهزة والمعدات والأنظمة وخدمات الدعم الفني والضمان وفقاً لكراسة الشروط والمواصفات الفنية.</t>
        </is>
      </c>
      <c r="F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9" s="24" t="inlineStr">
        <is>
          <t>قطاع العمليات المدارة والدعم الفني متعدد الموردين</t>
        </is>
      </c>
      <c r="H9" s="12" t="inlineStr">
        <is>
          <t>64.0%</t>
        </is>
      </c>
      <c r="I9" s="12" t="inlineStr">
        <is>
          <t>defense_and_security</t>
        </is>
      </c>
      <c r="J9" s="12" t="inlineStr">
        <is>
          <t>2026-09-27</t>
        </is>
      </c>
      <c r="K9" s="12" t="inlineStr">
        <is>
          <t>-</t>
        </is>
      </c>
      <c r="L9" s="12" t="inlineStr">
        <is>
          <t>-</t>
        </is>
      </c>
      <c r="M9" s="12" t="inlineStr">
        <is>
          <t>75.0 KWD</t>
        </is>
      </c>
      <c r="N9" s="21" t="inlineStr">
        <is>
          <t>UPDATED</t>
        </is>
      </c>
      <c r="O9" s="12" t="inlineStr">
        <is>
          <t>فرصة ICT متوافقة مع قدرات KBM</t>
        </is>
      </c>
      <c r="P9" s="23">
        <f>HYPERLINK("https://kuwaitalyawm.media.gov.kw/Online/ViewAdsHTML?id=171707&amp;no=1", "عرض المصدر")</f>
        <v/>
      </c>
    </row>
    <row r="10">
      <c r="A10" s="13" t="inlineStr">
        <is>
          <t>2/2026/2027</t>
        </is>
      </c>
      <c r="B10" s="13" t="inlineStr">
        <is>
          <t>الرئاسة العامة للحرس الوطني</t>
        </is>
      </c>
      <c r="C10" s="13" t="inlineStr">
        <is>
          <t>Eiman Ashkanani</t>
        </is>
      </c>
      <c r="D10" s="13" t="inlineStr">
        <is>
          <t>أعمال التظيف والعمالة لمنطقة التوسعة</t>
        </is>
      </c>
      <c r="E10" s="13" t="inlineStr">
        <is>
          <t>أعمال وتوريدات أعمال التظيف والعمالة لمنطقة التوسعة لصالح الرئاسة العامة للحرس الوطني وفقاً للشروط والمواصفات المعتمدة في وثائق الطرح.</t>
        </is>
      </c>
      <c r="F1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0" s="14" t="inlineStr">
        <is>
          <t>عام</t>
        </is>
      </c>
      <c r="H10" s="14" t="inlineStr">
        <is>
          <t>15.0%</t>
        </is>
      </c>
      <c r="I10" s="14" t="inlineStr">
        <is>
          <t>defense_and_security</t>
        </is>
      </c>
      <c r="J10" s="14" t="inlineStr">
        <is>
          <t>2026-09-27</t>
        </is>
      </c>
      <c r="K10" s="14" t="inlineStr">
        <is>
          <t>2026-10-27</t>
        </is>
      </c>
      <c r="L10" s="14" t="inlineStr">
        <is>
          <t>23000.000 KWD</t>
        </is>
      </c>
      <c r="M10" s="14" t="inlineStr">
        <is>
          <t>1000.000 KWD</t>
        </is>
      </c>
      <c r="N10" s="26" t="inlineStr">
        <is>
          <t>UNCHANGED</t>
        </is>
      </c>
      <c r="O10" s="14" t="inlineStr">
        <is>
          <t>غير متوافقة مع اختصاصات KBM</t>
        </is>
      </c>
      <c r="P10" s="22">
        <f>HYPERLINK("https://capt.gov.kw/ar/tenders/opening-tenders/#card-2", "عرض المصدر")</f>
        <v/>
      </c>
    </row>
    <row r="11">
      <c r="A11" s="11" t="inlineStr">
        <is>
          <t>26/27-11</t>
        </is>
      </c>
      <c r="B11" s="11" t="inlineStr">
        <is>
          <t>الشركة الكويتية لتزويد الطائرات بالوقود</t>
        </is>
      </c>
      <c r="C11" s="11" t="inlineStr">
        <is>
          <t>Eiman Ashkanani</t>
        </is>
      </c>
      <c r="D11" s="11" t="inlineStr">
        <is>
          <t>مناقصة رقم 26/27-11 - الشركة الكويتية لتزويد الطائرات بالوقود</t>
        </is>
      </c>
      <c r="E11" s="11" t="inlineStr">
        <is>
          <t>أعمال وتوريدات مناقصة رقم 26/27-11 - الشركة الكويتية لتزويد الطائرات بالوقود لصالح الشركة الكويتية لتزويد الطائرات بالوقود وفقاً للشروط والمواصفات المعتمدة في وثائق الطرح.</t>
        </is>
      </c>
      <c r="F1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1" s="12" t="inlineStr">
        <is>
          <t>عام</t>
        </is>
      </c>
      <c r="H11" s="12" t="inlineStr">
        <is>
          <t>0.0%</t>
        </is>
      </c>
      <c r="I11" s="12" t="inlineStr">
        <is>
          <t>government</t>
        </is>
      </c>
      <c r="J11" s="12" t="inlineStr">
        <is>
          <t>2026-09-27</t>
        </is>
      </c>
      <c r="K11" s="12" t="inlineStr">
        <is>
          <t>-</t>
        </is>
      </c>
      <c r="L11" s="12" t="inlineStr">
        <is>
          <t>37400.0</t>
        </is>
      </c>
      <c r="M11" s="12" t="inlineStr">
        <is>
          <t>-</t>
        </is>
      </c>
      <c r="N11" s="25" t="inlineStr">
        <is>
          <t>NEW</t>
        </is>
      </c>
      <c r="O11" s="12" t="inlineStr">
        <is>
          <t>غير متوافقة مع اختصاصات KBM</t>
        </is>
      </c>
      <c r="P11" s="23">
        <f>HYPERLINK("https://kuwaitalyawm.media.gov.kw/Online/ViewAdsHTML?id=171719&amp;no=1", "عرض المصدر")</f>
        <v/>
      </c>
    </row>
    <row r="12">
      <c r="A12" s="13" t="inlineStr">
        <is>
          <t>2026/2025/15</t>
        </is>
      </c>
      <c r="B12" s="13" t="inlineStr">
        <is>
          <t>الشركة الكويتية لتزويد الطائرات بالوقود</t>
        </is>
      </c>
      <c r="C12" s="13" t="inlineStr">
        <is>
          <t>Eiman Ashkanani</t>
        </is>
      </c>
      <c r="D12" s="13" t="inlineStr">
        <is>
          <t>مناقصة رقم 2026/2025/15 - الشركة الكويتية لتزويد الطائرات بالوقود</t>
        </is>
      </c>
      <c r="E12" s="13" t="inlineStr">
        <is>
          <t>أعمال وتوريدات مناقصة رقم 2026/2025/15 - الشركة الكويتية لتزويد الطائرات بالوقود لصالح الشركة الكويتية لتزويد الطائرات بالوقود وفقاً للشروط والمواصفات المعتمدة في وثائق الطرح.</t>
        </is>
      </c>
      <c r="F1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2" s="14" t="inlineStr">
        <is>
          <t>عام</t>
        </is>
      </c>
      <c r="H12" s="14" t="inlineStr">
        <is>
          <t>0.0%</t>
        </is>
      </c>
      <c r="I12" s="14" t="inlineStr">
        <is>
          <t>government</t>
        </is>
      </c>
      <c r="J12" s="14" t="inlineStr">
        <is>
          <t>2026-08-23</t>
        </is>
      </c>
      <c r="K12" s="14" t="inlineStr">
        <is>
          <t>-</t>
        </is>
      </c>
      <c r="L12" s="14" t="inlineStr">
        <is>
          <t>19998.5</t>
        </is>
      </c>
      <c r="M12" s="14" t="inlineStr">
        <is>
          <t>-</t>
        </is>
      </c>
      <c r="N12" s="25" t="inlineStr">
        <is>
          <t>NEW</t>
        </is>
      </c>
      <c r="O12" s="14" t="inlineStr">
        <is>
          <t>غير متوافقة مع اختصاصات KBM</t>
        </is>
      </c>
      <c r="P12" s="22">
        <f>HYPERLINK("https://kuwaitalyawm.media.gov.kw/Online/ViewAdsHTML?id=167896&amp;no=1", "عرض المصدر")</f>
        <v/>
      </c>
    </row>
    <row r="13">
      <c r="A13" s="11" t="inlineStr">
        <is>
          <t>2024/2023/30</t>
        </is>
      </c>
      <c r="B13" s="11" t="inlineStr">
        <is>
          <t>الشركة الكويتية لتزويد الطائرات بالوقود</t>
        </is>
      </c>
      <c r="C13" s="11" t="inlineStr">
        <is>
          <t>Eiman Ashkanani</t>
        </is>
      </c>
      <c r="D13" s="11" t="inlineStr">
        <is>
          <t>مناقصة رقم 2024/2023/30: الحاقا الى الإعلان الصادر في الجريدة الرسمية (الكويت اليوم) العدد رقم (1804) الصفحة رقم (247 &amp; 248) بتاريخ 16/08/2026 بخصوص الموضوع اعلاه، تود لجنة الشراء العليا لمناقصات الشركة الكويتية لتزويد الطائرات بناء على طلب من الشركة الكويتية لتزويد الطائرات بالوقود، ان تسترعي انتباه السادة المناقصين / الشركات الى انه تم تغيير موعد تاريخ الاجتماع التمهيدي للمناقصة الى يوم الاثنين الموافق 1/9/2026 بدلا من يوم الخميس الموافق 27/8/2026</t>
        </is>
      </c>
      <c r="E13" s="11" t="inlineStr">
        <is>
          <t>أعمال وتوريدات الحاقا الى الإعلان الصادر في الجريدة الرسمية (الكويت اليوم) العدد رقم (1804) الصفحة رقم (247 &amp; 248) بتاريخ 16/08/2026 بخصوص الموضوع اعلاه، تود لجنة الشراء العليا لمناقصات الشركة الكويتية لتزويد الطائرات بناء على طلب من الشركة الكويتية لتزويد الطائرات بالوقود، ان تسترعي انتباه السادة المناقصين / الشركات الى انه تم تغيير موعد تاريخ الاجتماع التمهيدي للمناقصة الى يوم الاثنين الموافق 1/9/2026 بدلا من يوم الخميس الموافق 27/8/2026 لصالح الشركة الكويتية لتزويد الطائرات بالوقود وفقاً للشروط والمواصفات المعتمدة في وثائق الطرح.</t>
        </is>
      </c>
      <c r="F1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3" s="12" t="inlineStr">
        <is>
          <t>عام</t>
        </is>
      </c>
      <c r="H13" s="12" t="inlineStr">
        <is>
          <t>0.0%</t>
        </is>
      </c>
      <c r="I13" s="12" t="inlineStr">
        <is>
          <t>government</t>
        </is>
      </c>
      <c r="J13" s="12" t="inlineStr">
        <is>
          <t>2026-08-23</t>
        </is>
      </c>
      <c r="K13" s="12" t="inlineStr">
        <is>
          <t>-</t>
        </is>
      </c>
      <c r="L13" s="12" t="inlineStr">
        <is>
          <t>-</t>
        </is>
      </c>
      <c r="M13" s="12" t="inlineStr">
        <is>
          <t>-</t>
        </is>
      </c>
      <c r="N13" s="25" t="inlineStr">
        <is>
          <t>NEW</t>
        </is>
      </c>
      <c r="O13" s="12" t="inlineStr">
        <is>
          <t>غير متوافقة مع اختصاصات KBM</t>
        </is>
      </c>
      <c r="P13" s="23">
        <f>HYPERLINK("https://kuwaitalyawm.media.gov.kw/Online/ViewAdsHTML?id=167897&amp;no=1", "عرض المصدر")</f>
        <v/>
      </c>
    </row>
    <row r="14">
      <c r="A14" s="13" t="inlineStr">
        <is>
          <t>25/26-38</t>
        </is>
      </c>
      <c r="B14" s="13" t="inlineStr">
        <is>
          <t>الشركة الكويتية لتزويد الطائرات بالوقود</t>
        </is>
      </c>
      <c r="C14" s="13" t="inlineStr">
        <is>
          <t>Eiman Ashkanani</t>
        </is>
      </c>
      <c r="D14" s="13" t="inlineStr">
        <is>
          <t>مناقصة رقم 25/26/38: تاريخ الاجتماع التمهيدي واخر موعد لشراء وثائق المناقصة</t>
        </is>
      </c>
      <c r="E14" s="13" t="inlineStr">
        <is>
          <t>أعمال وتوريدات تاريخ الاجتماع التمهيدي واخر موعد لشراء وثائق المناقصة لصالح الشركة الكويتية لتزويد الطائرات بالوقود وفقاً للشروط والمواصفات المعتمدة في وثائق الطرح.</t>
        </is>
      </c>
      <c r="F1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4" s="14" t="inlineStr">
        <is>
          <t>عام</t>
        </is>
      </c>
      <c r="H14" s="14" t="inlineStr">
        <is>
          <t>0.0%</t>
        </is>
      </c>
      <c r="I14" s="14" t="inlineStr">
        <is>
          <t>government</t>
        </is>
      </c>
      <c r="J14" s="14" t="inlineStr">
        <is>
          <t>2026-08-30</t>
        </is>
      </c>
      <c r="K14" s="14" t="inlineStr">
        <is>
          <t>2026-08-30</t>
        </is>
      </c>
      <c r="L14" s="14" t="inlineStr">
        <is>
          <t>1000.0</t>
        </is>
      </c>
      <c r="M14" s="14" t="inlineStr">
        <is>
          <t>100.0</t>
        </is>
      </c>
      <c r="N14" s="25" t="inlineStr">
        <is>
          <t>NEW</t>
        </is>
      </c>
      <c r="O14" s="14" t="inlineStr">
        <is>
          <t>غير متوافقة مع اختصاصات KBM</t>
        </is>
      </c>
      <c r="P14" s="22">
        <f>HYPERLINK("https://kuwaitalyawm.media.gov.kw/Online/ViewAdsHTML?id=171720&amp;no=1", "عرض المصدر")</f>
        <v/>
      </c>
    </row>
    <row r="15">
      <c r="A15" s="11" t="inlineStr">
        <is>
          <t>2026/2025/33</t>
        </is>
      </c>
      <c r="B15" s="11" t="inlineStr">
        <is>
          <t>الشركة الكويتية لتزويد الطائرات بالوقود</t>
        </is>
      </c>
      <c r="C15" s="11" t="inlineStr">
        <is>
          <t>Eiman Ashkanani</t>
        </is>
      </c>
      <c r="D15" s="11" t="inlineStr">
        <is>
          <t>مناقصة رقم 2026/2025/33: الحاقا إلى الإعلان الصادر في الجريدة الرسمية ( الكويت اليوم ) العدد رقم (1802) الصفحة رقم (258, 259 &amp; 260) بتاريخ 02/08/2026 بخصوص الموضوع اعلاه ، تود لجنة الشراء العليا لمناقصات الشركة الكويتية لتزويد الطائرات بناء على طلب من الشركة الكويتية لتزويد الطائرات بالوقود شركة تابعة لشركة البترول الوطنية ، أن تسترعي انتباه السادة المناقصين / الشركات إلى أنه تم تمديد موعد الإغلاق للمناقصة إلى يوم الثلاثاء الموافق 15/09/2026 بدلا من يوم الثلاثاء الموافق 01/09/2026</t>
        </is>
      </c>
      <c r="E15" s="11" t="inlineStr">
        <is>
          <t>أعمال وتوريدات الحاقا إلى الإعلان الصادر في الجريدة الرسمية ( الكويت اليوم ) العدد رقم (1802) الصفحة رقم (258, 259 &amp; 260) بتاريخ 02/08/2026 بخصوص الموضوع اعلاه ، تود لجنة الشراء العليا لمناقصات الشركة الكويتية لتزويد الطائرات بناء على طلب من الشركة الكويتية لتزويد الطائرات بالوقود شركة تابعة لشركة البترول الوطنية ، أن تسترعي انتباه السادة المناقصين / الشركات إلى أنه تم تمديد موعد الإغلاق للمناقصة إلى يوم الثلاثاء الموافق 15/09/2026 بدلا من يوم الثلاثاء الموافق 01/09/2026 لصالح الشركة الكويتية لتزويد الطائرات بالوقود وفقاً للشروط والمواصفات المعتمدة في وثائق الطرح.</t>
        </is>
      </c>
      <c r="F1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5" s="12" t="inlineStr">
        <is>
          <t>عام</t>
        </is>
      </c>
      <c r="H15" s="12" t="inlineStr">
        <is>
          <t>0.0%</t>
        </is>
      </c>
      <c r="I15" s="12" t="inlineStr">
        <is>
          <t>government</t>
        </is>
      </c>
      <c r="J15" s="12" t="inlineStr">
        <is>
          <t>2026-08-30</t>
        </is>
      </c>
      <c r="K15" s="12" t="inlineStr">
        <is>
          <t>2026-09-15</t>
        </is>
      </c>
      <c r="L15" s="12" t="inlineStr">
        <is>
          <t>-</t>
        </is>
      </c>
      <c r="M15" s="12" t="inlineStr">
        <is>
          <t>-</t>
        </is>
      </c>
      <c r="N15" s="25" t="inlineStr">
        <is>
          <t>NEW</t>
        </is>
      </c>
      <c r="O15" s="12" t="inlineStr">
        <is>
          <t>غير متوافقة مع اختصاصات KBM</t>
        </is>
      </c>
      <c r="P15" s="23">
        <f>HYPERLINK("https://kuwaitalyawm.media.gov.kw/Online/ViewAdsHTML?id=168756&amp;no=1", "عرض المصدر")</f>
        <v/>
      </c>
    </row>
    <row r="16">
      <c r="A16" s="13" t="inlineStr">
        <is>
          <t>26/25/33</t>
        </is>
      </c>
      <c r="B16" s="13" t="inlineStr">
        <is>
          <t>الشركة الكويتية لتزويد الطائرات بالوقود</t>
        </is>
      </c>
      <c r="C16" s="13" t="inlineStr">
        <is>
          <t>Eiman Ashkanani</t>
        </is>
      </c>
      <c r="D16" s="13" t="inlineStr">
        <is>
          <t>مناقصة رقم 26/25/33: الحاقا إلى الإعلان الصادر في الجريدة الرسمية ( الكويت اليوم ) العدد رقم (1806) الصفحة رقم (282 &amp; 283) بتاريخ 30/08/2026 بخصوص الموضوع اعلاه، تود لجنة الشراء العليا لمناقصات الشركة الكويتية لتزويد الطائرات بناء على طلب من الشركة الكويتية لتزويد الطائرات بالوقود شركة تابعة لشركة البترول الوطنية ، أن تسترعي انتباه السادة المناقصين / الشركات إلى أنه تم تمديد موعد الإغلاق للمناقصة إلى يوم الثلاثاء الموافق 22/9/2026 بدلا من يوم الثلاثاء الموافق 15/09/2026</t>
        </is>
      </c>
      <c r="E16" s="13" t="inlineStr">
        <is>
          <t>أعمال وتوريدات الحاقا إلى الإعلان الصادر في الجريدة الرسمية ( الكويت اليوم ) العدد رقم (1806) الصفحة رقم (282 &amp; 283) بتاريخ 30/08/2026 بخصوص الموضوع اعلاه، تود لجنة الشراء العليا لمناقصات الشركة الكويتية لتزويد الطائرات بناء على طلب من الشركة الكويتية لتزويد الطائرات بالوقود شركة تابعة لشركة البترول الوطنية ، أن تسترعي انتباه السادة المناقصين / الشركات إلى أنه تم تمديد موعد الإغلاق للمناقصة إلى يوم الثلاثاء الموافق 22/9/2026 بدلا من يوم الثلاثاء الموافق 15/09/2026 لصالح الشركة الكويتية لتزويد الطائرات بالوقود وفقاً للشروط والمواصفات المعتمدة في وثائق الطرح.</t>
        </is>
      </c>
      <c r="F1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6" s="14" t="inlineStr">
        <is>
          <t>عام</t>
        </is>
      </c>
      <c r="H16" s="14" t="inlineStr">
        <is>
          <t>0.0%</t>
        </is>
      </c>
      <c r="I16" s="14" t="inlineStr">
        <is>
          <t>government</t>
        </is>
      </c>
      <c r="J16" s="14" t="inlineStr">
        <is>
          <t>2026-09-27</t>
        </is>
      </c>
      <c r="K16" s="14" t="inlineStr">
        <is>
          <t>2026-09-22</t>
        </is>
      </c>
      <c r="L16" s="14" t="inlineStr">
        <is>
          <t>-</t>
        </is>
      </c>
      <c r="M16" s="14" t="inlineStr">
        <is>
          <t>-</t>
        </is>
      </c>
      <c r="N16" s="25" t="inlineStr">
        <is>
          <t>NEW</t>
        </is>
      </c>
      <c r="O16" s="14" t="inlineStr">
        <is>
          <t>غير متوافقة مع اختصاصات KBM</t>
        </is>
      </c>
      <c r="P16" s="22">
        <f>HYPERLINK("https://kuwaitalyawm.media.gov.kw/Online/ViewAdsHTML?id=171722&amp;no=1", "عرض المصدر")</f>
        <v/>
      </c>
    </row>
    <row r="17">
      <c r="A17" s="11" t="inlineStr">
        <is>
          <t>23/24-30</t>
        </is>
      </c>
      <c r="B17" s="11" t="inlineStr">
        <is>
          <t>الشركة الكويتية لتزويد الطائرات بالوقود</t>
        </is>
      </c>
      <c r="C17" s="11" t="inlineStr">
        <is>
          <t>Eiman Ashkanani</t>
        </is>
      </c>
      <c r="D17" s="11" t="inlineStr">
        <is>
          <t>مناقصة رقم 23/24/30: الحاقا الى الإعلان الصادر في الجريدة الرسمية (الكويت اليوم) العدد رقم (1804) الصفحة رقم (247 &amp; 248) بتاريخ 16/8/2026 بخصوص الموضوع اعلاه، تود لجنة الشراء العليا لمناقصات الشركة الكويتية لتزويد الطائرات بناء على طلب من الشركة الكويتية لتزويد الطائرات بالوقود، ان تسترعي انتباه السادة المناقصين / الشركات الى انه تم تمديد موعد الاغلاق للمناقصة الى يوم الثلاثاء الموافق 29/9/2026 بدلا من يوم الثلاثاء الموافق 15/9/2026</t>
        </is>
      </c>
      <c r="E17" s="11" t="inlineStr">
        <is>
          <t>أعمال وتوريدات الحاقا الى الإعلان الصادر في الجريدة الرسمية (الكويت اليوم) العدد رقم (1804) الصفحة رقم (247 &amp; 248) بتاريخ 16/8/2026 بخصوص الموضوع اعلاه، تود لجنة الشراء العليا لمناقصات الشركة الكويتية لتزويد الطائرات بناء على طلب من الشركة الكويتية لتزويد الطائرات بالوقود، ان تسترعي انتباه السادة المناقصين / الشركات الى انه تم تمديد موعد الاغلاق للمناقصة الى يوم الثلاثاء الموافق 29/9/2026 بدلا من يوم الثلاثاء الموافق 15/9/2026 لصالح الشركة الكويتية لتزويد الطائرات بالوقود وفقاً للشروط والمواصفات المعتمدة في وثائق الطرح.</t>
        </is>
      </c>
      <c r="F1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7" s="12" t="inlineStr">
        <is>
          <t>عام</t>
        </is>
      </c>
      <c r="H17" s="12" t="inlineStr">
        <is>
          <t>0.0%</t>
        </is>
      </c>
      <c r="I17" s="12" t="inlineStr">
        <is>
          <t>government</t>
        </is>
      </c>
      <c r="J17" s="12" t="inlineStr">
        <is>
          <t>2026-09-13</t>
        </is>
      </c>
      <c r="K17" s="12" t="inlineStr">
        <is>
          <t>2026-10-13</t>
        </is>
      </c>
      <c r="L17" s="12" t="inlineStr">
        <is>
          <t>-</t>
        </is>
      </c>
      <c r="M17" s="12" t="inlineStr">
        <is>
          <t>-</t>
        </is>
      </c>
      <c r="N17" s="25" t="inlineStr">
        <is>
          <t>NEW</t>
        </is>
      </c>
      <c r="O17" s="12" t="inlineStr">
        <is>
          <t>غير متوافقة مع اختصاصات KBM</t>
        </is>
      </c>
      <c r="P17" s="23">
        <f>HYPERLINK("https://kuwaitalyawm.media.gov.kw/Online/ViewAdsHTML?id=171721&amp;no=1", "عرض المصدر")</f>
        <v/>
      </c>
    </row>
    <row r="18">
      <c r="A18" s="13" t="inlineStr">
        <is>
          <t>CZ/LNGI/MP/012</t>
        </is>
      </c>
      <c r="B18" s="13" t="inlineStr">
        <is>
          <t>الشركة الكويتية للصناعات البترولية المتكاملة</t>
        </is>
      </c>
      <c r="C18" s="13" t="inlineStr">
        <is>
          <t>Eiman Ashkanani</t>
        </is>
      </c>
      <c r="D18" s="13" t="inlineStr">
        <is>
          <t>اعمال الهندسه ,التوريد,الانشاء,اعمال ماقبل التشغيل,المساعده في اعمال التشغيل,بدء التشغيل واختبارات الاداء لمشروع اضافه وحده اعاده اساله الغاز الطبيعي في مرافق استيراد الغاز الطبيعي المسال في منطقه الزور ,الكويت</t>
        </is>
      </c>
      <c r="E18" s="13" t="inlineStr">
        <is>
          <t>توريد المستلزمات والمواد والمستهلكات الطبية أو المخبرية المتخصصة لصالح المرافق الصحية.</t>
        </is>
      </c>
      <c r="F1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8" s="14" t="inlineStr">
        <is>
          <t>عام</t>
        </is>
      </c>
      <c r="H18" s="14" t="inlineStr">
        <is>
          <t>15.0%</t>
        </is>
      </c>
      <c r="I18" s="14" t="inlineStr">
        <is>
          <t>oil_and_gas</t>
        </is>
      </c>
      <c r="J18" s="14" t="inlineStr">
        <is>
          <t>2026-09-27</t>
        </is>
      </c>
      <c r="K18" s="14" t="inlineStr">
        <is>
          <t>2026-12-22</t>
        </is>
      </c>
      <c r="L18" s="14" t="inlineStr">
        <is>
          <t>450000.000 KWD</t>
        </is>
      </c>
      <c r="M18" s="14" t="inlineStr">
        <is>
          <t>5000.000 KWD</t>
        </is>
      </c>
      <c r="N18" s="26" t="inlineStr">
        <is>
          <t>UNCHANGED</t>
        </is>
      </c>
      <c r="O18" s="14" t="inlineStr">
        <is>
          <t>غير متوافقة مع اختصاصات KBM</t>
        </is>
      </c>
      <c r="P18" s="22">
        <f>HYPERLINK("https://capt.gov.kw/ar/tenders/opening-tenders/#card-4", "عرض المصدر")</f>
        <v/>
      </c>
    </row>
    <row r="19">
      <c r="A19" s="11" t="inlineStr">
        <is>
          <t>HO/CC066-R0/SV26</t>
        </is>
      </c>
      <c r="B19" s="11" t="inlineStr">
        <is>
          <t>الشركة الكويتية لنفط الخليج</t>
        </is>
      </c>
      <c r="C19" s="11" t="inlineStr">
        <is>
          <t>Eiman Ashkanani</t>
        </is>
      </c>
      <c r="D19" s="11" t="inlineStr">
        <is>
          <t>مناقصة رقم HO/CC066-R0/SV26 - الشركة الكويتية لنفط الخليج</t>
        </is>
      </c>
      <c r="E19" s="11" t="inlineStr">
        <is>
          <t>أعمال وتوريدات مناقصة رقم HO/CC066-R0/SV26 - الشركة الكويتية لنفط الخليج لصالح الشركة الكويتية لنفط الخليج وفقاً للشروط والمواصفات المعتمدة في وثائق الطرح.</t>
        </is>
      </c>
      <c r="F1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9" s="12" t="inlineStr">
        <is>
          <t>عام</t>
        </is>
      </c>
      <c r="H19" s="12" t="inlineStr">
        <is>
          <t>0.0%</t>
        </is>
      </c>
      <c r="I19" s="12" t="inlineStr">
        <is>
          <t>government</t>
        </is>
      </c>
      <c r="J19" s="12" t="inlineStr">
        <is>
          <t>2026-08-30</t>
        </is>
      </c>
      <c r="K19" s="12" t="inlineStr">
        <is>
          <t>2026-12-01</t>
        </is>
      </c>
      <c r="L19" s="12" t="inlineStr">
        <is>
          <t>50000.0</t>
        </is>
      </c>
      <c r="M19" s="12" t="inlineStr">
        <is>
          <t>-</t>
        </is>
      </c>
      <c r="N19" s="25" t="inlineStr">
        <is>
          <t>NEW</t>
        </is>
      </c>
      <c r="O19" s="12" t="inlineStr">
        <is>
          <t>غير متوافقة مع اختصاصات KBM</t>
        </is>
      </c>
      <c r="P19" s="23">
        <f>HYPERLINK("https://kuwaitalyawm.media.gov.kw/Online/ViewAdsHTML?id=168757&amp;no=1", "عرض المصدر")</f>
        <v/>
      </c>
    </row>
    <row r="20">
      <c r="A20" s="13" t="inlineStr">
        <is>
          <t>HO/TC146000/R0/PM&amp;E26</t>
        </is>
      </c>
      <c r="B20" s="13" t="inlineStr">
        <is>
          <t>الشركة الكويتية لنفط الخليج</t>
        </is>
      </c>
      <c r="C20" s="13" t="inlineStr">
        <is>
          <t>Eiman Ashkanani</t>
        </is>
      </c>
      <c r="D20" s="13" t="inlineStr">
        <is>
          <t>مناقصة رقم HO/TC146000/R0/PM&amp;E26 - الشركة الكويتية لنفط الخليج</t>
        </is>
      </c>
      <c r="E20" s="13" t="inlineStr">
        <is>
          <t>أعمال وتوريدات مناقصة رقم HO/TC146000/R0/PM&amp;E26 - الشركة الكويتية لنفط الخليج لصالح الشركة الكويتية لنفط الخليج وفقاً للشروط والمواصفات المعتمدة في وثائق الطرح.</t>
        </is>
      </c>
      <c r="F2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0" s="14" t="inlineStr">
        <is>
          <t>عام</t>
        </is>
      </c>
      <c r="H20" s="14" t="inlineStr">
        <is>
          <t>0.0%</t>
        </is>
      </c>
      <c r="I20" s="14" t="inlineStr">
        <is>
          <t>government</t>
        </is>
      </c>
      <c r="J20" s="14" t="inlineStr">
        <is>
          <t>2026-08-23</t>
        </is>
      </c>
      <c r="K20" s="14" t="inlineStr">
        <is>
          <t>2026-12-29</t>
        </is>
      </c>
      <c r="L20" s="14" t="inlineStr">
        <is>
          <t>10000000.0</t>
        </is>
      </c>
      <c r="M20" s="14" t="inlineStr">
        <is>
          <t>-</t>
        </is>
      </c>
      <c r="N20" s="25" t="inlineStr">
        <is>
          <t>NEW</t>
        </is>
      </c>
      <c r="O20" s="14" t="inlineStr">
        <is>
          <t>غير متوافقة مع اختصاصات KBM</t>
        </is>
      </c>
      <c r="P20" s="22">
        <f>HYPERLINK("https://kuwaitalyawm.media.gov.kw/Online/ViewAdsHTML?id=167899&amp;no=1", "عرض المصدر")</f>
        <v/>
      </c>
    </row>
    <row r="21">
      <c r="A21" s="11" t="inlineStr">
        <is>
          <t>ع ت ا م/ ق/ 2/2025</t>
        </is>
      </c>
      <c r="B21" s="11" t="inlineStr">
        <is>
          <t>المؤسسة العامة للتأمينات الاجتماعية</t>
        </is>
      </c>
      <c r="C21" s="11" t="inlineStr">
        <is>
          <t>Jana Al-Obaid</t>
        </is>
      </c>
      <c r="D21" s="11" t="inlineStr">
        <is>
          <t>تفعيل تراخيص لنظام إدارة خدمات تكنولوجيا المعلومات BMC - ITSM وتقديم خدمات الصيانة والدعم الفني لها والتدريب عليها بالمؤسسة العامة للتأمينات الاجتماعية</t>
        </is>
      </c>
      <c r="E21" s="11" t="inlineStr">
        <is>
          <t>تنفيذ أعمال تفعيل تراخيص لنظام إدارة خدمات تكنولوجيا المعلومات BMC - ITSM وتقديم خدمات الصيانة والدعم الفني لها والتدريب عليها بالمؤسسة العامة للتأمينات الاجتماعية، وتوفير كافة الأجهزة والمعدات والأنظمة وخدمات الدعم الفني والضمان وفقاً لكراسة الشروط والمواصفات الفنية.</t>
        </is>
      </c>
      <c r="F2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1" s="24" t="inlineStr">
        <is>
          <t>قطاع العمليات المدارة والدعم الفني متعدد الموردين</t>
        </is>
      </c>
      <c r="H21" s="12" t="inlineStr">
        <is>
          <t>64.0%</t>
        </is>
      </c>
      <c r="I21" s="12" t="inlineStr">
        <is>
          <t>banking_and_finance</t>
        </is>
      </c>
      <c r="J21" s="12" t="inlineStr">
        <is>
          <t>2026-09-06</t>
        </is>
      </c>
      <c r="K21" s="12" t="inlineStr">
        <is>
          <t>2026-12-01</t>
        </is>
      </c>
      <c r="L21" s="12" t="inlineStr">
        <is>
          <t>3500.000 KWD</t>
        </is>
      </c>
      <c r="M21" s="12" t="inlineStr">
        <is>
          <t>150.000 KWD</t>
        </is>
      </c>
      <c r="N21" s="26" t="inlineStr">
        <is>
          <t>UNCHANGED</t>
        </is>
      </c>
      <c r="O21" s="12" t="inlineStr">
        <is>
          <t>فرصة ICT متوافقة مع قدرات KBM</t>
        </is>
      </c>
      <c r="P21" s="23">
        <f>HYPERLINK("https://capt.gov.kw/ar/tenders/opening-tenders/#card-7", "عرض المصدر")</f>
        <v/>
      </c>
    </row>
    <row r="22">
      <c r="A22" s="13" t="inlineStr">
        <is>
          <t>2027/2026/1529</t>
        </is>
      </c>
      <c r="B22" s="13" t="inlineStr">
        <is>
          <t>المؤسسة العامة للرعاية السكنية</t>
        </is>
      </c>
      <c r="C22" s="13" t="inlineStr">
        <is>
          <t>Eiman Ashkanani</t>
        </is>
      </c>
      <c r="D22" s="13" t="inlineStr">
        <is>
          <t>مناقصة رقم 2027/2026/1529 - المؤسسة العامة للرعاية السكنية</t>
        </is>
      </c>
      <c r="E22" s="13" t="inlineStr">
        <is>
          <t>أعمال وتوريدات مناقصة رقم 2027/2026/1529 لصالح المؤسسة العامة للرعاية السكنية وفقاً للشروط والمواصفات المعتمدة في وثائق الطرح.</t>
        </is>
      </c>
      <c r="F22" s="13" t="inlineStr">
        <is>
          <t>• - ورقتا صيغة العطاء وإجمالي قيمة العطاء (نسخاً أصلية) مستكملة البيانات ومختومة وموقعة.</t>
        </is>
      </c>
      <c r="G22" s="14" t="inlineStr">
        <is>
          <t>عام</t>
        </is>
      </c>
      <c r="H22" s="14" t="inlineStr">
        <is>
          <t>0.0%</t>
        </is>
      </c>
      <c r="I22" s="14" t="inlineStr">
        <is>
          <t>government</t>
        </is>
      </c>
      <c r="J22" s="14" t="inlineStr">
        <is>
          <t>2026-09-13</t>
        </is>
      </c>
      <c r="K22" s="14" t="inlineStr">
        <is>
          <t>-</t>
        </is>
      </c>
      <c r="L22" s="14" t="inlineStr">
        <is>
          <t>6000.0</t>
        </is>
      </c>
      <c r="M22" s="14" t="inlineStr">
        <is>
          <t>150.0</t>
        </is>
      </c>
      <c r="N22" s="25" t="inlineStr">
        <is>
          <t>NEW</t>
        </is>
      </c>
      <c r="O22" s="14" t="inlineStr">
        <is>
          <t>غير متوافقة مع اختصاصات KBM</t>
        </is>
      </c>
      <c r="P22" s="22">
        <f>HYPERLINK("https://kuwaitalyawm.media.gov.kw/Online/ViewAdsHTML?id=170492&amp;no=1", "عرض المصدر")</f>
        <v/>
      </c>
    </row>
    <row r="23">
      <c r="A23" s="11" t="inlineStr">
        <is>
          <t>2027/2026/1434</t>
        </is>
      </c>
      <c r="B23" s="11" t="inlineStr">
        <is>
          <t>المؤسسة العامة للرعاية السكنية</t>
        </is>
      </c>
      <c r="C23" s="11" t="inlineStr">
        <is>
          <t>Eiman Ashkanani</t>
        </is>
      </c>
      <c r="D23" s="11" t="inlineStr">
        <is>
          <t>مناقصة رقم 2027/2026/1434 - المؤسسة العامة للرعاية السكنية</t>
        </is>
      </c>
      <c r="E23" s="11" t="inlineStr">
        <is>
          <t>أعمال وتوريدات مناقصة رقم 2027/2026/1434 لصالح المؤسسة العامة للرعاية السكنية وفقاً للشروط والمواصفات المعتمدة في وثائق الطرح.</t>
        </is>
      </c>
      <c r="F2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3" s="12" t="inlineStr">
        <is>
          <t>عام</t>
        </is>
      </c>
      <c r="H23" s="12" t="inlineStr">
        <is>
          <t>0.0%</t>
        </is>
      </c>
      <c r="I23" s="12" t="inlineStr">
        <is>
          <t>government</t>
        </is>
      </c>
      <c r="J23" s="12" t="inlineStr">
        <is>
          <t>2026-08-23</t>
        </is>
      </c>
      <c r="K23" s="12" t="inlineStr">
        <is>
          <t>2026-08-26</t>
        </is>
      </c>
      <c r="L23" s="12" t="inlineStr">
        <is>
          <t>-</t>
        </is>
      </c>
      <c r="M23" s="12" t="inlineStr">
        <is>
          <t>-</t>
        </is>
      </c>
      <c r="N23" s="25" t="inlineStr">
        <is>
          <t>NEW</t>
        </is>
      </c>
      <c r="O23" s="12" t="inlineStr">
        <is>
          <t>غير متوافقة مع اختصاصات KBM</t>
        </is>
      </c>
      <c r="P23" s="23">
        <f>HYPERLINK("https://kuwaitalyawm.media.gov.kw/Online/ViewAdsHTML?id=167881&amp;no=1", "عرض المصدر")</f>
        <v/>
      </c>
    </row>
    <row r="24">
      <c r="A24" s="13" t="inlineStr">
        <is>
          <t>2027/2026/1435</t>
        </is>
      </c>
      <c r="B24" s="13" t="inlineStr">
        <is>
          <t>المؤسسة العامة للرعاية السكنية</t>
        </is>
      </c>
      <c r="C24" s="13" t="inlineStr">
        <is>
          <t>Eiman Ashkanani</t>
        </is>
      </c>
      <c r="D24" s="13" t="inlineStr">
        <is>
          <t>مناقصة رقم 2027/2026/1435 - المؤسسة العامة للرعاية السكنية</t>
        </is>
      </c>
      <c r="E24" s="13" t="inlineStr">
        <is>
          <t>أعمال وتوريدات مناقصة رقم 2027/2026/1435 لصالح المؤسسة العامة للرعاية السكنية وفقاً للشروط والمواصفات المعتمدة في وثائق الطرح.</t>
        </is>
      </c>
      <c r="F2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4" s="14" t="inlineStr">
        <is>
          <t>عام</t>
        </is>
      </c>
      <c r="H24" s="14" t="inlineStr">
        <is>
          <t>0.0%</t>
        </is>
      </c>
      <c r="I24" s="14" t="inlineStr">
        <is>
          <t>government</t>
        </is>
      </c>
      <c r="J24" s="14" t="inlineStr">
        <is>
          <t>2026-08-23</t>
        </is>
      </c>
      <c r="K24" s="14" t="inlineStr">
        <is>
          <t>2026-08-26</t>
        </is>
      </c>
      <c r="L24" s="14" t="inlineStr">
        <is>
          <t>-</t>
        </is>
      </c>
      <c r="M24" s="14" t="inlineStr">
        <is>
          <t>-</t>
        </is>
      </c>
      <c r="N24" s="25" t="inlineStr">
        <is>
          <t>NEW</t>
        </is>
      </c>
      <c r="O24" s="14" t="inlineStr">
        <is>
          <t>غير متوافقة مع اختصاصات KBM</t>
        </is>
      </c>
      <c r="P24" s="22">
        <f>HYPERLINK("https://kuwaitalyawm.media.gov.kw/Online/ViewAdsHTML?id=167882&amp;no=1", "عرض المصدر")</f>
        <v/>
      </c>
    </row>
    <row r="25">
      <c r="A25" s="11" t="inlineStr">
        <is>
          <t>2027/2026/1302</t>
        </is>
      </c>
      <c r="B25" s="11" t="inlineStr">
        <is>
          <t>المؤسسة العامة للرعاية السكنية</t>
        </is>
      </c>
      <c r="C25" s="11" t="inlineStr">
        <is>
          <t>Eiman Ashkanani</t>
        </is>
      </c>
      <c r="D25" s="11" t="inlineStr">
        <is>
          <t>مناقصة رقم 2027/2026/1302: أعمال إنشاء وإنـجاز وصيانة طبقة الاسفلت السطحية</t>
        </is>
      </c>
      <c r="E25" s="11" t="inlineStr">
        <is>
          <t>تنفيذ الأعمال المدنية والإنشائية والترميم والصيانة العامة للمباني والمنشآت والمرافق التابعة للجهة.</t>
        </is>
      </c>
      <c r="F2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5" s="12" t="inlineStr">
        <is>
          <t>عام</t>
        </is>
      </c>
      <c r="H25" s="12" t="inlineStr">
        <is>
          <t>28.0%</t>
        </is>
      </c>
      <c r="I25" s="12" t="inlineStr">
        <is>
          <t>government</t>
        </is>
      </c>
      <c r="J25" s="12" t="inlineStr">
        <is>
          <t>2026-08-23</t>
        </is>
      </c>
      <c r="K25" s="12" t="inlineStr">
        <is>
          <t>2026-09-13</t>
        </is>
      </c>
      <c r="L25" s="12" t="inlineStr">
        <is>
          <t>-</t>
        </is>
      </c>
      <c r="M25" s="12" t="inlineStr">
        <is>
          <t>-</t>
        </is>
      </c>
      <c r="N25" s="25" t="inlineStr">
        <is>
          <t>NEW</t>
        </is>
      </c>
      <c r="O25" s="12" t="inlineStr">
        <is>
          <t>غير متوافقة مع اختصاصات KBM</t>
        </is>
      </c>
      <c r="P25" s="23">
        <f>HYPERLINK("https://kuwaitalyawm.media.gov.kw/Online/ViewAdsHTML?id=167880&amp;no=1", "عرض المصدر")</f>
        <v/>
      </c>
    </row>
    <row r="26">
      <c r="A26" s="13" t="inlineStr">
        <is>
          <t>2027/2026/1532</t>
        </is>
      </c>
      <c r="B26" s="13" t="inlineStr">
        <is>
          <t>المؤسسة العامة للرعاية السكنية</t>
        </is>
      </c>
      <c r="C26" s="13" t="inlineStr">
        <is>
          <t>Eiman Ashkanani</t>
        </is>
      </c>
      <c r="D26" s="13" t="inlineStr">
        <is>
          <t>مناقصة رقم 2027/2026/1532: تاريخ الإقفال وتقديم العطاءات: 24/9/2026 بدلا من 6/9/2026م.</t>
        </is>
      </c>
      <c r="E26" s="13" t="inlineStr">
        <is>
          <t>أعمال وتوريدات 24/9/2026 بدلا من 6/9/2026م. لصالح المؤسسة العامة للرعاية السكنية وفقاً للشروط والمواصفات المعتمدة في وثائق الطرح.</t>
        </is>
      </c>
      <c r="F2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6" s="14" t="inlineStr">
        <is>
          <t>عام</t>
        </is>
      </c>
      <c r="H26" s="14" t="inlineStr">
        <is>
          <t>28.0%</t>
        </is>
      </c>
      <c r="I26" s="14" t="inlineStr">
        <is>
          <t>government</t>
        </is>
      </c>
      <c r="J26" s="14" t="inlineStr">
        <is>
          <t>2026-09-06</t>
        </is>
      </c>
      <c r="K26" s="14" t="inlineStr">
        <is>
          <t>2026-09-24</t>
        </is>
      </c>
      <c r="L26" s="14" t="inlineStr">
        <is>
          <t>-</t>
        </is>
      </c>
      <c r="M26" s="14" t="inlineStr">
        <is>
          <t>-</t>
        </is>
      </c>
      <c r="N26" s="25" t="inlineStr">
        <is>
          <t>NEW</t>
        </is>
      </c>
      <c r="O26" s="14" t="inlineStr">
        <is>
          <t>غير متوافقة مع اختصاصات KBM</t>
        </is>
      </c>
      <c r="P26" s="22">
        <f>HYPERLINK("https://kuwaitalyawm.media.gov.kw/Online/ViewAdsHTML?id=169402&amp;no=1", "عرض المصدر")</f>
        <v/>
      </c>
    </row>
    <row r="27">
      <c r="A27" s="11" t="inlineStr">
        <is>
          <t>2027/2026/1443</t>
        </is>
      </c>
      <c r="B27" s="11" t="inlineStr">
        <is>
          <t>المؤسسة العامة للرعاية السكنية</t>
        </is>
      </c>
      <c r="C27" s="11" t="inlineStr">
        <is>
          <t>Eiman Ashkanani</t>
        </is>
      </c>
      <c r="D27" s="11" t="inlineStr">
        <is>
          <t>مناقصة رقم 2027/2026/1443 - المؤسسة العامة للرعاية السكنية</t>
        </is>
      </c>
      <c r="E27" s="11" t="inlineStr">
        <is>
          <t>أعمال وتوريدات مناقصة رقم 2027/2026/1443 لصالح المؤسسة العامة للرعاية السكنية وفقاً للشروط والمواصفات المعتمدة في وثائق الطرح.</t>
        </is>
      </c>
      <c r="F27" s="11" t="inlineStr">
        <is>
          <t>• 1. يجب أن يكون قد مضى على تأسيس الشركة أو ممارسة النشاط بالنسبة للأفراد أكثر من عشر سنوات.
• 2. يجب ألا تقل قيمة رأس المال للشركة أو الأصول المملوكة للفرد عن (5,000,000 د.ك) خمسة ملايين دينار كويتي. (أو ما يعادلها).
• - ورقتا صيغة العطاء وإجمالي قيمة العطاء (نسخاً أصلية) مستكملة البيانات ومختومة وموقعة.</t>
        </is>
      </c>
      <c r="G27" s="12" t="inlineStr">
        <is>
          <t>عام</t>
        </is>
      </c>
      <c r="H27" s="12" t="inlineStr">
        <is>
          <t>28.0%</t>
        </is>
      </c>
      <c r="I27" s="12" t="inlineStr">
        <is>
          <t>government</t>
        </is>
      </c>
      <c r="J27" s="12" t="inlineStr">
        <is>
          <t>2026-08-30</t>
        </is>
      </c>
      <c r="K27" s="12" t="inlineStr">
        <is>
          <t>2026-09-30</t>
        </is>
      </c>
      <c r="L27" s="12" t="inlineStr">
        <is>
          <t>500000.0</t>
        </is>
      </c>
      <c r="M27" s="12" t="inlineStr">
        <is>
          <t>3500.0</t>
        </is>
      </c>
      <c r="N27" s="25" t="inlineStr">
        <is>
          <t>NEW</t>
        </is>
      </c>
      <c r="O27" s="12" t="inlineStr">
        <is>
          <t>غير متوافقة مع اختصاصات KBM</t>
        </is>
      </c>
      <c r="P27" s="23">
        <f>HYPERLINK("https://kuwaitalyawm.media.gov.kw/Online/ViewAdsHTML?id=171709&amp;no=1", "عرض المصدر")</f>
        <v/>
      </c>
    </row>
    <row r="28">
      <c r="A28" s="13" t="inlineStr">
        <is>
          <t>2027/2026/1444</t>
        </is>
      </c>
      <c r="B28" s="13" t="inlineStr">
        <is>
          <t>المؤسسة العامة للرعاية السكنية</t>
        </is>
      </c>
      <c r="C28" s="13" t="inlineStr">
        <is>
          <t>Eiman Ashkanani</t>
        </is>
      </c>
      <c r="D28" s="13" t="inlineStr">
        <is>
          <t>مناقصة رقم 2027/2026/1444 - المؤسسة العامة للرعاية السكنية</t>
        </is>
      </c>
      <c r="E28" s="13" t="inlineStr">
        <is>
          <t>أعمال وتوريدات مناقصة رقم 2027/2026/1444 لصالح المؤسسة العامة للرعاية السكنية وفقاً للشروط والمواصفات المعتمدة في وثائق الطرح.</t>
        </is>
      </c>
      <c r="F28" s="13" t="inlineStr">
        <is>
          <t>• 1. يجب أن يكون قد مضى على تأسيس الشركة أو ممارسة النشاط بالنسبة للأفراد أكثر من عشر سنوات.
• 2. يجب ألا تقل قيمة رأس المال للشركة أو الأصول المملوكة للفرد عن (5,000,000 د.ك) خمسة ملايين دينار كويتي. (أو ما يعادلها).
• - ورقتا صيغة العطاء وإجمالي قيمة العطاء (نسخاً أصلية) مستكملة البيانات ومختومة وموقعة.</t>
        </is>
      </c>
      <c r="G28" s="14" t="inlineStr">
        <is>
          <t>عام</t>
        </is>
      </c>
      <c r="H28" s="14" t="inlineStr">
        <is>
          <t>28.0%</t>
        </is>
      </c>
      <c r="I28" s="14" t="inlineStr">
        <is>
          <t>government</t>
        </is>
      </c>
      <c r="J28" s="14" t="inlineStr">
        <is>
          <t>2026-08-30</t>
        </is>
      </c>
      <c r="K28" s="14" t="inlineStr">
        <is>
          <t>2026-09-30</t>
        </is>
      </c>
      <c r="L28" s="14" t="inlineStr">
        <is>
          <t>500000.0</t>
        </is>
      </c>
      <c r="M28" s="14" t="inlineStr">
        <is>
          <t>3500.0</t>
        </is>
      </c>
      <c r="N28" s="25" t="inlineStr">
        <is>
          <t>NEW</t>
        </is>
      </c>
      <c r="O28" s="14" t="inlineStr">
        <is>
          <t>غير متوافقة مع اختصاصات KBM</t>
        </is>
      </c>
      <c r="P28" s="22">
        <f>HYPERLINK("https://kuwaitalyawm.media.gov.kw/Online/ViewAdsHTML?id=171710&amp;no=1", "عرض المصدر")</f>
        <v/>
      </c>
    </row>
    <row r="29">
      <c r="A29" s="11" t="inlineStr">
        <is>
          <t>2027/2026/1526</t>
        </is>
      </c>
      <c r="B29" s="11" t="inlineStr">
        <is>
          <t>المؤسسة العامة للرعاية السكنية</t>
        </is>
      </c>
      <c r="C29" s="11" t="inlineStr">
        <is>
          <t>Eiman Ashkanani</t>
        </is>
      </c>
      <c r="D29" s="11" t="inlineStr">
        <is>
          <t>مناقصة رقم 2027/2026/1526 - المؤسسة العامة للرعاية السكنية</t>
        </is>
      </c>
      <c r="E29" s="11" t="inlineStr">
        <is>
          <t>أعمال وتوريدات مناقصة رقم 2027/2026/1526 لصالح المؤسسة العامة للرعاية السكنية وفقاً للشروط والمواصفات المعتمدة في وثائق الطرح.</t>
        </is>
      </c>
      <c r="F29" s="11" t="inlineStr">
        <is>
          <t>• - ورقتا صيغة العطاء وإجمالي قيمة العطاء (نسخاً أصلية) مستكملة البيانات ومختومة وموقعة.
• - التأمين الأولي (الكفالة الأولية)
• - شهادة استيفاء نسبة العمالة الوطنية الصادرة من قبل الهيئة العامة للقوى العاملة سارية المفعول، علما بأنه سيتم استبعاد العطاءات التي لا تتضمن تلك الشهادة.
• ثالثا: مستندات التأهيل (الأسس والمعايير):
• المستندات الفنية المطلوبة: -
• (1) أن يكون لدى المناقص خبرة سابقة مشابهة لطبيعة أعمال المناقصة المطروحة وأنه نفذ أعمال خلال العشر سنوات الأخيرة في مجال الاختصاص عن طريق الجهاز المركزي للمناقصات العامة أو الجهات الحكومية أو المؤسسات التابعة للحكومة بدولة الكويت.
• - مشروع لا تقل قيمته عن (250,000) مئتان وخمسون الفاً دينار كويتي متضمنة:
•  نسخة موثقة من وثيقة المشروع المنفذ موضحا به قيمة العقد ومدته التنفيذية، وشهادة الإنجاز صادرة من قبل الجهة التي تم التعاقد معها لتنفيذ الاعمال لنفس المشروع.
• المستندات المالية:
• - يجب ألا تقل قيمة رأس مال الشركة عن (1,000,000) دينار كويتي أو ما يعادلها بالعملات الأخرى مدعمة بمستندات ثبوتية.
• - على الشركة تقديم البيانات المالية الكاملة (قائمة الدخل الميزانية العمومية، قائمة التدفق النقدي) للشركة عن آخر (3) سنوات معتمدة من مكتب تدقيق ومصدقة من وزارة التجارة والصناعة. وسيتم التقييم المالي للشركات المتقدمة / المناقصين بناء على ما ورد في في المستند رقم (6) بالوثيقة رقم( 4-7) الشروط والمتطلبات الواجب توافرها في مقدم العطاء (الوضع المالي) .
• - على الشركة تقديم شهادات من البنوك التي يتعامل معها المناقص تبين وضعه المالي ومدى استعداد البنوك لتقديم تسهيلات له وعلى ان تكون الشهادات سارية المفعول وصادره خلال سنة طرح المناقصة.
• رابعاً: القواعد والشروط: -
• 1. يجب على المناقص تقديم عدد (1) نسخة ورقية أصلية من جداول الكميات وعدد (3) نسخ الكترونية وبحيث تكون كل نسخة كاملة على فلاش ميموري .
• 2. يجب أن تكون جميع المستندات والبيانات المقدمة من قبل الشركات والمؤسسات واضحة ومتسلسلة.
• 3. يحق للمؤسسة العامة للرعاية السكنية طلب أي نسخة أصلية للتأكد من مطابقتها لنسخ المستندات المرفقة.
• 4. يجب على المناقص تقديم إقرار وتعهد على صحة المعلومات والبيانات المقدمة مع تقديم العطاء.
• 6. ستخضع جميع المستندات المالية والقانونية للدراسة والتحليل المالي لتقييم القدرة المالية للشركة ومدى قابليتها للمشاركة بالمناقصة، وللمؤسسة العامة للرعاية السكنية الحق في رفض أي طلب إذا لم يكن مستوفي لشروط المناقصة.
• يعتبر هذا الاعلان جزء لا يتجزأ من وثائق المناقصة.
• المدير العام</t>
        </is>
      </c>
      <c r="G29" s="12" t="inlineStr">
        <is>
          <t>عام</t>
        </is>
      </c>
      <c r="H29" s="12" t="inlineStr">
        <is>
          <t>28.0%</t>
        </is>
      </c>
      <c r="I29" s="12" t="inlineStr">
        <is>
          <t>government</t>
        </is>
      </c>
      <c r="J29" s="12" t="inlineStr">
        <is>
          <t>2026-09-13</t>
        </is>
      </c>
      <c r="K29" s="12" t="inlineStr">
        <is>
          <t>2026-10-11</t>
        </is>
      </c>
      <c r="L29" s="12" t="inlineStr">
        <is>
          <t>10000.0</t>
        </is>
      </c>
      <c r="M29" s="12" t="inlineStr">
        <is>
          <t>300.0</t>
        </is>
      </c>
      <c r="N29" s="25" t="inlineStr">
        <is>
          <t>NEW</t>
        </is>
      </c>
      <c r="O29" s="12" t="inlineStr">
        <is>
          <t>غير متوافقة مع اختصاصات KBM</t>
        </is>
      </c>
      <c r="P29" s="23">
        <f>HYPERLINK("https://kuwaitalyawm.media.gov.kw/Online/ViewAdsHTML?id=170493&amp;no=1", "عرض المصدر")</f>
        <v/>
      </c>
    </row>
    <row r="30">
      <c r="A30" s="13" t="inlineStr">
        <is>
          <t>ه ز / م م/5/2026/2027</t>
        </is>
      </c>
      <c r="B30" s="13" t="inlineStr">
        <is>
          <t>الهيئة العامة لشؤون الزراعة والثروة السمكية</t>
        </is>
      </c>
      <c r="C30" s="13" t="inlineStr">
        <is>
          <t>Eiman Ashkanani</t>
        </is>
      </c>
      <c r="D30" s="13" t="inlineStr">
        <is>
          <t>تنفيذ و تطوير و صيانة الزراعات التجميلية و الري في الطرق السريعة و الخارجية (القطاع الشمالي)</t>
        </is>
      </c>
      <c r="E30" s="13" t="inlineStr">
        <is>
          <t>أعمال وتوريدات تنفيذ و تطوير و صيانة الزراعات التجميلية و الري في الطرق السريعة و الخارجية (القطاع الشمالي) لصالح الهيئة العامة لشؤون الزراعة والثروة السمكية وفقاً للشروط والمواصفات المعتمدة في وثائق الطرح.</t>
        </is>
      </c>
      <c r="F3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30" s="14" t="inlineStr">
        <is>
          <t>عام</t>
        </is>
      </c>
      <c r="H30" s="14" t="inlineStr">
        <is>
          <t>0.0%</t>
        </is>
      </c>
      <c r="I30" s="14" t="inlineStr">
        <is>
          <t>government</t>
        </is>
      </c>
      <c r="J30" s="14" t="inlineStr">
        <is>
          <t>2026-09-20</t>
        </is>
      </c>
      <c r="K30" s="14" t="inlineStr">
        <is>
          <t>2026-12-15</t>
        </is>
      </c>
      <c r="L30" s="14" t="inlineStr">
        <is>
          <t>23000.000 KWD</t>
        </is>
      </c>
      <c r="M30" s="14" t="inlineStr">
        <is>
          <t>1000.000 KWD</t>
        </is>
      </c>
      <c r="N30" s="26" t="inlineStr">
        <is>
          <t>UNCHANGED</t>
        </is>
      </c>
      <c r="O30" s="14" t="inlineStr">
        <is>
          <t>غير متوافقة مع اختصاصات KBM</t>
        </is>
      </c>
      <c r="P30" s="22">
        <f>HYPERLINK("https://capt.gov.kw/ar/tenders/opening-tenders/#card-2", "عرض المصدر")</f>
        <v/>
      </c>
    </row>
    <row r="31">
      <c r="A31" s="11" t="inlineStr">
        <is>
          <t>هـ ز / م م / 9/2025/2026</t>
        </is>
      </c>
      <c r="B31" s="11" t="inlineStr">
        <is>
          <t>الهيئة العامة لشؤون الزراعة والثروة السمكية</t>
        </is>
      </c>
      <c r="C31" s="11" t="inlineStr">
        <is>
          <t>Eiman Ashkanani</t>
        </is>
      </c>
      <c r="D31" s="11" t="inlineStr">
        <is>
          <t>شراء و توريد أغذية متنوعة لحديقة الحيوان بالعمرية</t>
        </is>
      </c>
      <c r="E31" s="11" t="inlineStr">
        <is>
          <t>أعمال وتوريدات شراء و توريد أغذية متنوعة لحديقة الحيوان بالعمرية لصالح الهيئة العامة لشؤون الزراعة والثروة السمكية وفقاً للشروط والمواصفات المعتمدة في وثائق الطرح.</t>
        </is>
      </c>
      <c r="F3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31" s="12" t="inlineStr">
        <is>
          <t>عام</t>
        </is>
      </c>
      <c r="H31" s="12" t="inlineStr">
        <is>
          <t>0.0%</t>
        </is>
      </c>
      <c r="I31" s="12" t="inlineStr">
        <is>
          <t>government</t>
        </is>
      </c>
      <c r="J31" s="12" t="inlineStr">
        <is>
          <t>2026-09-27</t>
        </is>
      </c>
      <c r="K31" s="12" t="inlineStr">
        <is>
          <t>2026-12-22</t>
        </is>
      </c>
      <c r="L31" s="12" t="inlineStr">
        <is>
          <t>7500.000 KWD</t>
        </is>
      </c>
      <c r="M31" s="12" t="inlineStr">
        <is>
          <t>1000.000 KWD</t>
        </is>
      </c>
      <c r="N31" s="26" t="inlineStr">
        <is>
          <t>UNCHANGED</t>
        </is>
      </c>
      <c r="O31" s="12" t="inlineStr">
        <is>
          <t>غير متوافقة مع اختصاصات KBM</t>
        </is>
      </c>
      <c r="P31" s="23">
        <f>HYPERLINK("https://capt.gov.kw/ar/tenders/opening-tenders/#card-7", "عرض المصدر")</f>
        <v/>
      </c>
    </row>
    <row r="32">
      <c r="A32" s="13" t="inlineStr">
        <is>
          <t>2030/2027/327</t>
        </is>
      </c>
      <c r="B32" s="13" t="inlineStr">
        <is>
          <t>الهيئة العامة للاستثمار</t>
        </is>
      </c>
      <c r="C32" s="13" t="inlineStr">
        <is>
          <t>Eiman Ashkanani</t>
        </is>
      </c>
      <c r="D32" s="13" t="inlineStr">
        <is>
          <t>ممارسة رقم 2030/2027/327: شراء جهاز توزيع الأحمال (App Load Balancer)</t>
        </is>
      </c>
      <c r="E32" s="13" t="inlineStr">
        <is>
          <t>أعمال وتوريدات شراء جهاز توزيع الأحمال (App Load Balancer) لصالح الهيئة العامة للاستثمار وفقاً للشروط والمواصفات المعتمدة في وثائق الطرح.</t>
        </is>
      </c>
      <c r="F3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32" s="24" t="inlineStr">
        <is>
          <t>عام</t>
        </is>
      </c>
      <c r="H32" s="14" t="inlineStr">
        <is>
          <t>0.0%</t>
        </is>
      </c>
      <c r="I32" s="14" t="inlineStr">
        <is>
          <t>banking_and_finance</t>
        </is>
      </c>
      <c r="J32" s="14" t="inlineStr">
        <is>
          <t>2026-09-27</t>
        </is>
      </c>
      <c r="K32" s="14" t="inlineStr">
        <is>
          <t>-</t>
        </is>
      </c>
      <c r="L32" s="14" t="inlineStr">
        <is>
          <t>1500.0 KWD</t>
        </is>
      </c>
      <c r="M32" s="14" t="inlineStr">
        <is>
          <t>75.0 KWD</t>
        </is>
      </c>
      <c r="N32" s="21" t="inlineStr">
        <is>
          <t>UPDATED</t>
        </is>
      </c>
      <c r="O32" s="14" t="inlineStr">
        <is>
          <t>غير متوافقة مع اختصاصات KBM</t>
        </is>
      </c>
      <c r="P32" s="22">
        <f>HYPERLINK("https://kuwaitalyawm.media.gov.kw/Online/ViewAdsHTML?id=171676&amp;no=1", "عرض المصدر")</f>
        <v/>
      </c>
    </row>
    <row r="33">
      <c r="A33" s="11" t="inlineStr">
        <is>
          <t>2027/2026/3</t>
        </is>
      </c>
      <c r="B33" s="11" t="inlineStr">
        <is>
          <t>الهيئة العامة للبيئة</t>
        </is>
      </c>
      <c r="C33" s="11" t="inlineStr">
        <is>
          <t>Eiman Ashkanani</t>
        </is>
      </c>
      <c r="D33" s="11" t="inlineStr">
        <is>
          <t>ممارسة رقم 2027/2026/3: توفير خدمات تقنية المعلومات والصيانة والدعم الفني</t>
        </is>
      </c>
      <c r="E33" s="11" t="inlineStr">
        <is>
          <t>تنفيذ أعمال توفير خدمات تقنية المعلومات والصيانة والدعم الفني، وتوفير كافة الأجهزة والمعدات والأنظمة وخدمات الدعم الفني والضمان وفقاً لكراسة الشروط والمواصفات الفنية.</t>
        </is>
      </c>
      <c r="F3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33" s="24" t="inlineStr">
        <is>
          <t>قطاع العمليات المدارة والدعم الفني متعدد الموردين</t>
        </is>
      </c>
      <c r="H33" s="12" t="inlineStr">
        <is>
          <t>64.0%</t>
        </is>
      </c>
      <c r="I33" s="12" t="inlineStr">
        <is>
          <t>government</t>
        </is>
      </c>
      <c r="J33" s="12" t="inlineStr">
        <is>
          <t>2026-09-27</t>
        </is>
      </c>
      <c r="K33" s="12" t="inlineStr">
        <is>
          <t>2026-10-27</t>
        </is>
      </c>
      <c r="L33" s="12" t="inlineStr">
        <is>
          <t>-</t>
        </is>
      </c>
      <c r="M33" s="12" t="inlineStr">
        <is>
          <t>30.0 KWD</t>
        </is>
      </c>
      <c r="N33" s="21" t="inlineStr">
        <is>
          <t>UPDATED</t>
        </is>
      </c>
      <c r="O33" s="12" t="inlineStr">
        <is>
          <t>فرصة ICT متوافقة مع قدرات KBM</t>
        </is>
      </c>
      <c r="P33" s="23">
        <f>HYPERLINK("https://kuwaitalyawm.media.gov.kw/Online/ViewAdsHTML?id=171677&amp;no=1", "عرض المصدر")</f>
        <v/>
      </c>
    </row>
    <row r="34">
      <c r="A34" s="13" t="inlineStr">
        <is>
          <t>2027/2026/2</t>
        </is>
      </c>
      <c r="B34" s="13" t="inlineStr">
        <is>
          <t>الهيئة العامة للتعليم التطبيقي والتدريب</t>
        </is>
      </c>
      <c r="C34" s="13" t="inlineStr">
        <is>
          <t>Eiman Ashkanani</t>
        </is>
      </c>
      <c r="D34" s="13" t="inlineStr">
        <is>
          <t>ممارسة رقم 2027/2026/2 - الهيئة العامة للتعليم التطبيقي والتدريب (العدد 1810)</t>
        </is>
      </c>
      <c r="E34" s="13" t="inlineStr">
        <is>
          <t>توريد المستلزمات والمواد والمستهلكات الطبية أو المخبرية المتخصصة لصالح المرافق الصحية.</t>
        </is>
      </c>
      <c r="F3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34" s="14" t="inlineStr">
        <is>
          <t>عام</t>
        </is>
      </c>
      <c r="H34" s="14" t="inlineStr">
        <is>
          <t>0.0%</t>
        </is>
      </c>
      <c r="I34" s="14" t="inlineStr">
        <is>
          <t>education_and_research</t>
        </is>
      </c>
      <c r="J34" s="14" t="inlineStr">
        <is>
          <t>2026-09-27</t>
        </is>
      </c>
      <c r="K34" s="14" t="inlineStr">
        <is>
          <t>-</t>
        </is>
      </c>
      <c r="L34" s="14" t="inlineStr">
        <is>
          <t>-</t>
        </is>
      </c>
      <c r="M34" s="14" t="inlineStr">
        <is>
          <t>75.0 KWD</t>
        </is>
      </c>
      <c r="N34" s="21" t="inlineStr">
        <is>
          <t>UPDATED</t>
        </is>
      </c>
      <c r="O34" s="14" t="inlineStr">
        <is>
          <t>غير متوافقة مع اختصاصات KBM</t>
        </is>
      </c>
      <c r="P34" s="22">
        <f>HYPERLINK("https://kuwaitalyawm.media.gov.kw/Online/ViewAdsHTML?id=171678&amp;no=1", "عرض المصدر")</f>
        <v/>
      </c>
    </row>
    <row r="35">
      <c r="A35" s="11" t="inlineStr">
        <is>
          <t>2027/2026/17</t>
        </is>
      </c>
      <c r="B35" s="11" t="inlineStr">
        <is>
          <t>الهيئة العامة للتعليم التطبيقي والتدريب</t>
        </is>
      </c>
      <c r="C35" s="11" t="inlineStr">
        <is>
          <t>Eiman Ashkanani</t>
        </is>
      </c>
      <c r="D35" s="11" t="inlineStr">
        <is>
          <t>ممارسة رقم 2027/2026/17 - الهيئة العامة للتعليم التطبيقي والتدريب (العدد 1810)</t>
        </is>
      </c>
      <c r="E35" s="11" t="inlineStr">
        <is>
          <t>توريد المستلزمات والمواد والمستهلكات الطبية أو المخبرية المتخصصة لصالح المرافق الصحية.</t>
        </is>
      </c>
      <c r="F3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35" s="12" t="inlineStr">
        <is>
          <t>عام</t>
        </is>
      </c>
      <c r="H35" s="12" t="inlineStr">
        <is>
          <t>0.0%</t>
        </is>
      </c>
      <c r="I35" s="12" t="inlineStr">
        <is>
          <t>education_and_research</t>
        </is>
      </c>
      <c r="J35" s="12" t="inlineStr">
        <is>
          <t>2026-09-27</t>
        </is>
      </c>
      <c r="K35" s="12" t="inlineStr">
        <is>
          <t>-</t>
        </is>
      </c>
      <c r="L35" s="12" t="inlineStr">
        <is>
          <t>-</t>
        </is>
      </c>
      <c r="M35" s="12" t="inlineStr">
        <is>
          <t>75.0 KWD</t>
        </is>
      </c>
      <c r="N35" s="21" t="inlineStr">
        <is>
          <t>UPDATED</t>
        </is>
      </c>
      <c r="O35" s="12" t="inlineStr">
        <is>
          <t>غير متوافقة مع اختصاصات KBM</t>
        </is>
      </c>
      <c r="P35" s="23">
        <f>HYPERLINK("https://kuwaitalyawm.media.gov.kw/Online/ViewAdsHTML?id=171680&amp;no=1", "عرض المصدر")</f>
        <v/>
      </c>
    </row>
    <row r="36">
      <c r="A36" s="13" t="inlineStr">
        <is>
          <t>2027/2026/27</t>
        </is>
      </c>
      <c r="B36" s="13" t="inlineStr">
        <is>
          <t>الهيئة العامة للتعليم التطبيقي والتدريب</t>
        </is>
      </c>
      <c r="C36" s="13" t="inlineStr">
        <is>
          <t>Eiman Ashkanani</t>
        </is>
      </c>
      <c r="D36" s="13" t="inlineStr">
        <is>
          <t>ممارسة رقم 2027/2026/27: على الشركات والمؤسسات الراغبة في الاشتراك في هذه الممارسة مراجعة موقع الهيئة العامة للتعليم التطبيقي والتدريب الالكتروني (www.paaet.edu.kw) وذلك لشراء عطاء الممارسـة المـــدرجـــة ضمن الخدمات الالكترونية رقــــم (8) وتسليم العطاءات في مقر الهيئة الجديد الكائن في منطقة الشويخ التعليمية الدور السابع - إدارة التوريدات خــلال أسبوعـــــين مقابل رســـوم قـدرهـا (75 د.ك ) لا ترد.</t>
        </is>
      </c>
      <c r="E36" s="13" t="inlineStr">
        <is>
          <t>تنفيذ أعمال على الشركات والمؤسسات الراغبة في الاشتراك في هذه الممارسة مراجعة موقع الهيئة العامة للتعليم التطبيقي والتدريب الالكتروني (www.paaet.edu.kw) وذلك لشراء عطاء الممارسـة المـــدرجـــة ضمن الخدمات الالكترونية رقــــم (8) وتسليم العطاءات في مقر الهيئة الجديد الكائن في منطقة الشويخ التعليمية الدور السابع، وتوفير كافة الأجهزة والمعدات والأنظمة وخدمات الدعم الفني والضمان وفقاً لكراسة الشروط والمواصفات الفنية.</t>
        </is>
      </c>
      <c r="F3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36" s="14" t="inlineStr">
        <is>
          <t>عام</t>
        </is>
      </c>
      <c r="H36" s="14" t="inlineStr">
        <is>
          <t>0.0%</t>
        </is>
      </c>
      <c r="I36" s="14" t="inlineStr">
        <is>
          <t>education_and_research</t>
        </is>
      </c>
      <c r="J36" s="14" t="inlineStr">
        <is>
          <t>2026-09-27</t>
        </is>
      </c>
      <c r="K36" s="14" t="inlineStr">
        <is>
          <t>-</t>
        </is>
      </c>
      <c r="L36" s="14" t="inlineStr">
        <is>
          <t>-</t>
        </is>
      </c>
      <c r="M36" s="14" t="inlineStr">
        <is>
          <t>75.0 KWD</t>
        </is>
      </c>
      <c r="N36" s="21" t="inlineStr">
        <is>
          <t>UPDATED</t>
        </is>
      </c>
      <c r="O36" s="14" t="inlineStr">
        <is>
          <t>غير متوافقة مع اختصاصات KBM</t>
        </is>
      </c>
      <c r="P36" s="22">
        <f>HYPERLINK("https://kuwaitalyawm.media.gov.kw/Online/ViewAdsHTML?id=171681&amp;no=1", "عرض المصدر")</f>
        <v/>
      </c>
    </row>
    <row r="37">
      <c r="A37" s="11" t="inlineStr">
        <is>
          <t>2027/2026/38</t>
        </is>
      </c>
      <c r="B37" s="11" t="inlineStr">
        <is>
          <t>الهيئة العامة للتعليم التطبيقي والتدريب</t>
        </is>
      </c>
      <c r="C37" s="11" t="inlineStr">
        <is>
          <t>Eiman Ashkanani</t>
        </is>
      </c>
      <c r="D37" s="11" t="inlineStr">
        <is>
          <t>ممارسة رقم 2027/2026/38: على الشركات والمؤسسات الراغبة في الاشتراك في هذه الممارسة مراجعة موقع الهيئة العامة للتعليم التطبيقي والتدريب الالكتروني (WWW.Paaet.edu.kw) وذلك لشراء عطاء الممارسـة المـــدرجـــة ضمن الخدمات الالكترونية (خدمات عامة) وتسليم العطاءات في مقر الهيئة الجديد الكائن في منطقة الشويخ التعليمية الدور السابع - إدارة التوريدات خــلال أسبوعـــــين مقابل رســـوم قـدرهـا (75 د.ك ) لا ترد.</t>
        </is>
      </c>
      <c r="E37" s="11" t="inlineStr">
        <is>
          <t>تنفيذ أعمال على الشركات والمؤسسات الراغبة في الاشتراك في هذه الممارسة مراجعة موقع الهيئة العامة للتعليم التطبيقي والتدريب الالكتروني (WWW.Paaet.edu.kw) وذلك لشراء عطاء الممارسـة المـــدرجـــة ضمن الخدمات الالكترونية (خدمات عامة) وتسليم العطاءات في مقر الهيئة الجديد الكائن في منطقة الشويخ التعليمية الدور السابع، وتوفير كافة الأجهزة والمعدات والأنظمة وخدمات الدعم الفني والضمان وفقاً لكراسة الشروط والمواصفات الفنية.</t>
        </is>
      </c>
      <c r="F3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37" s="24" t="inlineStr">
        <is>
          <t>عام</t>
        </is>
      </c>
      <c r="H37" s="12" t="inlineStr">
        <is>
          <t>24.0%</t>
        </is>
      </c>
      <c r="I37" s="12" t="inlineStr">
        <is>
          <t>education_and_research</t>
        </is>
      </c>
      <c r="J37" s="12" t="inlineStr">
        <is>
          <t>2026-09-27</t>
        </is>
      </c>
      <c r="K37" s="12" t="inlineStr">
        <is>
          <t>-</t>
        </is>
      </c>
      <c r="L37" s="12" t="inlineStr">
        <is>
          <t>-</t>
        </is>
      </c>
      <c r="M37" s="12" t="inlineStr">
        <is>
          <t>75.0 KWD</t>
        </is>
      </c>
      <c r="N37" s="21" t="inlineStr">
        <is>
          <t>UPDATED</t>
        </is>
      </c>
      <c r="O37" s="12" t="inlineStr">
        <is>
          <t>غير متوافقة مع اختصاصات KBM</t>
        </is>
      </c>
      <c r="P37" s="23">
        <f>HYPERLINK("https://kuwaitalyawm.media.gov.kw/Online/ViewAdsHTML?id=171682&amp;no=1", "عرض المصدر")</f>
        <v/>
      </c>
    </row>
    <row r="38">
      <c r="A38" s="13" t="inlineStr">
        <is>
          <t>2027/2026/40</t>
        </is>
      </c>
      <c r="B38" s="13" t="inlineStr">
        <is>
          <t>الهيئة العامة للتعليم التطبيقي والتدريب</t>
        </is>
      </c>
      <c r="C38" s="13" t="inlineStr">
        <is>
          <t>Eiman Ashkanani</t>
        </is>
      </c>
      <c r="D38" s="13" t="inlineStr">
        <is>
          <t>ممارسة رقم 2027/2026/40: على الشركات والمؤسسات الراغبة في الاشتراك في هذه الممارسة مراجعة موقع الهيئة العامة للتعليم التطبيقي والتدريب الالكتروني (WWW.Paaet.edu.kw) وذلك لشراء عطاء الممارسـة المـــدرجـــة ضمن الخدمات الالكترونية (خدمات عامة) وتسليم العطاءات في مقر الهيئة الجديد الكائن في منطقة الشويخ التعليمية الدور السابع - إدارة التوريدات خــلال أسبوعـــــين مقابل رســـوم قـدرهـا (75 د.ك ) لا ترد.</t>
        </is>
      </c>
      <c r="E38" s="13" t="inlineStr">
        <is>
          <t>تنفيذ أعمال على الشركات والمؤسسات الراغبة في الاشتراك في هذه الممارسة مراجعة موقع الهيئة العامة للتعليم التطبيقي والتدريب الالكتروني (WWW.Paaet.edu.kw) وذلك لشراء عطاء الممارسـة المـــدرجـــة ضمن الخدمات الالكترونية (خدمات عامة) وتسليم العطاءات في مقر الهيئة الجديد الكائن في منطقة الشويخ التعليمية الدور السابع، وتوفير كافة الأجهزة والمعدات والأنظمة وخدمات الدعم الفني والضمان وفقاً لكراسة الشروط والمواصفات الفنية.</t>
        </is>
      </c>
      <c r="F3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38" s="24" t="inlineStr">
        <is>
          <t>عام</t>
        </is>
      </c>
      <c r="H38" s="14" t="inlineStr">
        <is>
          <t>24.0%</t>
        </is>
      </c>
      <c r="I38" s="14" t="inlineStr">
        <is>
          <t>education_and_research</t>
        </is>
      </c>
      <c r="J38" s="14" t="inlineStr">
        <is>
          <t>2026-09-27</t>
        </is>
      </c>
      <c r="K38" s="14" t="inlineStr">
        <is>
          <t>-</t>
        </is>
      </c>
      <c r="L38" s="14" t="inlineStr">
        <is>
          <t>-</t>
        </is>
      </c>
      <c r="M38" s="14" t="inlineStr">
        <is>
          <t>75.0 KWD</t>
        </is>
      </c>
      <c r="N38" s="21" t="inlineStr">
        <is>
          <t>UPDATED</t>
        </is>
      </c>
      <c r="O38" s="14" t="inlineStr">
        <is>
          <t>غير متوافقة مع اختصاصات KBM</t>
        </is>
      </c>
      <c r="P38" s="22">
        <f>HYPERLINK("https://kuwaitalyawm.media.gov.kw/Online/ViewAdsHTML?id=171683&amp;no=1", "عرض المصدر")</f>
        <v/>
      </c>
    </row>
    <row r="39">
      <c r="A39" s="11" t="inlineStr">
        <is>
          <t>2027/2026/43</t>
        </is>
      </c>
      <c r="B39" s="11" t="inlineStr">
        <is>
          <t>الهيئة العامة للتعليم التطبيقي والتدريب</t>
        </is>
      </c>
      <c r="C39" s="11" t="inlineStr">
        <is>
          <t>Eiman Ashkanani</t>
        </is>
      </c>
      <c r="D39" s="11" t="inlineStr">
        <is>
          <t>ممارسة رقم 2027/2026/43 - الهيئة العامة للتعليم التطبيقي والتدريب (العدد 1810)</t>
        </is>
      </c>
      <c r="E39" s="11" t="inlineStr">
        <is>
          <t>توريد المستلزمات والمواد والمستهلكات الطبية أو المخبرية المتخصصة لصالح المرافق الصحية.</t>
        </is>
      </c>
      <c r="F3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39" s="12" t="inlineStr">
        <is>
          <t>عام</t>
        </is>
      </c>
      <c r="H39" s="12" t="inlineStr">
        <is>
          <t>0.0%</t>
        </is>
      </c>
      <c r="I39" s="12" t="inlineStr">
        <is>
          <t>education_and_research</t>
        </is>
      </c>
      <c r="J39" s="12" t="inlineStr">
        <is>
          <t>2026-09-27</t>
        </is>
      </c>
      <c r="K39" s="12" t="inlineStr">
        <is>
          <t>-</t>
        </is>
      </c>
      <c r="L39" s="12" t="inlineStr">
        <is>
          <t>-</t>
        </is>
      </c>
      <c r="M39" s="12" t="inlineStr">
        <is>
          <t>75.0 KWD</t>
        </is>
      </c>
      <c r="N39" s="21" t="inlineStr">
        <is>
          <t>UPDATED</t>
        </is>
      </c>
      <c r="O39" s="12" t="inlineStr">
        <is>
          <t>غير متوافقة مع اختصاصات KBM</t>
        </is>
      </c>
      <c r="P39" s="23">
        <f>HYPERLINK("https://kuwaitalyawm.media.gov.kw/Online/ViewAdsHTML?id=171684&amp;no=1", "عرض المصدر")</f>
        <v/>
      </c>
    </row>
    <row r="40">
      <c r="A40" s="13" t="inlineStr">
        <is>
          <t>هـ ع / ش أ م / 4/2026/2027</t>
        </is>
      </c>
      <c r="B40" s="13" t="inlineStr">
        <is>
          <t>الهيئة العامة للتعليم التطبيقي والتدريب</t>
        </is>
      </c>
      <c r="C40" s="13" t="inlineStr">
        <is>
          <t>Eiman Ashkanani</t>
        </is>
      </c>
      <c r="D40" s="13" t="inlineStr">
        <is>
          <t>توفير خدمة الانترنت و نقل المعلومات internet - wan للهيئة العامة للتعليم التطبيقي و التدريب</t>
        </is>
      </c>
      <c r="E40" s="13" t="inlineStr">
        <is>
          <t>تنفيذ أعمال توفير خدمة الانترنت و نقل المعلومات internet - wan للهيئة العامة للتعليم التطبيقي و التدريب، وتوفير كافة الأجهزة والمعدات والأنظمة وخدمات الدعم الفني والضمان وفقاً لكراسة الشروط والمواصفات الفنية.</t>
        </is>
      </c>
      <c r="F4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40" s="14" t="inlineStr">
        <is>
          <t>قطاع العمليات المدارة والدعم الفني متعدد الموردين</t>
        </is>
      </c>
      <c r="H40" s="14" t="inlineStr">
        <is>
          <t>49.0%</t>
        </is>
      </c>
      <c r="I40" s="14" t="inlineStr">
        <is>
          <t>education_and_research</t>
        </is>
      </c>
      <c r="J40" s="14" t="inlineStr">
        <is>
          <t>2026-09-06</t>
        </is>
      </c>
      <c r="K40" s="14" t="inlineStr">
        <is>
          <t>2026-11-03</t>
        </is>
      </c>
      <c r="L40" s="14" t="inlineStr">
        <is>
          <t>6000.000 KWD</t>
        </is>
      </c>
      <c r="M40" s="14" t="inlineStr">
        <is>
          <t>300.000 KWD</t>
        </is>
      </c>
      <c r="N40" s="26" t="inlineStr">
        <is>
          <t>UNCHANGED</t>
        </is>
      </c>
      <c r="O40" s="14" t="inlineStr">
        <is>
          <t>فرصة تتطلب شراكة أو دراسة نطاق</t>
        </is>
      </c>
      <c r="P40" s="22">
        <f>HYPERLINK("https://capt.gov.kw/ar/tenders/opening-tenders/#card-8", "عرض المصدر")</f>
        <v/>
      </c>
    </row>
    <row r="41">
      <c r="A41" s="11" t="inlineStr">
        <is>
          <t>هـ ع ر2/2026/2027</t>
        </is>
      </c>
      <c r="B41" s="11" t="inlineStr">
        <is>
          <t>الهيئة العامة للرياضة</t>
        </is>
      </c>
      <c r="C41" s="11" t="inlineStr">
        <is>
          <t>Eiman Ashkanani</t>
        </is>
      </c>
      <c r="D41" s="11" t="inlineStr">
        <is>
          <t>بشأن اعمال صيانة مشروع تهيئة البنية التحتية ومركز البيانات الخاص بالهيئة العامة للرياضة وغرفة البيانات الاحتياطية باستاد جابر</t>
        </is>
      </c>
      <c r="E41" s="11" t="inlineStr">
        <is>
          <t>أعمال وتوريدات بشأن اعمال صيانة مشروع تهيئة البنية التحتية ومركز البيانات الخاص بالهيئة العامة للرياضة وغرفة البيانات الاحتياطية باستاد جابر لصالح الهيئة العامة للرياضة وفقاً للشروط والمواصفات المعتمدة في وثائق الطرح.</t>
        </is>
      </c>
      <c r="F4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41" s="12" t="inlineStr">
        <is>
          <t>قطاع العمليات المدارة والدعم الفني متعدد الموردين</t>
        </is>
      </c>
      <c r="H41" s="12" t="inlineStr">
        <is>
          <t>49.0%</t>
        </is>
      </c>
      <c r="I41" s="12" t="inlineStr">
        <is>
          <t>government</t>
        </is>
      </c>
      <c r="J41" s="12" t="inlineStr">
        <is>
          <t>2026-10-11</t>
        </is>
      </c>
      <c r="K41" s="12" t="inlineStr">
        <is>
          <t>2027-01-10</t>
        </is>
      </c>
      <c r="L41" s="12" t="inlineStr">
        <is>
          <t>6000.000 KWD</t>
        </is>
      </c>
      <c r="M41" s="12" t="inlineStr">
        <is>
          <t>300.000 KWD</t>
        </is>
      </c>
      <c r="N41" s="26" t="inlineStr">
        <is>
          <t>UNCHANGED</t>
        </is>
      </c>
      <c r="O41" s="12" t="inlineStr">
        <is>
          <t>فرصة تتطلب شراكة أو دراسة نطاق</t>
        </is>
      </c>
      <c r="P41" s="23">
        <f>HYPERLINK("https://capt.gov.kw/ar/tenders/opening-tenders/#card-5", "عرض المصدر")</f>
        <v/>
      </c>
    </row>
    <row r="42">
      <c r="A42" s="13" t="inlineStr">
        <is>
          <t>هـ ع ص / 9 / 2024-2027</t>
        </is>
      </c>
      <c r="B42" s="13" t="inlineStr">
        <is>
          <t>الهيئة العامة للصناعة</t>
        </is>
      </c>
      <c r="C42" s="13" t="inlineStr">
        <is>
          <t>Eiman Ashkanani</t>
        </is>
      </c>
      <c r="D42" s="13" t="inlineStr">
        <is>
          <t>صيانة وتطوير وتشغيل الأنظمة ( الإجراءات الصناعية – المسار الواحد- المعالجة الذاتية- النماذج الالكترونية – نظام الصيانة – mobile app  - شؤون الاعتماد – استبيان العملاء  – log management - الفواتير الإلكترونية ) بالهيئة العامة للصناعة</t>
        </is>
      </c>
      <c r="E42" s="13" t="inlineStr">
        <is>
          <t>تنفيذ أعمال صيانة وتطوير وتشغيل الأنظمة ( الإجراءات الصناعية – المسار الواحد- المعالجة الذاتية- النماذج الالكترونية – نظام الصيانة – mobile app  - شؤون الاعتماد – استبيان العملاء  – log management - الفواتير الإلكترونية ) بالهيئة العامة للصناعة، وتوفير كافة الأجهزة والمعدات والأنظمة وخدمات الدعم الفني والضمان وفقاً لكراسة الشروط والمواصفات الفنية.</t>
        </is>
      </c>
      <c r="F4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42" s="24" t="inlineStr">
        <is>
          <t>عام</t>
        </is>
      </c>
      <c r="H42" s="14" t="inlineStr">
        <is>
          <t>0.0%</t>
        </is>
      </c>
      <c r="I42" s="14" t="inlineStr">
        <is>
          <t>government</t>
        </is>
      </c>
      <c r="J42" s="14" t="inlineStr">
        <is>
          <t>2026-08-23</t>
        </is>
      </c>
      <c r="K42" s="18" t="inlineStr">
        <is>
          <t>2026-10-20</t>
        </is>
      </c>
      <c r="L42" s="14" t="inlineStr">
        <is>
          <t>23000.000 KWD</t>
        </is>
      </c>
      <c r="M42" s="14" t="inlineStr">
        <is>
          <t>1000.000 KWD</t>
        </is>
      </c>
      <c r="N42" s="25" t="inlineStr">
        <is>
          <t>NEW</t>
        </is>
      </c>
      <c r="O42" s="14" t="inlineStr">
        <is>
          <t>غير متوافقة مع اختصاصات KBM</t>
        </is>
      </c>
      <c r="P42" s="22">
        <f>HYPERLINK("https://capt.gov.kw/ar/tenders/opening-tenders/#card-3", "عرض المصدر")</f>
        <v/>
      </c>
    </row>
    <row r="43">
      <c r="A43" s="11" t="inlineStr">
        <is>
          <t>14/2024</t>
        </is>
      </c>
      <c r="B43" s="11" t="inlineStr">
        <is>
          <t>الهيئة العامة للصناعة</t>
        </is>
      </c>
      <c r="C43" s="11" t="inlineStr">
        <is>
          <t>Eiman Ashkanani</t>
        </is>
      </c>
      <c r="D43" s="11" t="inlineStr">
        <is>
          <t>المناقصة رقم (هـ ع ص/2024/14) بشأن صيانة وتطوير وتشغيل وضمان أنظمة (المشاريع - العقود - المواصفات) بالهيئة العامة للصناعة</t>
        </is>
      </c>
      <c r="E43" s="11" t="inlineStr">
        <is>
          <t>تنفيذ أعمال المناقصة رقم (هـ ع ص/2024/14) بشأن صيانة وتطوير وتشغيل وضمان أنظمة (المشاريع - العقود - المواصفات) بالهيئة العامة للصناعة، وتوفير كافة الأجهزة والمعدات والأنظمة وخدمات الدعم الفني والضمان وفقاً لكراسة الشروط والمواصفات الفنية.</t>
        </is>
      </c>
      <c r="F4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43" s="24" t="inlineStr">
        <is>
          <t>عام</t>
        </is>
      </c>
      <c r="H43" s="12" t="inlineStr">
        <is>
          <t>0.0%</t>
        </is>
      </c>
      <c r="I43" s="12" t="inlineStr">
        <is>
          <t>government</t>
        </is>
      </c>
      <c r="J43" s="12" t="inlineStr">
        <is>
          <t>2026-09-06</t>
        </is>
      </c>
      <c r="K43" s="12" t="inlineStr">
        <is>
          <t>2026-11-03</t>
        </is>
      </c>
      <c r="L43" s="12" t="inlineStr">
        <is>
          <t>23000.000 KWD</t>
        </is>
      </c>
      <c r="M43" s="12" t="inlineStr">
        <is>
          <t>1000.000 KWD</t>
        </is>
      </c>
      <c r="N43" s="26" t="inlineStr">
        <is>
          <t>UNCHANGED</t>
        </is>
      </c>
      <c r="O43" s="12" t="inlineStr">
        <is>
          <t>غير متوافقة مع اختصاصات KBM</t>
        </is>
      </c>
      <c r="P43" s="23">
        <f>HYPERLINK("https://capt.gov.kw/ar/tenders/opening-tenders/#card-4", "عرض المصدر")</f>
        <v/>
      </c>
    </row>
    <row r="44">
      <c r="A44" s="13" t="inlineStr">
        <is>
          <t>12/2025</t>
        </is>
      </c>
      <c r="B44" s="13" t="inlineStr">
        <is>
          <t>الهيئة العامة للصناعة</t>
        </is>
      </c>
      <c r="C44" s="13" t="inlineStr">
        <is>
          <t>Eiman Ashkanani</t>
        </is>
      </c>
      <c r="D44" s="13" t="inlineStr">
        <is>
          <t>أعمال صيانة المعدات وصيانة الميكانيكية والكهربائية ومعدات التكييف المنشآت المدنية والبحرية لمحطات مياه التبريد بمنطقة الشعيبة الغربية</t>
        </is>
      </c>
      <c r="E44" s="13" t="inlineStr">
        <is>
          <t>أعمال صيانة وتشغيل وإصلاح وحدات ومحطات التكييف المركزي والمبردات وضواغط الهواء وشبكات مجاري الهواء.</t>
        </is>
      </c>
      <c r="F4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44" s="14" t="inlineStr">
        <is>
          <t>عام</t>
        </is>
      </c>
      <c r="H44" s="14" t="inlineStr">
        <is>
          <t>0.0%</t>
        </is>
      </c>
      <c r="I44" s="14" t="inlineStr">
        <is>
          <t>government</t>
        </is>
      </c>
      <c r="J44" s="14" t="inlineStr">
        <is>
          <t>سبتمبر 27, 2026</t>
        </is>
      </c>
      <c r="K44" s="14" t="inlineStr">
        <is>
          <t>2026-12-22</t>
        </is>
      </c>
      <c r="L44" s="14" t="inlineStr">
        <is>
          <t>45000.000 KWD</t>
        </is>
      </c>
      <c r="M44" s="14" t="inlineStr">
        <is>
          <t>1000.000 KWD</t>
        </is>
      </c>
      <c r="N44" s="26" t="inlineStr">
        <is>
          <t>UNCHANGED</t>
        </is>
      </c>
      <c r="O44" s="14" t="inlineStr">
        <is>
          <t>غير متوافقة مع اختصاصات KBM</t>
        </is>
      </c>
      <c r="P44" s="22">
        <f>HYPERLINK("https://capt.gov.kw/ar/tenders/opening-tenders/#card-0", "عرض المصدر")</f>
        <v/>
      </c>
    </row>
    <row r="45">
      <c r="A45" s="11" t="inlineStr">
        <is>
          <t>2027/2026/11</t>
        </is>
      </c>
      <c r="B45" s="11" t="inlineStr">
        <is>
          <t>الهيئة العامة للطيران المدني</t>
        </is>
      </c>
      <c r="C45" s="11" t="inlineStr">
        <is>
          <t>Eiman Ashkanani</t>
        </is>
      </c>
      <c r="D45" s="11" t="inlineStr">
        <is>
          <t>ممارسة رقم 2027/2026/11: الدعم الفني والصيانة الوقائية لأنظمة إنذار ومكافحة الحريق في مبنى المول التجاري ومواقف السيارات بمبنى الركاب T1 في مطار الكويت الدولي</t>
        </is>
      </c>
      <c r="E45" s="11" t="inlineStr">
        <is>
          <t>تنفيذ أعمال الدعم الفني والصيانة الوقائية لأنظمة إنذار ومكافحة الحريق في مبنى المول التجاري ومواقف السيارات بمبنى الركاب T1 في مطار الكويت الدولي، وتوفير كافة الأجهزة والمعدات والأنظمة وخدمات الدعم الفني والضمان وفقاً لكراسة الشروط والمواصفات الفنية.</t>
        </is>
      </c>
      <c r="F4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45" s="24" t="inlineStr">
        <is>
          <t>عام</t>
        </is>
      </c>
      <c r="H45" s="12" t="inlineStr">
        <is>
          <t>0.0%</t>
        </is>
      </c>
      <c r="I45" s="12" t="inlineStr">
        <is>
          <t>other</t>
        </is>
      </c>
      <c r="J45" s="12" t="inlineStr">
        <is>
          <t>2026-09-27</t>
        </is>
      </c>
      <c r="K45" s="12" t="inlineStr">
        <is>
          <t>-</t>
        </is>
      </c>
      <c r="L45" s="12" t="inlineStr">
        <is>
          <t>-</t>
        </is>
      </c>
      <c r="M45" s="12" t="inlineStr">
        <is>
          <t>-</t>
        </is>
      </c>
      <c r="N45" s="21" t="inlineStr">
        <is>
          <t>UPDATED</t>
        </is>
      </c>
      <c r="O45" s="12" t="inlineStr">
        <is>
          <t>غير متوافقة مع اختصاصات KBM</t>
        </is>
      </c>
      <c r="P45" s="23">
        <f>HYPERLINK("https://kuwaitalyawm.media.gov.kw/Online/ViewAdsHTML?id=171690&amp;no=1", "عرض المصدر")</f>
        <v/>
      </c>
    </row>
    <row r="46">
      <c r="A46" s="13" t="inlineStr">
        <is>
          <t>2027/2026/15</t>
        </is>
      </c>
      <c r="B46" s="13" t="inlineStr">
        <is>
          <t>الهيئة العامة للطيران المدني</t>
        </is>
      </c>
      <c r="C46" s="13" t="inlineStr">
        <is>
          <t>Eiman Ashkanani</t>
        </is>
      </c>
      <c r="D46" s="13" t="inlineStr">
        <is>
          <t>ممارسة رقم 2027/2026/15: ممارسة تطوير وصيانة أنظمة وأجهزة الحضور</t>
        </is>
      </c>
      <c r="E46" s="13" t="inlineStr">
        <is>
          <t>تنفيذ أعمال ممارسة تطوير وصيانة أنظمة وأجهزة الحضور، وتوفير كافة الأجهزة والمعدات والأنظمة وخدمات الدعم الفني والضمان وفقاً لكراسة الشروط والمواصفات الفنية.</t>
        </is>
      </c>
      <c r="F46" s="13" t="inlineStr">
        <is>
          <t>• علماً بأن آخر موعد لتقديم العروض هو الساعة (الواحدة ظهراً) من يوم (الأربعاء) الموافق (21/10/2026) ويرفض أي عرض بعد هذا الموعد.</t>
        </is>
      </c>
      <c r="G46" s="24" t="inlineStr">
        <is>
          <t>قطاع العمليات المدارة والدعم الفني متعدد الموردين</t>
        </is>
      </c>
      <c r="H46" s="14" t="inlineStr">
        <is>
          <t>49.0%</t>
        </is>
      </c>
      <c r="I46" s="14" t="inlineStr">
        <is>
          <t>other</t>
        </is>
      </c>
      <c r="J46" s="14" t="inlineStr">
        <is>
          <t>2026-09-27</t>
        </is>
      </c>
      <c r="K46" s="18" t="inlineStr">
        <is>
          <t>2026-10-21</t>
        </is>
      </c>
      <c r="L46" s="14" t="inlineStr">
        <is>
          <t>-</t>
        </is>
      </c>
      <c r="M46" s="14" t="inlineStr">
        <is>
          <t>75.0 KWD</t>
        </is>
      </c>
      <c r="N46" s="21" t="inlineStr">
        <is>
          <t>UPDATED</t>
        </is>
      </c>
      <c r="O46" s="14" t="inlineStr">
        <is>
          <t>فرصة تتطلب شراكة أو دراسة نطاق</t>
        </is>
      </c>
      <c r="P46" s="22">
        <f>HYPERLINK("https://kuwaitalyawm.media.gov.kw/Online/ViewAdsHTML?id=171693&amp;no=1", "عرض المصدر")</f>
        <v/>
      </c>
    </row>
    <row r="47">
      <c r="A47" s="11" t="inlineStr">
        <is>
          <t>2027/2026/9</t>
        </is>
      </c>
      <c r="B47" s="11" t="inlineStr">
        <is>
          <t>الهيئة العامة للمعلومات المدنية</t>
        </is>
      </c>
      <c r="C47" s="11" t="inlineStr">
        <is>
          <t>Raed Obeid</t>
        </is>
      </c>
      <c r="D47" s="11" t="inlineStr">
        <is>
          <t>ممارسة رقم 2027/2026/9: بشـأن صيانة المعدات الميكانيكية والكهربائية بالهيئة</t>
        </is>
      </c>
      <c r="E47" s="11" t="inlineStr">
        <is>
          <t>أعمال وتوريدات بشـأن صيانة المعدات الميكانيكية والكهربائية بالهيئة لصالح الهيئة العامة للمعلومات المدنية وفقاً للشروط والمواصفات المعتمدة في وثائق الطرح.</t>
        </is>
      </c>
      <c r="F4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47" s="12" t="inlineStr">
        <is>
          <t>عام</t>
        </is>
      </c>
      <c r="H47" s="12" t="inlineStr">
        <is>
          <t>15.0%</t>
        </is>
      </c>
      <c r="I47" s="12" t="inlineStr">
        <is>
          <t>government</t>
        </is>
      </c>
      <c r="J47" s="12" t="inlineStr">
        <is>
          <t>2026-09-27</t>
        </is>
      </c>
      <c r="K47" s="12" t="inlineStr">
        <is>
          <t>-</t>
        </is>
      </c>
      <c r="L47" s="12" t="inlineStr">
        <is>
          <t>-</t>
        </is>
      </c>
      <c r="M47" s="12" t="inlineStr">
        <is>
          <t>50.0 KWD</t>
        </is>
      </c>
      <c r="N47" s="21" t="inlineStr">
        <is>
          <t>UPDATED</t>
        </is>
      </c>
      <c r="O47" s="12" t="inlineStr">
        <is>
          <t>غير متوافقة مع اختصاصات KBM</t>
        </is>
      </c>
      <c r="P47" s="23">
        <f>HYPERLINK("https://kuwaitalyawm.media.gov.kw/Online/ViewAdsHTML?id=171695&amp;no=1", "عرض المصدر")</f>
        <v/>
      </c>
    </row>
    <row r="48">
      <c r="A48" s="13" t="inlineStr">
        <is>
          <t>2027/2026/6</t>
        </is>
      </c>
      <c r="B48" s="13" t="inlineStr">
        <is>
          <t>بنك الائتمان الكويتي</t>
        </is>
      </c>
      <c r="C48" s="13" t="inlineStr">
        <is>
          <t>Eiman Ashkanani</t>
        </is>
      </c>
      <c r="D48" s="13" t="inlineStr">
        <is>
          <t>ممارسة رقم 2027/2026/6: يعلن بنك الائتمان الكويتي عن اعلان إعادة طرح الممارسة رقم (6 -2026/2027) بصيانة وتطوير الكشوف الهندسية بالموقع، فعلى السادة الجهات الراغبة في التقدم بعطاءاتها الدخول على موقع البنك لشراء كراسة الشروط والمواصفات الفنية الخاصة بالممارسة المذكورة طبقاً للتفاصيل المحددة أدناه:</t>
        </is>
      </c>
      <c r="E48" s="13" t="inlineStr">
        <is>
          <t>أعمال وتوريدات يعلن بنك الائتمان الكويتي عن اعلان إعادة طرح الممارسة رقم (6 -2026/2027) بصيانة وتطوير الكشوف الهندسية بالموقع، فعلى السادة الجهات الراغبة في التقدم بعطاءاتها الدخول على موقع البنك لشراء كراسة الشروط والمواصفات الفنية الخاصة بالممارسة المذكورة طبقاً للتفاصيل المحددة أدناه: لصالح بنك الائتمان الكويتي وفقاً للشروط والمواصفات المعتمدة في وثائق الطرح.</t>
        </is>
      </c>
      <c r="F48" s="13" t="inlineStr">
        <is>
          <t>• رقم التواصل لأي استفسارات خاصة بلجنة الشراء لبنك الائتمان الكويتي.
• صورة حديثة ومعاصرة من شهادة تفيد تسجيله لدى الجهاز المركزي للمناقصات العامة.
• صورة حديثة لإعلان طرح الممارسة.
• صورة حديثة ومعاصرة لشهادة تحديد نسبة العمالة الوطنية الصادرة من الجهة المختصة.
• صورة حديثة ومعاصرة من شهادة حديثة ومعاصرة للسجل التجاري الخاص بالشركة.
• صورة حديثة ومعاصرة من شهادة تثبت التسجيل لدى غرفة تجارة صناعة الكويت.
• شهادة لمن يهمه الامر سارية وصادرة عن الهيئة العامة للقوى العاملة تتضمن عدم وجود وقف على ملف الممارس عن العقود الحكومية المسجلة لدى الهيئة عن أحد المخالفات المذكورة بالمادة (10) من القانون رقم (6) لسنة 2010 في شأن العمل في القطاع الأهلي.
• للشركات المدرجة ضمن المشاريع الصغيرة والمتوسطة:
• تقديم شهادة تسجيل من الصندوق الوطني لرعاية وتنمية المشروعات الصغيرة والمتوسطة.
• تقديم قوائم مالية معتمدة ومدققة من مكتب تدقيق محاسبي معتمد لدى وزارة التجارة والصناعة لآخر 3 سنوات وفي حال عدم انقضاء فترة 3 سنوات من تاريخ التأسيس يتم تقديم القوائم المالية للفترة المنقضية.
• تقديم شهادة من الهيئة العامة للقوى العاملة بعدد العمالة الاجمالية المسجلة على ملف الشركة متضمنة كافة العقود الحكومية.
• تقديم شهادة السجل التجاري والرخصة التجارية على ان تتضمن الرخصة النشاط التجاري المتوافق مع طبيعة اعمال المناقصة المطلوبة.
• موعد الاجتماع التمهيدي
• methker@KCB.GOV.KW
• A.Almojil@kcb.gov.kw
• آخر موعد لتلقي العطاءات
• تعنون العطاءات بالظرف لبنك الائتمان الكويتي وتودع بصندوق لجنة الشراء للبنك بالإدارة المالية لبنك الائتمان الكويتي بموعد أقصاه الساعة 12:00 ظهرا من يوم الخميس الموافق 08/10/2026
• أهمية الاطلاع على التعاميم الخاصة بممارسات لجنة الشراء لبنك الائتمان الكويتي والمتاحة في موقع البنك الرسمي تحت بند بمسمى تعاميم عامة وخاصة بنظم الشراء للجهات العامة.
• يجب على كافة الشركات المتقدمة (غير المسجلة لدى بنك الائتمان الكويتي) التسجيل عن طريق موقع البنك الالكتروني www.kcb.gov.kw ودفع رسوم التسجيل بقيمة 20 د.ك.
• يجب أن تكون جميع المستندات سارية الصلاحية.
• يجب أن تكون أظرف العطاءات مغلقة بإحكام بالشمع الأحمر.
• للبنك الحق في إلغاء الممارسة بدون ذكر الأسباب.</t>
        </is>
      </c>
      <c r="G48" s="14" t="inlineStr">
        <is>
          <t>عام</t>
        </is>
      </c>
      <c r="H48" s="14" t="inlineStr">
        <is>
          <t>0.0%</t>
        </is>
      </c>
      <c r="I48" s="14" t="inlineStr">
        <is>
          <t>banking_and_finance</t>
        </is>
      </c>
      <c r="J48" s="14" t="inlineStr">
        <is>
          <t>2026-09-27</t>
        </is>
      </c>
      <c r="K48" s="14" t="inlineStr">
        <is>
          <t>-</t>
        </is>
      </c>
      <c r="L48" s="14" t="inlineStr">
        <is>
          <t>2000.0 KWD</t>
        </is>
      </c>
      <c r="M48" s="14" t="inlineStr">
        <is>
          <t>20.0 KWD</t>
        </is>
      </c>
      <c r="N48" s="21" t="inlineStr">
        <is>
          <t>UPDATED</t>
        </is>
      </c>
      <c r="O48" s="14" t="inlineStr">
        <is>
          <t>غير متوافقة مع اختصاصات KBM</t>
        </is>
      </c>
      <c r="P48" s="22">
        <f>HYPERLINK("https://kuwaitalyawm.media.gov.kw/Online/ViewAdsHTML?id=171712&amp;no=1", "عرض المصدر")</f>
        <v/>
      </c>
    </row>
    <row r="49">
      <c r="A49" s="11" t="inlineStr">
        <is>
          <t>2027/2026/13</t>
        </is>
      </c>
      <c r="B49" s="11" t="inlineStr">
        <is>
          <t>بنك الائتمان الكويتي</t>
        </is>
      </c>
      <c r="C49" s="11" t="inlineStr">
        <is>
          <t>Eiman Ashkanani</t>
        </is>
      </c>
      <c r="D49" s="11" t="inlineStr">
        <is>
          <t>ممارسة رقم 2027/2026/13: يعـلـن بنك الائتمان الكويتي عن اعلان طرح الممارسة رقم (13-2026/2027) الخاصة بدعم وصيانة وتكامل نظام الأرشيف الإلكتروني في بنك الائتمان الكويتي فعلى السادة الجهات الراغبة في التقدم بعطاءاتها الدخول على موقع البنك لشراء كراسة الشروط والمواصفات الفنية الخاصة بالممارسة المذكورة طبقاً للتفاصيل المحددة أدناه:</t>
        </is>
      </c>
      <c r="E49" s="11" t="inlineStr">
        <is>
          <t>تنفيذ أعمال يعـلـن بنك الائتمان الكويتي عن اعلان طرح الممارسة رقم (13-2026/2027) الخاصة بدعم وصيانة وتكامل نظام الأرشيف الإلكتروني في بنك الائتمان الكويتي فعلى السادة الجهات الراغبة في التقدم بعطاءاتها الدخول على موقع البنك لشراء كراسة الشروط والمواصفات الفنية الخاصة بالممارسة المذكورة طبقاً للتفاصيل المحددة أدناه:، وتوفير كافة الأجهزة والمعدات والأنظمة وخدمات الدعم الفني والضمان وفقاً لكراسة الشروط والمواصفات الفنية.</t>
        </is>
      </c>
      <c r="F49" s="11" t="inlineStr">
        <is>
          <t>• رقم التواصل لأي استفسارات خاصة بلجنة الشراء لبنك الائتمان الكويتي.
• صورة حديثة ومعاصرة من شهادة تفيد تسجيله لدى الجهاز المركزي للمناقصات العامة.
• صورة حديثة لإعلان طرح الممارسة.
• صورة حديثة ومعاصرة لشهادة تحديد نسبة العمالة الوطنية الصادرة من الجهة المختصة.
• صورة حديثة ومعاصرة من شهادة حديثة ومعاصرة للسجل التجاري الخاص بالشركة.
• صورة حديثة ومعاصرة من شهادة تثبت التسجيل لدى غرفة تجارة صناعة الكويت.
• شهادة لمن يهمه الامر سارية وصادرة عن الهيئة العامة للقوى العاملة تتضمن عدم وجود وقف على ملف الممارس عن العقود الحكومية المسجلة لدى الهيئة عن أحد المخالفات المذكورة بالمادة (10) من القانون رقم (6) لسنة 2010 في شأن العمل في القطاع الأهلي.
• للشركات المدرجة ضمن المشاريع الصغيرة والمتوسطة:
• تقديم شهادة تسجيل من الصندوق الوطني لرعاية وتنمية المشروعات الصغيرة والمتوسطة.
• تقديم قوائم مالية معتمدة ومدققة من مكتب تدقيق محاسبي معتمد لدى وزارة التجارة والصناعة لآخر 3 سنوات وفي حال عدم انقضاء فترة 3 سنوات من تاريخ التأسيس يتم تقديم القوائم المالية للفترة المنقضية.
• تقديم شهادة من الهيئة العامة للقوى العاملة بعدد العمالة الاجمالية المسجلة على ملف الشركة متضمنة كافة العقود الحكومية.
• تقديم شهادة السجل التجاري والرخصة التجارية على ان تتضمن الرخصة النشاط التجاري المتوافق مع طبيعة اعمال المناقصة المطلوبة.
• موعد الاجتماع التمهيدي
• يوم الاحد الموافق 04/10/2026 في تمام الساعة 12:30 بمبنى البنك الرئيسي بجنوب السرة - الدور الرابع غرفة الاجتماعات
• آخر موعد لتلقي العطاءات
• تعنون العطاءات بالظرف لبنك الائتمان الكويتي وتودع بصندوق لجنة الشراء للبنك بالإدارة المالية لبنك الائتمان الكويتي بموعد أقصاه الساعة 01:00 ظهرا من يوم الخميس الموافق 15/10/2026
• أهمية الاطلاع على التعاميم الخاصة بممارسات لجنة الشراء لبنك الائتمان الكويتي والمتاحة في موقع البنك الرسمي تحت بند بمسمى تعاميم عامة وخاصة بنظم الشراء للجهات العامة.
• يجب على كافة الشركات المتقدمة (غير المسجلة لدى بنك الائتمان الكويتي) التسجيل عن طريق موقع البنك الالكتروني www.kcb.gov.kw ودفع رسوم التسجيل بقيمة 20 د.ك.
• يجب أن تكون جميع المستندات سارية الصلاحية.
• يجب ان تكون أظرف العطاءات مغلقة بإحكام بالشمع الأحمر.
• للبنك الحق في إلغاء الممارسة بدون ذكر الأسباب.</t>
        </is>
      </c>
      <c r="G49" s="12" t="inlineStr">
        <is>
          <t>عام</t>
        </is>
      </c>
      <c r="H49" s="12" t="inlineStr">
        <is>
          <t>0.0%</t>
        </is>
      </c>
      <c r="I49" s="12" t="inlineStr">
        <is>
          <t>banking_and_finance</t>
        </is>
      </c>
      <c r="J49" s="12" t="inlineStr">
        <is>
          <t>2026-09-27</t>
        </is>
      </c>
      <c r="K49" s="12" t="inlineStr">
        <is>
          <t>-</t>
        </is>
      </c>
      <c r="L49" s="12" t="inlineStr">
        <is>
          <t>2000.0 KWD</t>
        </is>
      </c>
      <c r="M49" s="12" t="inlineStr">
        <is>
          <t>20.0 KWD</t>
        </is>
      </c>
      <c r="N49" s="21" t="inlineStr">
        <is>
          <t>UPDATED</t>
        </is>
      </c>
      <c r="O49" s="12" t="inlineStr">
        <is>
          <t>غير متوافقة مع اختصاصات KBM</t>
        </is>
      </c>
      <c r="P49" s="23">
        <f>HYPERLINK("https://kuwaitalyawm.media.gov.kw/Online/ViewAdsHTML?id=171713&amp;no=1", "عرض المصدر")</f>
        <v/>
      </c>
    </row>
    <row r="50">
      <c r="A50" s="13" t="inlineStr">
        <is>
          <t>4/2024/2025</t>
        </is>
      </c>
      <c r="B50" s="13" t="inlineStr">
        <is>
          <t>بنك الكويت المركزي</t>
        </is>
      </c>
      <c r="C50" s="13" t="inlineStr">
        <is>
          <t>Eiman Ashkanani</t>
        </is>
      </c>
      <c r="D50" s="13" t="inlineStr">
        <is>
          <t>أعمال تأهيل المبنى المساند وإنشاء متحف بنك الكويت المركزي</t>
        </is>
      </c>
      <c r="E50" s="13" t="inlineStr">
        <is>
          <t>تنفيذ الأعمال المدنية والإنشائية والترميم والصيانة العامة للمباني والمنشآت والمرافق التابعة للجهة.</t>
        </is>
      </c>
      <c r="F5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50" s="14" t="inlineStr">
        <is>
          <t>عام</t>
        </is>
      </c>
      <c r="H50" s="14" t="inlineStr">
        <is>
          <t>0.0%</t>
        </is>
      </c>
      <c r="I50" s="14" t="inlineStr">
        <is>
          <t>banking_and_finance</t>
        </is>
      </c>
      <c r="J50" s="14" t="inlineStr">
        <is>
          <t>2026-10-04</t>
        </is>
      </c>
      <c r="K50" s="14" t="inlineStr">
        <is>
          <t>2026-11-03</t>
        </is>
      </c>
      <c r="L50" s="14" t="inlineStr">
        <is>
          <t>170000.000 KWD</t>
        </is>
      </c>
      <c r="M50" s="14" t="inlineStr">
        <is>
          <t>3500.000 KWD</t>
        </is>
      </c>
      <c r="N50" s="26" t="inlineStr">
        <is>
          <t>UNCHANGED</t>
        </is>
      </c>
      <c r="O50" s="14" t="inlineStr">
        <is>
          <t>غير متوافقة مع اختصاصات KBM</t>
        </is>
      </c>
      <c r="P50" s="22">
        <f>HYPERLINK("https://capt.gov.kw/ar/tenders/opening-tenders/#card-0", "عرض المصدر")</f>
        <v/>
      </c>
    </row>
    <row r="51">
      <c r="A51" s="11" t="inlineStr">
        <is>
          <t>2026/16</t>
        </is>
      </c>
      <c r="B51" s="11" t="inlineStr">
        <is>
          <t>بيت الزكاة</t>
        </is>
      </c>
      <c r="C51" s="11" t="inlineStr">
        <is>
          <t>Eiman Ashkanani</t>
        </is>
      </c>
      <c r="D51" s="11" t="inlineStr">
        <is>
          <t>ممارسة رقم 2026/16: توفير خدمات إنشاء وتطوير وصيانة أنظمة أوراكل</t>
        </is>
      </c>
      <c r="E51" s="11" t="inlineStr">
        <is>
          <t>تنفيذ أعمال توفير خدمات إنشاء وتطوير وصيانة أنظمة أوراكل، وتوفير كافة الأجهزة والمعدات والأنظمة وخدمات الدعم الفني والضمان وفقاً لكراسة الشروط والمواصفات الفنية.</t>
        </is>
      </c>
      <c r="F51" s="11" t="inlineStr">
        <is>
          <t>• https://www.zakathouse.org.kw/tender.aspx</t>
        </is>
      </c>
      <c r="G51" s="24" t="inlineStr">
        <is>
          <t>قطاع العمليات المدارة والدعم الفني متعدد الموردين</t>
        </is>
      </c>
      <c r="H51" s="12" t="inlineStr">
        <is>
          <t>84.0%</t>
        </is>
      </c>
      <c r="I51" s="12" t="inlineStr">
        <is>
          <t>government</t>
        </is>
      </c>
      <c r="J51" s="12" t="inlineStr">
        <is>
          <t>2026-09-27</t>
        </is>
      </c>
      <c r="K51" s="12" t="inlineStr">
        <is>
          <t>-</t>
        </is>
      </c>
      <c r="L51" s="12" t="inlineStr">
        <is>
          <t>-</t>
        </is>
      </c>
      <c r="M51" s="12" t="inlineStr">
        <is>
          <t>75.0 KWD</t>
        </is>
      </c>
      <c r="N51" s="21" t="inlineStr">
        <is>
          <t>UPDATED</t>
        </is>
      </c>
      <c r="O51" s="12" t="inlineStr">
        <is>
          <t>فرصة استراتيجية رئيسية (موصى بالتقديم)</t>
        </is>
      </c>
      <c r="P51" s="23">
        <f>HYPERLINK("https://kuwaitalyawm.media.gov.kw/Online/ViewAdsHTML?id=171714&amp;no=1", "عرض المصدر")</f>
        <v/>
      </c>
    </row>
    <row r="52">
      <c r="A52" s="13" t="inlineStr">
        <is>
          <t>72-516</t>
        </is>
      </c>
      <c r="B52" s="13" t="inlineStr">
        <is>
          <t>جامعة الكويت</t>
        </is>
      </c>
      <c r="C52" s="13" t="inlineStr">
        <is>
          <t>Eiman Ashkanani</t>
        </is>
      </c>
      <c r="D52" s="13" t="inlineStr">
        <is>
          <t>ممارسة رقم 72/2026-2027: صيانة أجهزة التعرف على الوجه والأجهزة العلمية بمراكز عمل جامعة الكويت</t>
        </is>
      </c>
      <c r="E52" s="13" t="inlineStr">
        <is>
          <t>صيانة دورية ودعم فني لأجهزة التحقق البيومتري والتعرف على الوجه (Face Recognition Systems) والأجهزة التابعة لها بجامعة الكويت.</t>
        </is>
      </c>
      <c r="F52" s="13" t="inlineStr">
        <is>
          <t>• بيع الوثائق 75 د.ك، تأمين أولي 2% من قيمة العطاء، إغلاق 20/10/2026 بمقر الجامعة بالشدادية.</t>
        </is>
      </c>
      <c r="G52" s="24" t="inlineStr">
        <is>
          <t>قطاع الأمن السيبراني والدفاع الرقمي</t>
        </is>
      </c>
      <c r="H52" s="14" t="inlineStr">
        <is>
          <t>55.0%</t>
        </is>
      </c>
      <c r="I52" s="14" t="inlineStr">
        <is>
          <t>education_and_research</t>
        </is>
      </c>
      <c r="J52" s="14" t="inlineStr">
        <is>
          <t>2026-09-27</t>
        </is>
      </c>
      <c r="K52" s="18" t="inlineStr">
        <is>
          <t>2026-10-20</t>
        </is>
      </c>
      <c r="L52" s="14" t="inlineStr">
        <is>
          <t>2000.0 KWD</t>
        </is>
      </c>
      <c r="M52" s="14" t="inlineStr">
        <is>
          <t>75.0 KWD</t>
        </is>
      </c>
      <c r="N52" s="21" t="inlineStr">
        <is>
          <t>UPDATED</t>
        </is>
      </c>
      <c r="O52" s="14" t="inlineStr">
        <is>
          <t>فرصة محتملة</t>
        </is>
      </c>
      <c r="P52" s="22">
        <f>HYPERLINK("https://kuwaitalyawm.media.gov.kw/Online/ViewAdsHTML?id=171702&amp;no=1", "عرض المصدر")</f>
        <v/>
      </c>
    </row>
    <row r="53">
      <c r="A53" s="11" t="inlineStr">
        <is>
          <t>2027/2026/536</t>
        </is>
      </c>
      <c r="B53" s="11" t="inlineStr">
        <is>
          <t>جامعة الكويت</t>
        </is>
      </c>
      <c r="C53" s="11" t="inlineStr">
        <is>
          <t>Eiman Ashkanani</t>
        </is>
      </c>
      <c r="D53" s="11" t="inlineStr">
        <is>
          <t>ممارسة رقم 2027/2026/536 - جامعة الكويت (العدد 1810)</t>
        </is>
      </c>
      <c r="E53" s="11" t="inlineStr">
        <is>
          <t>أعمال وتوريدات ممارسة رقم 2027/2026/536 لصالح جامعة الكويت وفقاً للشروط والمواصفات المعتمدة في وثائق الطرح.</t>
        </is>
      </c>
      <c r="F5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53" s="24" t="inlineStr">
        <is>
          <t>عام</t>
        </is>
      </c>
      <c r="H53" s="12" t="inlineStr">
        <is>
          <t>15.0%</t>
        </is>
      </c>
      <c r="I53" s="12" t="inlineStr">
        <is>
          <t>education_and_research</t>
        </is>
      </c>
      <c r="J53" s="12" t="inlineStr">
        <is>
          <t>2026-09-27</t>
        </is>
      </c>
      <c r="K53" s="12" t="inlineStr">
        <is>
          <t>2026-10-27</t>
        </is>
      </c>
      <c r="L53" s="12" t="inlineStr">
        <is>
          <t>2.0 KWD</t>
        </is>
      </c>
      <c r="M53" s="12" t="inlineStr">
        <is>
          <t>75.0 KWD</t>
        </is>
      </c>
      <c r="N53" s="21" t="inlineStr">
        <is>
          <t>UPDATED</t>
        </is>
      </c>
      <c r="O53" s="12" t="inlineStr">
        <is>
          <t>غير متوافقة مع اختصاصات KBM</t>
        </is>
      </c>
      <c r="P53" s="23">
        <f>HYPERLINK("https://kuwaitalyawm.media.gov.kw/Online/ViewAdsHTML?id=171703&amp;no=1", "عرض المصدر")</f>
        <v/>
      </c>
    </row>
    <row r="54">
      <c r="A54" s="13" t="inlineStr">
        <is>
          <t>2027/2026/537</t>
        </is>
      </c>
      <c r="B54" s="13" t="inlineStr">
        <is>
          <t>جامعة الكويت</t>
        </is>
      </c>
      <c r="C54" s="13" t="inlineStr">
        <is>
          <t>Eiman Ashkanani</t>
        </is>
      </c>
      <c r="D54" s="13" t="inlineStr">
        <is>
          <t>ممارسة رقم 2027/2026/537 - جامعة الكويت (العدد 1810)</t>
        </is>
      </c>
      <c r="E54" s="13" t="inlineStr">
        <is>
          <t>أعمال وتوريدات ممارسة رقم 2027/2026/537 لصالح جامعة الكويت وفقاً للشروط والمواصفات المعتمدة في وثائق الطرح.</t>
        </is>
      </c>
      <c r="F5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54" s="24" t="inlineStr">
        <is>
          <t>عام</t>
        </is>
      </c>
      <c r="H54" s="14" t="inlineStr">
        <is>
          <t>15.0%</t>
        </is>
      </c>
      <c r="I54" s="14" t="inlineStr">
        <is>
          <t>education_and_research</t>
        </is>
      </c>
      <c r="J54" s="14" t="inlineStr">
        <is>
          <t>2026-09-27</t>
        </is>
      </c>
      <c r="K54" s="14" t="inlineStr">
        <is>
          <t>2026-10-27</t>
        </is>
      </c>
      <c r="L54" s="14" t="inlineStr">
        <is>
          <t>2000.0 KWD</t>
        </is>
      </c>
      <c r="M54" s="14" t="inlineStr">
        <is>
          <t>75.0 KWD</t>
        </is>
      </c>
      <c r="N54" s="21" t="inlineStr">
        <is>
          <t>UPDATED</t>
        </is>
      </c>
      <c r="O54" s="14" t="inlineStr">
        <is>
          <t>غير متوافقة مع اختصاصات KBM</t>
        </is>
      </c>
      <c r="P54" s="22">
        <f>HYPERLINK("https://kuwaitalyawm.media.gov.kw/Online/ViewAdsHTML?id=171704&amp;no=1", "عرض المصدر")</f>
        <v/>
      </c>
    </row>
    <row r="55">
      <c r="A55" s="11" t="inlineStr">
        <is>
          <t>14/2024/2025</t>
        </is>
      </c>
      <c r="B55" s="11" t="inlineStr">
        <is>
          <t>جامعة عبدالله السالم</t>
        </is>
      </c>
      <c r="C55" s="11" t="inlineStr">
        <is>
          <t>Eiman Ashkanani</t>
        </is>
      </c>
      <c r="D55" s="11" t="inlineStr">
        <is>
          <t>إحلال وصيانة وتشغيل وحدات مناولة الهواء وضواغط التكييف لمباني ( 11،2،10،35،31،32،12) بالخالدية</t>
        </is>
      </c>
      <c r="E55" s="11" t="inlineStr">
        <is>
          <t>أعمال صيانة وتشغيل وإصلاح وحدات ومحطات التكييف المركزي والمبردات وضواغط الهواء وشبكات مجاري الهواء.</t>
        </is>
      </c>
      <c r="F5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55" s="12" t="inlineStr">
        <is>
          <t>عام</t>
        </is>
      </c>
      <c r="H55" s="12" t="inlineStr">
        <is>
          <t>15.0%</t>
        </is>
      </c>
      <c r="I55" s="12" t="inlineStr">
        <is>
          <t>education_and_research</t>
        </is>
      </c>
      <c r="J55" s="12" t="inlineStr">
        <is>
          <t>سبتمبر 27, 2026</t>
        </is>
      </c>
      <c r="K55" s="12" t="inlineStr">
        <is>
          <t>2026-10-27</t>
        </is>
      </c>
      <c r="L55" s="12" t="inlineStr">
        <is>
          <t>6000.000 KWD</t>
        </is>
      </c>
      <c r="M55" s="12" t="inlineStr">
        <is>
          <t>300.000 KWD</t>
        </is>
      </c>
      <c r="N55" s="26" t="inlineStr">
        <is>
          <t>UNCHANGED</t>
        </is>
      </c>
      <c r="O55" s="12" t="inlineStr">
        <is>
          <t>غير متوافقة مع اختصاصات KBM</t>
        </is>
      </c>
      <c r="P55" s="23">
        <f>HYPERLINK("https://capt.gov.kw/ar/tenders/opening-tenders/#card-1", "عرض المصدر")</f>
        <v/>
      </c>
    </row>
    <row r="56">
      <c r="A56" s="13" t="inlineStr">
        <is>
          <t>5/2025-2026</t>
        </is>
      </c>
      <c r="B56" s="13" t="inlineStr">
        <is>
          <t>ديوان المحاسبة</t>
        </is>
      </c>
      <c r="C56" s="13" t="inlineStr">
        <is>
          <t>Eiman Ashkanani</t>
        </is>
      </c>
      <c r="D56" s="13" t="inlineStr">
        <is>
          <t>توريد وتركيب وتشغيل وصيانة وضمان أجهزة  محــولات الشبكــة Access Switches وجهــاز إدارة الـمحــولات  Catalyst Center (بالإضــافــة للرخــص والـقـطــع الـمـلحقـــة(</t>
        </is>
      </c>
      <c r="E56" s="13" t="inlineStr">
        <is>
          <t>تنفيذ أعمال توريد وتركيب وتشغيل وصيانة وضمان أجهزة  محــولات الشبكــة Access Switches وجهــاز إدارة الـمحــولات  Catalyst Center (بالإضــافــة للرخــص والـقـطــع الـمـلحقـــة(، وتوفير كافة الأجهزة والمعدات والأنظمة وخدمات الدعم الفني والضمان وفقاً لكراسة الشروط والمواصفات الفنية.</t>
        </is>
      </c>
      <c r="F5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56" s="24" t="inlineStr">
        <is>
          <t>قطاع العمليات المدارة والدعم الفني متعدد الموردين</t>
        </is>
      </c>
      <c r="H56" s="14" t="inlineStr">
        <is>
          <t>49.0%</t>
        </is>
      </c>
      <c r="I56" s="14" t="inlineStr">
        <is>
          <t>government</t>
        </is>
      </c>
      <c r="J56" s="14" t="inlineStr">
        <is>
          <t>2026-09-06</t>
        </is>
      </c>
      <c r="K56" s="14" t="inlineStr">
        <is>
          <t>2026-10-27</t>
        </is>
      </c>
      <c r="L56" s="14" t="inlineStr">
        <is>
          <t>3500.000 KWD</t>
        </is>
      </c>
      <c r="M56" s="14" t="inlineStr">
        <is>
          <t>150.000 KWD</t>
        </is>
      </c>
      <c r="N56" s="21" t="inlineStr">
        <is>
          <t>UPDATED</t>
        </is>
      </c>
      <c r="O56" s="14" t="inlineStr">
        <is>
          <t>فرصة تتطلب شراكة أو دراسة نطاق</t>
        </is>
      </c>
      <c r="P56" s="22">
        <f>HYPERLINK("https://capt.gov.kw/ar/tenders/opening-tenders/#card-1", "عرض المصدر")</f>
        <v/>
      </c>
    </row>
    <row r="57">
      <c r="A57" s="11" t="inlineStr">
        <is>
          <t>2026/8/10</t>
        </is>
      </c>
      <c r="B57" s="11" t="inlineStr">
        <is>
          <t>شركة إدارة المرافق العمومية</t>
        </is>
      </c>
      <c r="C57" s="11" t="inlineStr">
        <is>
          <t>Eiman Ashkanani</t>
        </is>
      </c>
      <c r="D57" s="11" t="inlineStr">
        <is>
          <t>مناقصة رقم 2026/8/10: بخصـوص القيام بأعمـال تعديل وصيانة وإعادة توزيع مكاتب مقر شركة إدارة المرافق العمومية - بموقف الأحمدية متعدد الأدوار</t>
        </is>
      </c>
      <c r="E57" s="11" t="inlineStr">
        <is>
          <t>أعمال وتوريدات بخصـوص القيام بأعمـال تعديل وصيانة وإعادة توزيع مكاتب مقر شركة إدارة المرافق العمومية - بموقف الأحمدية متعدد الأدوار لصالح شركة إدارة المرافق العمومية وفقاً للشروط والمواصفات المعتمدة في وثائق الطرح.</t>
        </is>
      </c>
      <c r="F57" s="11" t="inlineStr">
        <is>
          <t>• علماً بأنه آخر موعد لتقديم العطاءات يوم الخميس الموافـق 10/09/2026 الساعة 01:00 ظهراً
• وسيتم عقد اجتماع تمهيدي يوم الاثنين الموافق 31/08/2026 الساعة 10:00 صباحا بمقر الشركة.</t>
        </is>
      </c>
      <c r="G57" s="12" t="inlineStr">
        <is>
          <t>عام</t>
        </is>
      </c>
      <c r="H57" s="12" t="inlineStr">
        <is>
          <t>0.0%</t>
        </is>
      </c>
      <c r="I57" s="12" t="inlineStr">
        <is>
          <t>government</t>
        </is>
      </c>
      <c r="J57" s="12" t="inlineStr">
        <is>
          <t>2026-08-30</t>
        </is>
      </c>
      <c r="K57" s="12" t="inlineStr">
        <is>
          <t>2026-09-10</t>
        </is>
      </c>
      <c r="L57" s="12" t="inlineStr">
        <is>
          <t>2000.0</t>
        </is>
      </c>
      <c r="M57" s="12" t="inlineStr">
        <is>
          <t>150.0</t>
        </is>
      </c>
      <c r="N57" s="25" t="inlineStr">
        <is>
          <t>NEW</t>
        </is>
      </c>
      <c r="O57" s="12" t="inlineStr">
        <is>
          <t>غير متوافقة مع اختصاصات KBM</t>
        </is>
      </c>
      <c r="P57" s="23">
        <f>HYPERLINK("https://kuwaitalyawm.media.gov.kw/Online/ViewAdsHTML?id=168758&amp;no=1", "عرض المصدر")</f>
        <v/>
      </c>
    </row>
    <row r="58">
      <c r="A58" s="13" t="inlineStr">
        <is>
          <t>2026/09/07</t>
        </is>
      </c>
      <c r="B58" s="13" t="inlineStr">
        <is>
          <t>شركة إدارة المرافق العمومية</t>
        </is>
      </c>
      <c r="C58" s="13" t="inlineStr">
        <is>
          <t>Eiman Ashkanani</t>
        </is>
      </c>
      <c r="D58" s="13" t="inlineStr">
        <is>
          <t>مناقصة رقم 2026/09/07: بخصـوص القيام بأعمال الصيانة والإصلاح وإعادة التأهيل</t>
        </is>
      </c>
      <c r="E58" s="13" t="inlineStr">
        <is>
          <t>أعمال وتوريدات بخصـوص القيام بأعمال الصيانة والإصلاح وإعادة التأهيل لصالح شركة إدارة المرافق العمومية وفقاً للشروط والمواصفات المعتمدة في وثائق الطرح.</t>
        </is>
      </c>
      <c r="F58" s="13" t="inlineStr">
        <is>
          <t>• علماً بأنه آخر موعد لتقديم العطاءات يوم الخميس الموافـق 08/10/2026 الساعة الواحدة ظهراً  وسيتم عقد اجتماع تمهيدي يوم الأحد الموافق 27/09/2026 الساعة 10:00 صباحاً بمقر الشركة.</t>
        </is>
      </c>
      <c r="G58" s="14" t="inlineStr">
        <is>
          <t>عام</t>
        </is>
      </c>
      <c r="H58" s="14" t="inlineStr">
        <is>
          <t>0.0%</t>
        </is>
      </c>
      <c r="I58" s="14" t="inlineStr">
        <is>
          <t>government</t>
        </is>
      </c>
      <c r="J58" s="14" t="inlineStr">
        <is>
          <t>2026-09-13</t>
        </is>
      </c>
      <c r="K58" s="14" t="inlineStr">
        <is>
          <t>2026-10-08</t>
        </is>
      </c>
      <c r="L58" s="14" t="inlineStr">
        <is>
          <t>1500.0</t>
        </is>
      </c>
      <c r="M58" s="14" t="inlineStr">
        <is>
          <t>150.0</t>
        </is>
      </c>
      <c r="N58" s="25" t="inlineStr">
        <is>
          <t>NEW</t>
        </is>
      </c>
      <c r="O58" s="14" t="inlineStr">
        <is>
          <t>غير متوافقة مع اختصاصات KBM</t>
        </is>
      </c>
      <c r="P58" s="22">
        <f>HYPERLINK("https://kuwaitalyawm.media.gov.kw/Online/ViewAdsHTML?id=170505&amp;no=1", "عرض المصدر")</f>
        <v/>
      </c>
    </row>
    <row r="59">
      <c r="A59" s="11" t="inlineStr">
        <is>
          <t>601750</t>
        </is>
      </c>
      <c r="B59" s="11" t="inlineStr">
        <is>
          <t>شركة البترول الكويتية العالمية</t>
        </is>
      </c>
      <c r="C59" s="11" t="inlineStr">
        <is>
          <t>Eiman Ashkanani</t>
        </is>
      </c>
      <c r="D59" s="11" t="inlineStr">
        <is>
          <t>مناقصة رقم 601750 - شركة البترول الكويتية العالمية</t>
        </is>
      </c>
      <c r="E59" s="11" t="inlineStr">
        <is>
          <t>أعمال وتوريدات مناقصة رقم 601750 لصالح شركة البترول الكويتية العالمية وفقاً للشروط والمواصفات المعتمدة في وثائق الطرح.</t>
        </is>
      </c>
      <c r="F5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59" s="12" t="inlineStr">
        <is>
          <t>عام</t>
        </is>
      </c>
      <c r="H59" s="12" t="inlineStr">
        <is>
          <t>0.0%</t>
        </is>
      </c>
      <c r="I59" s="12" t="inlineStr">
        <is>
          <t>government</t>
        </is>
      </c>
      <c r="J59" s="12" t="inlineStr">
        <is>
          <t>2026-08-30</t>
        </is>
      </c>
      <c r="K59" s="12" t="inlineStr">
        <is>
          <t>2026-09-29</t>
        </is>
      </c>
      <c r="L59" s="12" t="inlineStr">
        <is>
          <t>2500.0</t>
        </is>
      </c>
      <c r="M59" s="12" t="inlineStr">
        <is>
          <t>-</t>
        </is>
      </c>
      <c r="N59" s="25" t="inlineStr">
        <is>
          <t>NEW</t>
        </is>
      </c>
      <c r="O59" s="12" t="inlineStr">
        <is>
          <t>غير متوافقة مع اختصاصات KBM</t>
        </is>
      </c>
      <c r="P59" s="23">
        <f>HYPERLINK("https://kuwaitalyawm.media.gov.kw/Online/ViewAdsHTML?id=168759&amp;no=1", "عرض المصدر")</f>
        <v/>
      </c>
    </row>
    <row r="60">
      <c r="A60" s="13" t="inlineStr">
        <is>
          <t>PR 901782</t>
        </is>
      </c>
      <c r="B60" s="13" t="inlineStr">
        <is>
          <t>شركة البترول الكويتية العالمية</t>
        </is>
      </c>
      <c r="C60" s="13" t="inlineStr">
        <is>
          <t>Eiman Ashkanani</t>
        </is>
      </c>
      <c r="D60" s="13" t="inlineStr">
        <is>
          <t>مناقصة رقم PR 901782 - شركة البترول الكويتية العالمية</t>
        </is>
      </c>
      <c r="E60" s="13" t="inlineStr">
        <is>
          <t>أعمال وتوريدات مناقصة رقم PR 901782 لصالح شركة البترول الكويتية العالمية وفقاً للشروط والمواصفات المعتمدة في وثائق الطرح.</t>
        </is>
      </c>
      <c r="F6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60" s="14" t="inlineStr">
        <is>
          <t>عام</t>
        </is>
      </c>
      <c r="H60" s="14" t="inlineStr">
        <is>
          <t>28.0%</t>
        </is>
      </c>
      <c r="I60" s="14" t="inlineStr">
        <is>
          <t>government</t>
        </is>
      </c>
      <c r="J60" s="14" t="inlineStr">
        <is>
          <t>2026-09-27</t>
        </is>
      </c>
      <c r="K60" s="14" t="inlineStr">
        <is>
          <t>2026-10-27</t>
        </is>
      </c>
      <c r="L60" s="14" t="inlineStr">
        <is>
          <t>15000.0</t>
        </is>
      </c>
      <c r="M60" s="14" t="inlineStr">
        <is>
          <t>-</t>
        </is>
      </c>
      <c r="N60" s="25" t="inlineStr">
        <is>
          <t>NEW</t>
        </is>
      </c>
      <c r="O60" s="14" t="inlineStr">
        <is>
          <t>غير متوافقة مع اختصاصات KBM</t>
        </is>
      </c>
      <c r="P60" s="22">
        <f>HYPERLINK("https://kuwaitalyawm.media.gov.kw/Online/ViewAdsHTML?id=171723&amp;no=1", "عرض المصدر")</f>
        <v/>
      </c>
    </row>
    <row r="61">
      <c r="A61" s="11" t="inlineStr">
        <is>
          <t>CB/CPC/2564/CNSL</t>
        </is>
      </c>
      <c r="B61" s="11" t="inlineStr">
        <is>
          <t>شركة البترول الوطنية الكويتية</t>
        </is>
      </c>
      <c r="C61" s="11" t="inlineStr">
        <is>
          <t>Abrar Al-Qallaf</t>
        </is>
      </c>
      <c r="D61" s="11" t="inlineStr">
        <is>
          <t>ممارسة رقم CB/CPC/2564/CNSL: توريد مواد ومهمات تشغيلية لزوم شركة البترول الوطنية الكويتية - شركة البترول الوطنية الكويتية</t>
        </is>
      </c>
      <c r="E61" s="11" t="inlineStr">
        <is>
          <t>أعمال وتوريدات تخصصية لزوم شركة البترول الوطنية الكويتية حسب وثائق الممارسة رقم CB/CPC/2564/CNSL عبر منصة K-Tendering.</t>
        </is>
      </c>
      <c r="F61" s="11" t="inlineStr">
        <is>
          <t>وفقاً لشروط وإجراءات المناقصات والتوريد لدى شركة البترول الوطنية الكويتية (KNPC) عبر منصة K-Tendering.</t>
        </is>
      </c>
      <c r="G61" s="12" t="inlineStr">
        <is>
          <t>عام</t>
        </is>
      </c>
      <c r="H61" s="12" t="inlineStr">
        <is>
          <t>15.0%</t>
        </is>
      </c>
      <c r="I61" s="12" t="inlineStr">
        <is>
          <t>oil_and_gas</t>
        </is>
      </c>
      <c r="J61" s="12" t="inlineStr">
        <is>
          <t>2026-09-27</t>
        </is>
      </c>
      <c r="K61" s="12" t="inlineStr">
        <is>
          <t>-</t>
        </is>
      </c>
      <c r="L61" s="12" t="inlineStr">
        <is>
          <t>-</t>
        </is>
      </c>
      <c r="M61" s="12" t="inlineStr">
        <is>
          <t>-</t>
        </is>
      </c>
      <c r="N61" s="21" t="inlineStr">
        <is>
          <t>UPDATED</t>
        </is>
      </c>
      <c r="O61" s="12" t="inlineStr">
        <is>
          <t>غير متوافقة</t>
        </is>
      </c>
      <c r="P61" s="23">
        <f>HYPERLINK("https://kuwaitalyawm.media.gov.kw/Online/ViewAdsHTML?id=171728&amp;no=1", "عرض المصدر")</f>
        <v/>
      </c>
    </row>
    <row r="62">
      <c r="A62" s="13" t="inlineStr">
        <is>
          <t>CA/CPC/0964</t>
        </is>
      </c>
      <c r="B62" s="13" t="inlineStr">
        <is>
          <t>شركة البترول الوطنية الكويتية</t>
        </is>
      </c>
      <c r="C62" s="13" t="inlineStr">
        <is>
          <t>Abrar Al-Qallaf</t>
        </is>
      </c>
      <c r="D62" s="13" t="inlineStr">
        <is>
          <t>ممارسة رقم CA/CPC/0964: توريد مواد ومهمات تشغيلية لزوم شركة البترول الوطنية الكويتية - شركة البترول الوطنية الكويتية</t>
        </is>
      </c>
      <c r="E62" s="13" t="inlineStr">
        <is>
          <t>أعمال وتوريدات تخصصية لزوم شركة البترول الوطنية الكويتية حسب وثائق الممارسة رقم CA/CPC/0964 عبر منصة K-Tendering.</t>
        </is>
      </c>
      <c r="F62" s="13" t="inlineStr">
        <is>
          <t>وفقاً لشروط وإجراءات المناقصات والتوريد لدى شركة البترول الوطنية الكويتية (KNPC) عبر منصة K-Tendering.</t>
        </is>
      </c>
      <c r="G62" s="14" t="inlineStr">
        <is>
          <t>عام</t>
        </is>
      </c>
      <c r="H62" s="14" t="inlineStr">
        <is>
          <t>15.0%</t>
        </is>
      </c>
      <c r="I62" s="14" t="inlineStr">
        <is>
          <t>oil_and_gas</t>
        </is>
      </c>
      <c r="J62" s="14" t="inlineStr">
        <is>
          <t>2026-09-06</t>
        </is>
      </c>
      <c r="K62" s="14" t="inlineStr">
        <is>
          <t>-</t>
        </is>
      </c>
      <c r="L62" s="14" t="inlineStr">
        <is>
          <t>-</t>
        </is>
      </c>
      <c r="M62" s="14" t="inlineStr">
        <is>
          <t>-</t>
        </is>
      </c>
      <c r="N62" s="25" t="inlineStr">
        <is>
          <t>NEW</t>
        </is>
      </c>
      <c r="O62" s="14" t="inlineStr">
        <is>
          <t>غير متوافقة</t>
        </is>
      </c>
      <c r="P62" s="22">
        <f>HYPERLINK("https://kuwaitalyawm.media.gov.kw/Online/ViewAdsHTML?id=171736&amp;no=1", "عرض المصدر")</f>
        <v/>
      </c>
    </row>
    <row r="63">
      <c r="A63" s="11" t="inlineStr">
        <is>
          <t>RFQ/2163185</t>
        </is>
      </c>
      <c r="B63" s="11" t="inlineStr">
        <is>
          <t>شركة البترول الوطنية الكويتية</t>
        </is>
      </c>
      <c r="C63" s="11" t="inlineStr">
        <is>
          <t>Abrar Al-Qallaf</t>
        </is>
      </c>
      <c r="D63" s="11" t="inlineStr">
        <is>
          <t>ممارسة رقم RFQ/2163185: توريد مواد ومهمات تشغيلية لزوم شركة البترول الوطنية الكويتية - شركة البترول الوطنية الكويتية</t>
        </is>
      </c>
      <c r="E63" s="11" t="inlineStr">
        <is>
          <t>أعمال وتوريدات تخصصية لزوم شركة البترول الوطنية الكويتية حسب وثائق الممارسة رقم RFQ/2163185 عبر منصة K-Tendering.</t>
        </is>
      </c>
      <c r="F63" s="11" t="inlineStr">
        <is>
          <t>وفقاً لشروط وإجراءات المناقصات والتوريد لدى شركة البترول الوطنية الكويتية (KNPC) عبر منصة K-Tendering.</t>
        </is>
      </c>
      <c r="G63" s="12" t="inlineStr">
        <is>
          <t>عام</t>
        </is>
      </c>
      <c r="H63" s="12" t="inlineStr">
        <is>
          <t>15.0%</t>
        </is>
      </c>
      <c r="I63" s="12" t="inlineStr">
        <is>
          <t>oil_and_gas</t>
        </is>
      </c>
      <c r="J63" s="12" t="inlineStr">
        <is>
          <t>2026-09-13</t>
        </is>
      </c>
      <c r="K63" s="12" t="inlineStr">
        <is>
          <t>-</t>
        </is>
      </c>
      <c r="L63" s="12" t="inlineStr">
        <is>
          <t>-</t>
        </is>
      </c>
      <c r="M63" s="12" t="inlineStr">
        <is>
          <t>-</t>
        </is>
      </c>
      <c r="N63" s="25" t="inlineStr">
        <is>
          <t>NEW</t>
        </is>
      </c>
      <c r="O63" s="12" t="inlineStr">
        <is>
          <t>غير متوافقة</t>
        </is>
      </c>
      <c r="P63" s="23">
        <f>HYPERLINK("https://kuwaitalyawm.media.gov.kw/Online/ViewAdsHTML?id=170525&amp;no=1", "عرض المصدر")</f>
        <v/>
      </c>
    </row>
    <row r="64">
      <c r="A64" s="13" t="inlineStr">
        <is>
          <t>RFQ/2163729</t>
        </is>
      </c>
      <c r="B64" s="13" t="inlineStr">
        <is>
          <t>شركة البترول الوطنية الكويتية</t>
        </is>
      </c>
      <c r="C64" s="13" t="inlineStr">
        <is>
          <t>Abrar Al-Qallaf</t>
        </is>
      </c>
      <c r="D64" s="13" t="inlineStr">
        <is>
          <t>ممارسة رقم RFQ/2163729: توريد مواد ومهمات تشغيلية لزوم شركة البترول الوطنية الكويتية - شركة البترول الوطنية الكويتية</t>
        </is>
      </c>
      <c r="E64" s="13" t="inlineStr">
        <is>
          <t>أعمال وتوريدات تخصصية لزوم شركة البترول الوطنية الكويتية حسب وثائق الممارسة رقم RFQ/2163729 عبر منصة K-Tendering.</t>
        </is>
      </c>
      <c r="F64" s="13" t="inlineStr">
        <is>
          <t>وفقاً لشروط وإجراءات المناقصات والتوريد لدى شركة البترول الوطنية الكويتية (KNPC) عبر منصة K-Tendering.</t>
        </is>
      </c>
      <c r="G64" s="14" t="inlineStr">
        <is>
          <t>عام</t>
        </is>
      </c>
      <c r="H64" s="14" t="inlineStr">
        <is>
          <t>15.0%</t>
        </is>
      </c>
      <c r="I64" s="14" t="inlineStr">
        <is>
          <t>oil_and_gas</t>
        </is>
      </c>
      <c r="J64" s="14" t="inlineStr">
        <is>
          <t>2026-09-13</t>
        </is>
      </c>
      <c r="K64" s="14" t="inlineStr">
        <is>
          <t>-</t>
        </is>
      </c>
      <c r="L64" s="14" t="inlineStr">
        <is>
          <t>-</t>
        </is>
      </c>
      <c r="M64" s="14" t="inlineStr">
        <is>
          <t>-</t>
        </is>
      </c>
      <c r="N64" s="25" t="inlineStr">
        <is>
          <t>NEW</t>
        </is>
      </c>
      <c r="O64" s="14" t="inlineStr">
        <is>
          <t>غير متوافقة</t>
        </is>
      </c>
      <c r="P64" s="22">
        <f>HYPERLINK("https://kuwaitalyawm.media.gov.kw/Online/ViewAdsHTML?id=170526&amp;no=1", "عرض المصدر")</f>
        <v/>
      </c>
    </row>
    <row r="65">
      <c r="A65" s="11" t="inlineStr">
        <is>
          <t>RFQ/2162788</t>
        </is>
      </c>
      <c r="B65" s="11" t="inlineStr">
        <is>
          <t>شركة البترول الوطنية الكويتية</t>
        </is>
      </c>
      <c r="C65" s="11" t="inlineStr">
        <is>
          <t>Abrar Al-Qallaf</t>
        </is>
      </c>
      <c r="D65" s="11" t="inlineStr">
        <is>
          <t>ممارسة رقم RFQ/2162788: توريد مواد ومهمات تشغيلية لزوم شركة البترول الوطنية الكويتية - شركة البترول الوطنية الكويتية</t>
        </is>
      </c>
      <c r="E65" s="11" t="inlineStr">
        <is>
          <t>أعمال وتوريدات تخصصية لزوم شركة البترول الوطنية الكويتية حسب وثائق الممارسة رقم RFQ/2162788 عبر منصة K-Tendering.</t>
        </is>
      </c>
      <c r="F65" s="11" t="inlineStr">
        <is>
          <t>وفقاً لشروط وإجراءات المناقصات والتوريد لدى شركة البترول الوطنية الكويتية (KNPC) عبر منصة K-Tendering.</t>
        </is>
      </c>
      <c r="G65" s="12" t="inlineStr">
        <is>
          <t>عام</t>
        </is>
      </c>
      <c r="H65" s="12" t="inlineStr">
        <is>
          <t>15.0%</t>
        </is>
      </c>
      <c r="I65" s="12" t="inlineStr">
        <is>
          <t>oil_and_gas</t>
        </is>
      </c>
      <c r="J65" s="12" t="inlineStr">
        <is>
          <t>2026-08-30</t>
        </is>
      </c>
      <c r="K65" s="12" t="inlineStr">
        <is>
          <t>-</t>
        </is>
      </c>
      <c r="L65" s="12" t="inlineStr">
        <is>
          <t>-</t>
        </is>
      </c>
      <c r="M65" s="12" t="inlineStr">
        <is>
          <t>-</t>
        </is>
      </c>
      <c r="N65" s="25" t="inlineStr">
        <is>
          <t>NEW</t>
        </is>
      </c>
      <c r="O65" s="12" t="inlineStr">
        <is>
          <t>غير متوافقة</t>
        </is>
      </c>
      <c r="P65" s="23">
        <f>HYPERLINK("https://kuwaitalyawm.media.gov.kw/Online/ViewAdsHTML?id=170528&amp;no=1", "عرض المصدر")</f>
        <v/>
      </c>
    </row>
    <row r="66">
      <c r="A66" s="13" t="inlineStr">
        <is>
          <t>RFQ/2163773</t>
        </is>
      </c>
      <c r="B66" s="13" t="inlineStr">
        <is>
          <t>شركة البترول الوطنية الكويتية</t>
        </is>
      </c>
      <c r="C66" s="13" t="inlineStr">
        <is>
          <t>Abrar Al-Qallaf</t>
        </is>
      </c>
      <c r="D66" s="13" t="inlineStr">
        <is>
          <t>ممارسة رقم RFQ/2163773: توريد مواد ومهمات تشغيلية لزوم شركة البترول الوطنية الكويتية - شركة البترول الوطنية الكويتية</t>
        </is>
      </c>
      <c r="E66" s="13" t="inlineStr">
        <is>
          <t>أعمال وتوريدات تخصصية لزوم شركة البترول الوطنية الكويتية حسب وثائق الممارسة رقم RFQ/2163773 عبر منصة K-Tendering.</t>
        </is>
      </c>
      <c r="F66" s="13" t="inlineStr">
        <is>
          <t>وفقاً لشروط وإجراءات المناقصات والتوريد لدى شركة البترول الوطنية الكويتية (KNPC) عبر منصة K-Tendering.</t>
        </is>
      </c>
      <c r="G66" s="14" t="inlineStr">
        <is>
          <t>عام</t>
        </is>
      </c>
      <c r="H66" s="14" t="inlineStr">
        <is>
          <t>15.0%</t>
        </is>
      </c>
      <c r="I66" s="14" t="inlineStr">
        <is>
          <t>oil_and_gas</t>
        </is>
      </c>
      <c r="J66" s="14" t="inlineStr">
        <is>
          <t>2026-09-13</t>
        </is>
      </c>
      <c r="K66" s="14" t="inlineStr">
        <is>
          <t>-</t>
        </is>
      </c>
      <c r="L66" s="14" t="inlineStr">
        <is>
          <t>-</t>
        </is>
      </c>
      <c r="M66" s="14" t="inlineStr">
        <is>
          <t>-</t>
        </is>
      </c>
      <c r="N66" s="25" t="inlineStr">
        <is>
          <t>NEW</t>
        </is>
      </c>
      <c r="O66" s="14" t="inlineStr">
        <is>
          <t>غير متوافقة</t>
        </is>
      </c>
      <c r="P66" s="22">
        <f>HYPERLINK("https://kuwaitalyawm.media.gov.kw/Online/ViewAdsHTML?id=170530&amp;no=1", "عرض المصدر")</f>
        <v/>
      </c>
    </row>
    <row r="67">
      <c r="A67" s="11" t="inlineStr">
        <is>
          <t>RFP/2161888</t>
        </is>
      </c>
      <c r="B67" s="11" t="inlineStr">
        <is>
          <t>شركة البترول الوطنية الكويتية</t>
        </is>
      </c>
      <c r="C67" s="11" t="inlineStr">
        <is>
          <t>Abrar Al-Qallaf</t>
        </is>
      </c>
      <c r="D67" s="11" t="inlineStr">
        <is>
          <t>ممارسة رقم RFP/2161888: توريد مواد ومهمات تشغيلية لزوم شركة البترول الوطنية الكويتية - شركة البترول الوطنية الكويتية</t>
        </is>
      </c>
      <c r="E67" s="11" t="inlineStr">
        <is>
          <t>أعمال وتوريدات تخصصية لزوم شركة البترول الوطنية الكويتية حسب وثائق الممارسة رقم RFP/2161888 عبر منصة K-Tendering.</t>
        </is>
      </c>
      <c r="F67" s="11" t="inlineStr">
        <is>
          <t>وفقاً لشروط وإجراءات المناقصات والتوريد لدى شركة البترول الوطنية الكويتية (KNPC) عبر منصة K-Tendering.</t>
        </is>
      </c>
      <c r="G67" s="12" t="inlineStr">
        <is>
          <t>عام</t>
        </is>
      </c>
      <c r="H67" s="12" t="inlineStr">
        <is>
          <t>15.0%</t>
        </is>
      </c>
      <c r="I67" s="12" t="inlineStr">
        <is>
          <t>oil_and_gas</t>
        </is>
      </c>
      <c r="J67" s="12" t="inlineStr">
        <is>
          <t>2026-09-13</t>
        </is>
      </c>
      <c r="K67" s="12" t="inlineStr">
        <is>
          <t>-</t>
        </is>
      </c>
      <c r="L67" s="12" t="inlineStr">
        <is>
          <t>-</t>
        </is>
      </c>
      <c r="M67" s="12" t="inlineStr">
        <is>
          <t>250.0</t>
        </is>
      </c>
      <c r="N67" s="25" t="inlineStr">
        <is>
          <t>NEW</t>
        </is>
      </c>
      <c r="O67" s="12" t="inlineStr">
        <is>
          <t>غير متوافقة</t>
        </is>
      </c>
      <c r="P67" s="23">
        <f>HYPERLINK("https://kuwaitalyawm.media.gov.kw/Online/ViewAdsHTML?id=170536&amp;no=1", "عرض المصدر")</f>
        <v/>
      </c>
    </row>
    <row r="68">
      <c r="A68" s="13" t="inlineStr">
        <is>
          <t>CB CPC 2551</t>
        </is>
      </c>
      <c r="B68" s="13" t="inlineStr">
        <is>
          <t>شركة البترول الوطنية الكويتية</t>
        </is>
      </c>
      <c r="C68" s="13" t="inlineStr">
        <is>
          <t>Abrar Al-Qallaf</t>
        </is>
      </c>
      <c r="D68" s="13" t="inlineStr">
        <is>
          <t>ممارسة رقم CB CPC 2551: توريد مواد ومهمات تشغيلية لزوم شركة البترول الوطنية الكويتية - شركة البترول الوطنية الكويتية</t>
        </is>
      </c>
      <c r="E68" s="13" t="inlineStr">
        <is>
          <t>أعمال وتوريدات تخصصية لزوم شركة البترول الوطنية الكويتية حسب وثائق الممارسة رقم CB CPC 2551 عبر منصة K-Tendering.</t>
        </is>
      </c>
      <c r="F68" s="13" t="inlineStr">
        <is>
          <t>وفقاً لشروط وإجراءات المناقصات والتوريد لدى شركة البترول الوطنية الكويتية (KNPC) عبر منصة K-Tendering.</t>
        </is>
      </c>
      <c r="G68" s="14" t="inlineStr">
        <is>
          <t>عام</t>
        </is>
      </c>
      <c r="H68" s="14" t="inlineStr">
        <is>
          <t>15.0%</t>
        </is>
      </c>
      <c r="I68" s="14" t="inlineStr">
        <is>
          <t>oil_and_gas</t>
        </is>
      </c>
      <c r="J68" s="14" t="inlineStr">
        <is>
          <t>2026-09-06</t>
        </is>
      </c>
      <c r="K68" s="14" t="inlineStr">
        <is>
          <t>-</t>
        </is>
      </c>
      <c r="L68" s="14" t="inlineStr">
        <is>
          <t>-</t>
        </is>
      </c>
      <c r="M68" s="14" t="inlineStr">
        <is>
          <t>-</t>
        </is>
      </c>
      <c r="N68" s="25" t="inlineStr">
        <is>
          <t>NEW</t>
        </is>
      </c>
      <c r="O68" s="14" t="inlineStr">
        <is>
          <t>غير متوافقة</t>
        </is>
      </c>
      <c r="P68" s="22">
        <f>HYPERLINK("https://kuwaitalyawm.media.gov.kw/Online/ViewAdsHTML?id=169420&amp;no=1", "عرض المصدر")</f>
        <v/>
      </c>
    </row>
    <row r="69">
      <c r="A69" s="11" t="inlineStr">
        <is>
          <t>RFQ 1061885</t>
        </is>
      </c>
      <c r="B69" s="11" t="inlineStr">
        <is>
          <t>شركة البترول الوطنية الكويتية</t>
        </is>
      </c>
      <c r="C69" s="11" t="inlineStr">
        <is>
          <t>Abrar Al-Qallaf</t>
        </is>
      </c>
      <c r="D69" s="11" t="inlineStr">
        <is>
          <t>ممارسة رقم RFQ 1061885: توريد مواد ومهمات تشغيلية لزوم شركة البترول الوطنية الكويتية - شركة البترول الوطنية الكويتية</t>
        </is>
      </c>
      <c r="E69" s="11" t="inlineStr">
        <is>
          <t>أعمال وتوريدات تخصصية لزوم شركة البترول الوطنية الكويتية حسب وثائق الممارسة رقم RFQ 1061885 عبر منصة K-Tendering.</t>
        </is>
      </c>
      <c r="F69" s="11" t="inlineStr">
        <is>
          <t>وفقاً لشروط وإجراءات المناقصات والتوريد لدى شركة البترول الوطنية الكويتية (KNPC) عبر منصة K-Tendering.</t>
        </is>
      </c>
      <c r="G69" s="12" t="inlineStr">
        <is>
          <t>عام</t>
        </is>
      </c>
      <c r="H69" s="12" t="inlineStr">
        <is>
          <t>15.0%</t>
        </is>
      </c>
      <c r="I69" s="12" t="inlineStr">
        <is>
          <t>oil_and_gas</t>
        </is>
      </c>
      <c r="J69" s="12" t="inlineStr">
        <is>
          <t>2026-09-06</t>
        </is>
      </c>
      <c r="K69" s="12" t="inlineStr">
        <is>
          <t>-</t>
        </is>
      </c>
      <c r="L69" s="12" t="inlineStr">
        <is>
          <t>-</t>
        </is>
      </c>
      <c r="M69" s="12" t="inlineStr">
        <is>
          <t>-</t>
        </is>
      </c>
      <c r="N69" s="25" t="inlineStr">
        <is>
          <t>NEW</t>
        </is>
      </c>
      <c r="O69" s="12" t="inlineStr">
        <is>
          <t>غير متوافقة</t>
        </is>
      </c>
      <c r="P69" s="23">
        <f>HYPERLINK("https://kuwaitalyawm.media.gov.kw/Online/ViewAdsHTML?id=169422&amp;no=1", "عرض المصدر")</f>
        <v/>
      </c>
    </row>
    <row r="70">
      <c r="A70" s="13" t="inlineStr">
        <is>
          <t>126</t>
        </is>
      </c>
      <c r="B70" s="13" t="inlineStr">
        <is>
          <t>شركة البترول الوطنية الكويتية</t>
        </is>
      </c>
      <c r="C70" s="13" t="inlineStr">
        <is>
          <t>Abrar Al-Qallaf</t>
        </is>
      </c>
      <c r="D70" s="13" t="inlineStr">
        <is>
          <t>ممارسة رقم 126: توريد مواد ومهمات تشغيلية لزوم شركة البترول الوطنية الكويتية - شركة البترول الوطنية الكويتية</t>
        </is>
      </c>
      <c r="E70" s="13" t="inlineStr">
        <is>
          <t>أعمال وتوريدات تخصصية لزوم شركة البترول الوطنية الكويتية حسب وثائق الممارسة رقم 126 عبر منصة K-Tendering.</t>
        </is>
      </c>
      <c r="F70" s="13" t="inlineStr">
        <is>
          <t>وفقاً لشروط وإجراءات المناقصات والتوريد لدى شركة البترول الوطنية الكويتية (KNPC) عبر منصة K-Tendering.</t>
        </is>
      </c>
      <c r="G70" s="14" t="inlineStr">
        <is>
          <t>عام</t>
        </is>
      </c>
      <c r="H70" s="14" t="inlineStr">
        <is>
          <t>15.0%</t>
        </is>
      </c>
      <c r="I70" s="14" t="inlineStr">
        <is>
          <t>oil_and_gas</t>
        </is>
      </c>
      <c r="J70" s="14" t="inlineStr">
        <is>
          <t>2026-08-30</t>
        </is>
      </c>
      <c r="K70" s="14" t="inlineStr">
        <is>
          <t>-</t>
        </is>
      </c>
      <c r="L70" s="14" t="inlineStr">
        <is>
          <t>-</t>
        </is>
      </c>
      <c r="M70" s="14" t="inlineStr">
        <is>
          <t>-</t>
        </is>
      </c>
      <c r="N70" s="25" t="inlineStr">
        <is>
          <t>NEW</t>
        </is>
      </c>
      <c r="O70" s="14" t="inlineStr">
        <is>
          <t>غير متوافقة</t>
        </is>
      </c>
      <c r="P70" s="22">
        <f>HYPERLINK("https://kuwaitalyawm.media.gov.kw/Online/ViewAdsHTML?id=168769&amp;no=1", "عرض المصدر")</f>
        <v/>
      </c>
    </row>
    <row r="71">
      <c r="A71" s="11" t="inlineStr">
        <is>
          <t>RFQ 2163800</t>
        </is>
      </c>
      <c r="B71" s="11" t="inlineStr">
        <is>
          <t>شركة البترول الوطنية الكويتية</t>
        </is>
      </c>
      <c r="C71" s="11" t="inlineStr">
        <is>
          <t>Abrar Al-Qallaf</t>
        </is>
      </c>
      <c r="D71" s="11" t="inlineStr">
        <is>
          <t>ممارسة رقم RFQ 2163800: توريد مواد ومهمات تشغيلية لزوم شركة البترول الوطنية الكويتية - شركة البترول الوطنية الكويتية</t>
        </is>
      </c>
      <c r="E71" s="11" t="inlineStr">
        <is>
          <t>أعمال وتوريدات تخصصية لزوم شركة البترول الوطنية الكويتية حسب وثائق الممارسة رقم RFQ 2163800 عبر منصة K-Tendering.</t>
        </is>
      </c>
      <c r="F71" s="11" t="inlineStr">
        <is>
          <t>وفقاً لشروط وإجراءات المناقصات والتوريد لدى شركة البترول الوطنية الكويتية (KNPC) عبر منصة K-Tendering.</t>
        </is>
      </c>
      <c r="G71" s="12" t="inlineStr">
        <is>
          <t>عام</t>
        </is>
      </c>
      <c r="H71" s="12" t="inlineStr">
        <is>
          <t>15.0%</t>
        </is>
      </c>
      <c r="I71" s="12" t="inlineStr">
        <is>
          <t>oil_and_gas</t>
        </is>
      </c>
      <c r="J71" s="12" t="inlineStr">
        <is>
          <t>2026-08-30</t>
        </is>
      </c>
      <c r="K71" s="12" t="inlineStr">
        <is>
          <t>-</t>
        </is>
      </c>
      <c r="L71" s="12" t="inlineStr">
        <is>
          <t>-</t>
        </is>
      </c>
      <c r="M71" s="12" t="inlineStr">
        <is>
          <t>-</t>
        </is>
      </c>
      <c r="N71" s="25" t="inlineStr">
        <is>
          <t>NEW</t>
        </is>
      </c>
      <c r="O71" s="12" t="inlineStr">
        <is>
          <t>غير متوافقة</t>
        </is>
      </c>
      <c r="P71" s="23">
        <f>HYPERLINK("https://kuwaitalyawm.media.gov.kw/Online/ViewAdsHTML?id=168778&amp;no=1", "عرض المصدر")</f>
        <v/>
      </c>
    </row>
    <row r="72">
      <c r="A72" s="13" t="inlineStr">
        <is>
          <t>RFQ 2161955</t>
        </is>
      </c>
      <c r="B72" s="13" t="inlineStr">
        <is>
          <t>شركة البترول الوطنية الكويتية</t>
        </is>
      </c>
      <c r="C72" s="13" t="inlineStr">
        <is>
          <t>Abrar Al-Qallaf</t>
        </is>
      </c>
      <c r="D72" s="13" t="inlineStr">
        <is>
          <t>ممارسة رقم RFQ 2161955: توريد مواد ومهمات تشغيلية لزوم شركة البترول الوطنية الكويتية - شركة البترول الوطنية الكويتية</t>
        </is>
      </c>
      <c r="E72" s="13" t="inlineStr">
        <is>
          <t>أعمال وتوريدات تخصصية لزوم شركة البترول الوطنية الكويتية حسب وثائق الممارسة رقم RFQ 2161955 عبر منصة K-Tendering.</t>
        </is>
      </c>
      <c r="F72" s="13" t="inlineStr">
        <is>
          <t>وفقاً لشروط وإجراءات المناقصات والتوريد لدى شركة البترول الوطنية الكويتية (KNPC) عبر منصة K-Tendering.</t>
        </is>
      </c>
      <c r="G72" s="14" t="inlineStr">
        <is>
          <t>عام</t>
        </is>
      </c>
      <c r="H72" s="14" t="inlineStr">
        <is>
          <t>15.0%</t>
        </is>
      </c>
      <c r="I72" s="14" t="inlineStr">
        <is>
          <t>oil_and_gas</t>
        </is>
      </c>
      <c r="J72" s="14" t="inlineStr">
        <is>
          <t>2026-08-30</t>
        </is>
      </c>
      <c r="K72" s="14" t="inlineStr">
        <is>
          <t>-</t>
        </is>
      </c>
      <c r="L72" s="14" t="inlineStr">
        <is>
          <t>-</t>
        </is>
      </c>
      <c r="M72" s="14" t="inlineStr">
        <is>
          <t>-</t>
        </is>
      </c>
      <c r="N72" s="25" t="inlineStr">
        <is>
          <t>NEW</t>
        </is>
      </c>
      <c r="O72" s="14" t="inlineStr">
        <is>
          <t>غير متوافقة</t>
        </is>
      </c>
      <c r="P72" s="22">
        <f>HYPERLINK("https://kuwaitalyawm.media.gov.kw/Online/ViewAdsHTML?id=168779&amp;no=1", "عرض المصدر")</f>
        <v/>
      </c>
    </row>
    <row r="73">
      <c r="A73" s="11" t="inlineStr">
        <is>
          <t>RFQ 2151259</t>
        </is>
      </c>
      <c r="B73" s="11" t="inlineStr">
        <is>
          <t>شركة البترول الوطنية الكويتية</t>
        </is>
      </c>
      <c r="C73" s="11" t="inlineStr">
        <is>
          <t>Abrar Al-Qallaf</t>
        </is>
      </c>
      <c r="D73" s="11" t="inlineStr">
        <is>
          <t>ممارسة رقم RFQ 2151259: توريد مواد ومهمات تشغيلية لزوم شركة البترول الوطنية الكويتية - شركة البترول الوطنية الكويتية</t>
        </is>
      </c>
      <c r="E73" s="11" t="inlineStr">
        <is>
          <t>أعمال وتوريدات تخصصية لزوم شركة البترول الوطنية الكويتية حسب وثائق الممارسة رقم RFQ 2151259 عبر منصة K-Tendering.</t>
        </is>
      </c>
      <c r="F73" s="11" t="inlineStr">
        <is>
          <t>وفقاً لشروط وإجراءات المناقصات والتوريد لدى شركة البترول الوطنية الكويتية (KNPC) عبر منصة K-Tendering.</t>
        </is>
      </c>
      <c r="G73" s="12" t="inlineStr">
        <is>
          <t>عام</t>
        </is>
      </c>
      <c r="H73" s="12" t="inlineStr">
        <is>
          <t>15.0%</t>
        </is>
      </c>
      <c r="I73" s="12" t="inlineStr">
        <is>
          <t>oil_and_gas</t>
        </is>
      </c>
      <c r="J73" s="12" t="inlineStr">
        <is>
          <t>2026-08-30</t>
        </is>
      </c>
      <c r="K73" s="12" t="inlineStr">
        <is>
          <t>-</t>
        </is>
      </c>
      <c r="L73" s="12" t="inlineStr">
        <is>
          <t>-</t>
        </is>
      </c>
      <c r="M73" s="12" t="inlineStr">
        <is>
          <t>-</t>
        </is>
      </c>
      <c r="N73" s="25" t="inlineStr">
        <is>
          <t>NEW</t>
        </is>
      </c>
      <c r="O73" s="12" t="inlineStr">
        <is>
          <t>غير متوافقة</t>
        </is>
      </c>
      <c r="P73" s="23">
        <f>HYPERLINK("https://kuwaitalyawm.media.gov.kw/Online/ViewAdsHTML?id=168780&amp;no=1", "عرض المصدر")</f>
        <v/>
      </c>
    </row>
    <row r="74">
      <c r="A74" s="13" t="inlineStr">
        <is>
          <t>RFQ 2160432</t>
        </is>
      </c>
      <c r="B74" s="13" t="inlineStr">
        <is>
          <t>شركة البترول الوطنية الكويتية</t>
        </is>
      </c>
      <c r="C74" s="13" t="inlineStr">
        <is>
          <t>Abrar Al-Qallaf</t>
        </is>
      </c>
      <c r="D74" s="13" t="inlineStr">
        <is>
          <t>ممارسة رقم RFQ 2160432: توريد مواد ومهمات تشغيلية لزوم شركة البترول الوطنية الكويتية - شركة البترول الوطنية الكويتية</t>
        </is>
      </c>
      <c r="E74" s="13" t="inlineStr">
        <is>
          <t>أعمال وتوريدات تخصصية لزوم شركة البترول الوطنية الكويتية حسب وثائق الممارسة رقم RFQ 2160432 عبر منصة K-Tendering.</t>
        </is>
      </c>
      <c r="F74" s="13" t="inlineStr">
        <is>
          <t>وفقاً لشروط وإجراءات المناقصات والتوريد لدى شركة البترول الوطنية الكويتية (KNPC) عبر منصة K-Tendering.</t>
        </is>
      </c>
      <c r="G74" s="14" t="inlineStr">
        <is>
          <t>عام</t>
        </is>
      </c>
      <c r="H74" s="14" t="inlineStr">
        <is>
          <t>15.0%</t>
        </is>
      </c>
      <c r="I74" s="14" t="inlineStr">
        <is>
          <t>oil_and_gas</t>
        </is>
      </c>
      <c r="J74" s="14" t="inlineStr">
        <is>
          <t>2026-08-30</t>
        </is>
      </c>
      <c r="K74" s="14" t="inlineStr">
        <is>
          <t>-</t>
        </is>
      </c>
      <c r="L74" s="14" t="inlineStr">
        <is>
          <t>-</t>
        </is>
      </c>
      <c r="M74" s="14" t="inlineStr">
        <is>
          <t>-</t>
        </is>
      </c>
      <c r="N74" s="25" t="inlineStr">
        <is>
          <t>NEW</t>
        </is>
      </c>
      <c r="O74" s="14" t="inlineStr">
        <is>
          <t>غير متوافقة</t>
        </is>
      </c>
      <c r="P74" s="22">
        <f>HYPERLINK("https://kuwaitalyawm.media.gov.kw/Online/ViewAdsHTML?id=168781&amp;no=1", "عرض المصدر")</f>
        <v/>
      </c>
    </row>
    <row r="75">
      <c r="A75" s="11" t="inlineStr">
        <is>
          <t>1000</t>
        </is>
      </c>
      <c r="B75" s="11" t="inlineStr">
        <is>
          <t>شركة البترول الوطنية الكويتية</t>
        </is>
      </c>
      <c r="C75" s="11" t="inlineStr">
        <is>
          <t>Abrar Al-Qallaf</t>
        </is>
      </c>
      <c r="D75" s="11" t="inlineStr">
        <is>
          <t>ممارسة رقم 1000: توريد مواد ومهمات تشغيلية لزوم شركة البترول الوطنية الكويتية - شركة البترول الوطنية الكويتية</t>
        </is>
      </c>
      <c r="E75" s="11" t="inlineStr">
        <is>
          <t>أعمال وتوريدات تخصصية لزوم شركة البترول الوطنية الكويتية حسب وثائق الممارسة رقم 1000 عبر منصة K-Tendering.</t>
        </is>
      </c>
      <c r="F75" s="11" t="inlineStr">
        <is>
          <t>وفقاً لشروط وإجراءات المناقصات والتوريد لدى شركة البترول الوطنية الكويتية (KNPC) عبر منصة K-Tendering.</t>
        </is>
      </c>
      <c r="G75" s="12" t="inlineStr">
        <is>
          <t>عام</t>
        </is>
      </c>
      <c r="H75" s="12" t="inlineStr">
        <is>
          <t>15.0%</t>
        </is>
      </c>
      <c r="I75" s="12" t="inlineStr">
        <is>
          <t>oil_and_gas</t>
        </is>
      </c>
      <c r="J75" s="12" t="inlineStr">
        <is>
          <t>2026-08-23</t>
        </is>
      </c>
      <c r="K75" s="12" t="inlineStr">
        <is>
          <t>-</t>
        </is>
      </c>
      <c r="L75" s="12" t="inlineStr">
        <is>
          <t>-</t>
        </is>
      </c>
      <c r="M75" s="12" t="inlineStr">
        <is>
          <t>-</t>
        </is>
      </c>
      <c r="N75" s="25" t="inlineStr">
        <is>
          <t>NEW</t>
        </is>
      </c>
      <c r="O75" s="12" t="inlineStr">
        <is>
          <t>غير متوافقة</t>
        </is>
      </c>
      <c r="P75" s="23">
        <f>HYPERLINK("https://kuwaitalyawm.media.gov.kw/Online/ViewAdsHTML?id=167908&amp;no=1", "عرض المصدر")</f>
        <v/>
      </c>
    </row>
    <row r="76">
      <c r="A76" s="13" t="inlineStr">
        <is>
          <t>RFQ/2165292</t>
        </is>
      </c>
      <c r="B76" s="13" t="inlineStr">
        <is>
          <t>شركة البترول الوطنية الكويتية</t>
        </is>
      </c>
      <c r="C76" s="13" t="inlineStr">
        <is>
          <t>Abrar Al-Qallaf</t>
        </is>
      </c>
      <c r="D76" s="13" t="inlineStr">
        <is>
          <t>ممارسة رقم RFQ/2165292: توريد مواد ومهمات تشغيلية لزوم شركة البترول الوطنية الكويتية - شركة البترول الوطنية الكويتية</t>
        </is>
      </c>
      <c r="E76" s="13" t="inlineStr">
        <is>
          <t>أعمال وتوريدات تخصصية لزوم شركة البترول الوطنية الكويتية حسب وثائق الممارسة رقم RFQ/2165292 عبر منصة K-Tendering.</t>
        </is>
      </c>
      <c r="F76" s="13" t="inlineStr">
        <is>
          <t>وفقاً لشروط وإجراءات المناقصات والتوريد لدى شركة البترول الوطنية الكويتية (KNPC) عبر منصة K-Tendering.</t>
        </is>
      </c>
      <c r="G76" s="14" t="inlineStr">
        <is>
          <t>عام</t>
        </is>
      </c>
      <c r="H76" s="14" t="inlineStr">
        <is>
          <t>15.0%</t>
        </is>
      </c>
      <c r="I76" s="14" t="inlineStr">
        <is>
          <t>oil_and_gas</t>
        </is>
      </c>
      <c r="J76" s="14" t="inlineStr">
        <is>
          <t>2026-09-27</t>
        </is>
      </c>
      <c r="K76" s="14" t="inlineStr">
        <is>
          <t>-</t>
        </is>
      </c>
      <c r="L76" s="14" t="inlineStr">
        <is>
          <t>-</t>
        </is>
      </c>
      <c r="M76" s="14" t="inlineStr">
        <is>
          <t>-</t>
        </is>
      </c>
      <c r="N76" s="21" t="inlineStr">
        <is>
          <t>UPDATED</t>
        </is>
      </c>
      <c r="O76" s="14" t="inlineStr">
        <is>
          <t>غير متوافقة</t>
        </is>
      </c>
      <c r="P76" s="22">
        <f>HYPERLINK("https://kuwaitalyawm.media.gov.kw/Online/ViewAdsHTML?id=171740&amp;no=1", "عرض المصدر")</f>
        <v/>
      </c>
    </row>
    <row r="77">
      <c r="A77" s="11" t="inlineStr">
        <is>
          <t>RFQ/2162141</t>
        </is>
      </c>
      <c r="B77" s="11" t="inlineStr">
        <is>
          <t>شركة البترول الوطنية الكويتية</t>
        </is>
      </c>
      <c r="C77" s="11" t="inlineStr">
        <is>
          <t>Abrar Al-Qallaf</t>
        </is>
      </c>
      <c r="D77" s="11" t="inlineStr">
        <is>
          <t>ممارسة رقم RFQ/2162141: توريد مواد ومهمات تشغيلية لزوم شركة البترول الوطنية الكويتية - شركة البترول الوطنية الكويتية</t>
        </is>
      </c>
      <c r="E77" s="11" t="inlineStr">
        <is>
          <t>أعمال وتوريدات تخصصية لزوم شركة البترول الوطنية الكويتية حسب وثائق الممارسة رقم RFQ/2162141 عبر منصة K-Tendering.</t>
        </is>
      </c>
      <c r="F77" s="11" t="inlineStr">
        <is>
          <t>وفقاً لشروط وإجراءات المناقصات والتوريد لدى شركة البترول الوطنية الكويتية (KNPC)</t>
        </is>
      </c>
      <c r="G77" s="12" t="inlineStr">
        <is>
          <t>عام</t>
        </is>
      </c>
      <c r="H77" s="12" t="inlineStr">
        <is>
          <t>15.0%</t>
        </is>
      </c>
      <c r="I77" s="12" t="inlineStr">
        <is>
          <t>oil_and_gas</t>
        </is>
      </c>
      <c r="J77" s="12" t="inlineStr">
        <is>
          <t>2026-09-27</t>
        </is>
      </c>
      <c r="K77" s="12" t="inlineStr">
        <is>
          <t>-</t>
        </is>
      </c>
      <c r="L77" s="12" t="inlineStr">
        <is>
          <t>-</t>
        </is>
      </c>
      <c r="M77" s="12" t="inlineStr">
        <is>
          <t>-</t>
        </is>
      </c>
      <c r="N77" s="25" t="inlineStr">
        <is>
          <t>NEW</t>
        </is>
      </c>
      <c r="O77" s="12" t="inlineStr">
        <is>
          <t>غير متوافقة</t>
        </is>
      </c>
      <c r="P77" s="23">
        <f>HYPERLINK("https://kuwaitalyawm.media.gov.kw/flip/index?id=5599&amp;no=232", "عرض المصدر")</f>
        <v/>
      </c>
    </row>
    <row r="78">
      <c r="A78" s="13" t="inlineStr">
        <is>
          <t>RFQ/2162882</t>
        </is>
      </c>
      <c r="B78" s="13" t="inlineStr">
        <is>
          <t>شركة البترول الوطنية الكويتية</t>
        </is>
      </c>
      <c r="C78" s="13" t="inlineStr">
        <is>
          <t>Abrar Al-Qallaf</t>
        </is>
      </c>
      <c r="D78" s="13" t="inlineStr">
        <is>
          <t>ممارسة رقم RFQ/2162882: توريد مواد ومهمات تشغيلية لزوم شركة البترول الوطنية الكويتية - شركة البترول الوطنية الكويتية</t>
        </is>
      </c>
      <c r="E78" s="13" t="inlineStr">
        <is>
          <t>أعمال وتوريدات تخصصية لزوم شركة البترول الوطنية الكويتية حسب وثائق الممارسة رقم RFQ/2162882 عبر منصة K-Tendering.</t>
        </is>
      </c>
      <c r="F78" s="13" t="inlineStr">
        <is>
          <t>وفقاً لشروط وإجراءات المناقصات والتوريد لدى شركة البترول الوطنية الكويتية (KNPC)</t>
        </is>
      </c>
      <c r="G78" s="14" t="inlineStr">
        <is>
          <t>عام</t>
        </is>
      </c>
      <c r="H78" s="14" t="inlineStr">
        <is>
          <t>15.0%</t>
        </is>
      </c>
      <c r="I78" s="14" t="inlineStr">
        <is>
          <t>oil_and_gas</t>
        </is>
      </c>
      <c r="J78" s="14" t="inlineStr">
        <is>
          <t>2026-08-30</t>
        </is>
      </c>
      <c r="K78" s="14" t="inlineStr">
        <is>
          <t>-</t>
        </is>
      </c>
      <c r="L78" s="14" t="inlineStr">
        <is>
          <t>-</t>
        </is>
      </c>
      <c r="M78" s="14" t="inlineStr">
        <is>
          <t>-</t>
        </is>
      </c>
      <c r="N78" s="25" t="inlineStr">
        <is>
          <t>NEW</t>
        </is>
      </c>
      <c r="O78" s="14" t="inlineStr">
        <is>
          <t>غير متوافقة</t>
        </is>
      </c>
      <c r="P78" s="22">
        <f>HYPERLINK("https://kuwaitalyawm.media.gov.kw/flip/index?id=5599&amp;no=232", "عرض المصدر")</f>
        <v/>
      </c>
    </row>
    <row r="79">
      <c r="A79" s="11" t="inlineStr">
        <is>
          <t>RFP/2158821</t>
        </is>
      </c>
      <c r="B79" s="11" t="inlineStr">
        <is>
          <t>شركة البترول الوطنية الكويتية</t>
        </is>
      </c>
      <c r="C79" s="11" t="inlineStr">
        <is>
          <t>Abrar Al-Qallaf</t>
        </is>
      </c>
      <c r="D79" s="11" t="inlineStr">
        <is>
          <t>ممارسة رقم RFP/2158821: توريد مواد ومهمات تشغيلية لزوم شركة البترول الوطنية الكويتية - شركة البترول الوطنية الكويتية</t>
        </is>
      </c>
      <c r="E79" s="11" t="inlineStr">
        <is>
          <t>أعمال وتوريدات تخصصية لزوم شركة البترول الوطنية الكويتية حسب وثائق الممارسة رقم RFP/2158821 عبر منصة K-Tendering.</t>
        </is>
      </c>
      <c r="F79" s="11" t="inlineStr">
        <is>
          <t>وفقاً لشروط وإجراءات المناقصات والتوريد لدى شركة البترول الوطنية الكويتية (KNPC)</t>
        </is>
      </c>
      <c r="G79" s="12" t="inlineStr">
        <is>
          <t>عام</t>
        </is>
      </c>
      <c r="H79" s="12" t="inlineStr">
        <is>
          <t>15.0%</t>
        </is>
      </c>
      <c r="I79" s="12" t="inlineStr">
        <is>
          <t>oil_and_gas</t>
        </is>
      </c>
      <c r="J79" s="12" t="inlineStr">
        <is>
          <t>2026-09-27</t>
        </is>
      </c>
      <c r="K79" s="12" t="inlineStr">
        <is>
          <t>-</t>
        </is>
      </c>
      <c r="L79" s="12" t="inlineStr">
        <is>
          <t>-</t>
        </is>
      </c>
      <c r="M79" s="12" t="inlineStr">
        <is>
          <t>-</t>
        </is>
      </c>
      <c r="N79" s="25" t="inlineStr">
        <is>
          <t>NEW</t>
        </is>
      </c>
      <c r="O79" s="12" t="inlineStr">
        <is>
          <t>غير متوافقة</t>
        </is>
      </c>
      <c r="P79" s="23">
        <f>HYPERLINK("https://kuwaitalyawm.media.gov.kw/flip/index?id=5599&amp;no=234", "عرض المصدر")</f>
        <v/>
      </c>
    </row>
    <row r="80">
      <c r="A80" s="13" t="inlineStr">
        <is>
          <t>RFP/2163368</t>
        </is>
      </c>
      <c r="B80" s="13" t="inlineStr">
        <is>
          <t>شركة البترول الوطنية الكويتية</t>
        </is>
      </c>
      <c r="C80" s="13" t="inlineStr">
        <is>
          <t>Abrar Al-Qallaf</t>
        </is>
      </c>
      <c r="D80" s="13" t="inlineStr">
        <is>
          <t>ممارسة رقم RFP/2163368: توريد مواد ومهمات تشغيلية لزوم شركة البترول الوطنية الكويتية - شركة البترول الوطنية الكويتية</t>
        </is>
      </c>
      <c r="E80" s="13" t="inlineStr">
        <is>
          <t>أعمال وتوريدات تخصصية لزوم شركة البترول الوطنية الكويتية حسب وثائق الممارسة رقم RFP/2163368 عبر منصة K-Tendering.</t>
        </is>
      </c>
      <c r="F80" s="13" t="inlineStr">
        <is>
          <t>وفقاً لشروط وإجراءات المناقصات والتوريد لدى شركة البترول الوطنية الكويتية (KNPC)</t>
        </is>
      </c>
      <c r="G80" s="14" t="inlineStr">
        <is>
          <t>عام</t>
        </is>
      </c>
      <c r="H80" s="14" t="inlineStr">
        <is>
          <t>15.0%</t>
        </is>
      </c>
      <c r="I80" s="14" t="inlineStr">
        <is>
          <t>oil_and_gas</t>
        </is>
      </c>
      <c r="J80" s="14" t="inlineStr">
        <is>
          <t>2026-09-27</t>
        </is>
      </c>
      <c r="K80" s="14" t="inlineStr">
        <is>
          <t>-</t>
        </is>
      </c>
      <c r="L80" s="14" t="inlineStr">
        <is>
          <t>30000.0</t>
        </is>
      </c>
      <c r="M80" s="14" t="inlineStr">
        <is>
          <t>-</t>
        </is>
      </c>
      <c r="N80" s="26" t="inlineStr">
        <is>
          <t>UNCHANGED</t>
        </is>
      </c>
      <c r="O80" s="14" t="inlineStr">
        <is>
          <t>غير متوافقة</t>
        </is>
      </c>
      <c r="P80" s="22">
        <f>HYPERLINK("https://kuwaitalyawm.media.gov.kw/flip/index?id=5589&amp;no=190", "عرض المصدر")</f>
        <v/>
      </c>
    </row>
    <row r="81">
      <c r="A81" s="11" t="inlineStr">
        <is>
          <t>RFP/2163398</t>
        </is>
      </c>
      <c r="B81" s="11" t="inlineStr">
        <is>
          <t>شركة البترول الوطنية الكويتية</t>
        </is>
      </c>
      <c r="C81" s="11" t="inlineStr">
        <is>
          <t>Abrar Al-Qallaf</t>
        </is>
      </c>
      <c r="D81" s="11" t="inlineStr">
        <is>
          <t>ممارسة رقم RFP/2163398: توريد مواد ومهمات تشغيلية لزوم شركة البترول الوطنية الكويتية - شركة البترول الوطنية الكويتية</t>
        </is>
      </c>
      <c r="E81" s="11" t="inlineStr">
        <is>
          <t>أعمال وتوريدات تخصصية لزوم شركة البترول الوطنية الكويتية حسب وثائق الممارسة رقم RFP/2163398 عبر منصة K-Tendering.</t>
        </is>
      </c>
      <c r="F81" s="11" t="inlineStr">
        <is>
          <t>وفقاً لشروط وإجراءات المناقصات والتوريد لدى شركة البترول الوطنية الكويتية (KNPC)</t>
        </is>
      </c>
      <c r="G81" s="12" t="inlineStr">
        <is>
          <t>عام</t>
        </is>
      </c>
      <c r="H81" s="12" t="inlineStr">
        <is>
          <t>15.0%</t>
        </is>
      </c>
      <c r="I81" s="12" t="inlineStr">
        <is>
          <t>oil_and_gas</t>
        </is>
      </c>
      <c r="J81" s="12" t="inlineStr">
        <is>
          <t>2026-09-27</t>
        </is>
      </c>
      <c r="K81" s="12" t="inlineStr">
        <is>
          <t>-</t>
        </is>
      </c>
      <c r="L81" s="12" t="inlineStr">
        <is>
          <t>50000.0</t>
        </is>
      </c>
      <c r="M81" s="12" t="inlineStr">
        <is>
          <t>-</t>
        </is>
      </c>
      <c r="N81" s="26" t="inlineStr">
        <is>
          <t>UNCHANGED</t>
        </is>
      </c>
      <c r="O81" s="12" t="inlineStr">
        <is>
          <t>غير متوافقة</t>
        </is>
      </c>
      <c r="P81" s="23">
        <f>HYPERLINK("https://kuwaitalyawm.media.gov.kw/flip/index?id=5599&amp;no=236", "عرض المصدر")</f>
        <v/>
      </c>
    </row>
    <row r="82">
      <c r="A82" s="13" t="inlineStr">
        <is>
          <t>RFP/2165997</t>
        </is>
      </c>
      <c r="B82" s="13" t="inlineStr">
        <is>
          <t>شركة البترول الوطنية الكويتية</t>
        </is>
      </c>
      <c r="C82" s="13" t="inlineStr">
        <is>
          <t>Abrar Al-Qallaf</t>
        </is>
      </c>
      <c r="D82" s="13" t="inlineStr">
        <is>
          <t>ممارسة رقم RFP/2165997: توريد مواد ومهمات تشغيلية لزوم شركة البترول الوطنية الكويتية - شركة البترول الوطنية الكويتية</t>
        </is>
      </c>
      <c r="E82" s="13" t="inlineStr">
        <is>
          <t>أعمال وتوريدات تخصصية لزوم شركة البترول الوطنية الكويتية حسب وثائق الممارسة رقم RFP/2165997 عبر منصة K-Tendering.</t>
        </is>
      </c>
      <c r="F82" s="13" t="inlineStr">
        <is>
          <t>وفقاً لشروط وإجراءات المناقصات والتوريد لدى شركة البترول الوطنية الكويتية (KNPC)</t>
        </is>
      </c>
      <c r="G82" s="14" t="inlineStr">
        <is>
          <t>عام</t>
        </is>
      </c>
      <c r="H82" s="14" t="inlineStr">
        <is>
          <t>15.0%</t>
        </is>
      </c>
      <c r="I82" s="14" t="inlineStr">
        <is>
          <t>oil_and_gas</t>
        </is>
      </c>
      <c r="J82" s="14" t="inlineStr">
        <is>
          <t>2026-09-27</t>
        </is>
      </c>
      <c r="K82" s="14" t="inlineStr">
        <is>
          <t>-</t>
        </is>
      </c>
      <c r="L82" s="14" t="inlineStr">
        <is>
          <t>-</t>
        </is>
      </c>
      <c r="M82" s="14" t="inlineStr">
        <is>
          <t>250.0</t>
        </is>
      </c>
      <c r="N82" s="26" t="inlineStr">
        <is>
          <t>UNCHANGED</t>
        </is>
      </c>
      <c r="O82" s="14" t="inlineStr">
        <is>
          <t>غير متوافقة</t>
        </is>
      </c>
      <c r="P82" s="22">
        <f>HYPERLINK("https://kuwaitalyawm.media.gov.kw/flip/index?id=5599&amp;no=238", "عرض المصدر")</f>
        <v/>
      </c>
    </row>
    <row r="83">
      <c r="A83" s="11" t="inlineStr">
        <is>
          <t>RFQ/2161574</t>
        </is>
      </c>
      <c r="B83" s="11" t="inlineStr">
        <is>
          <t>شركة البترول الوطنية الكويتية</t>
        </is>
      </c>
      <c r="C83" s="11" t="inlineStr">
        <is>
          <t>Abrar Al-Qallaf</t>
        </is>
      </c>
      <c r="D83" s="11" t="inlineStr">
        <is>
          <t>ممارسة رقم RFQ/2161574: توريد مواد ومهمات تشغيلية لزوم شركة البترول الوطنية الكويتية - شركة البترول الوطنية الكويتية</t>
        </is>
      </c>
      <c r="E83" s="11" t="inlineStr">
        <is>
          <t>أعمال وتوريدات تخصصية لزوم شركة البترول الوطنية الكويتية حسب وثائق الممارسة رقم RFQ/2161574 عبر منصة K-Tendering.</t>
        </is>
      </c>
      <c r="F83" s="11" t="inlineStr">
        <is>
          <t>وفقاً لشروط وإجراءات المناقصات والتوريد لدى شركة البترول الوطنية الكويتية (KNPC) عبر منصة K-Tendering.</t>
        </is>
      </c>
      <c r="G83" s="12" t="inlineStr">
        <is>
          <t>عام</t>
        </is>
      </c>
      <c r="H83" s="12" t="inlineStr">
        <is>
          <t>15.0%</t>
        </is>
      </c>
      <c r="I83" s="12" t="inlineStr">
        <is>
          <t>oil_and_gas</t>
        </is>
      </c>
      <c r="J83" s="12" t="inlineStr">
        <is>
          <t>2026-09-13</t>
        </is>
      </c>
      <c r="K83" s="12" t="inlineStr">
        <is>
          <t>2026-09-14</t>
        </is>
      </c>
      <c r="L83" s="12" t="inlineStr">
        <is>
          <t>-</t>
        </is>
      </c>
      <c r="M83" s="12" t="inlineStr">
        <is>
          <t>-</t>
        </is>
      </c>
      <c r="N83" s="25" t="inlineStr">
        <is>
          <t>NEW</t>
        </is>
      </c>
      <c r="O83" s="12" t="inlineStr">
        <is>
          <t>غير متوافقة</t>
        </is>
      </c>
      <c r="P83" s="23">
        <f>HYPERLINK("https://kuwaitalyawm.media.gov.kw/Online/ViewAdsHTML?id=170529&amp;no=1", "عرض المصدر")</f>
        <v/>
      </c>
    </row>
    <row r="84">
      <c r="A84" s="13" t="inlineStr">
        <is>
          <t>RFQ/2167273</t>
        </is>
      </c>
      <c r="B84" s="13" t="inlineStr">
        <is>
          <t>شركة البترول الوطنية الكويتية</t>
        </is>
      </c>
      <c r="C84" s="13" t="inlineStr">
        <is>
          <t>Abrar Al-Qallaf</t>
        </is>
      </c>
      <c r="D84" s="13" t="inlineStr">
        <is>
          <t>ممارسة رقم RFQ/2167273: توريد مواد ومهمات تشغيلية لزوم شركة البترول الوطنية الكويتية - شركة البترول الوطنية الكويتية</t>
        </is>
      </c>
      <c r="E84" s="13" t="inlineStr">
        <is>
          <t>أعمال وتوريدات تخصصية لزوم شركة البترول الوطنية الكويتية حسب وثائق الممارسة رقم RFQ/2167273 عبر منصة K-Tendering.</t>
        </is>
      </c>
      <c r="F84" s="13" t="inlineStr">
        <is>
          <t>وفقاً لشروط وإجراءات المناقصات والتوريد لدى شركة البترول الوطنية الكويتية (KNPC) عبر منصة K-Tendering.</t>
        </is>
      </c>
      <c r="G84" s="14" t="inlineStr">
        <is>
          <t>عام</t>
        </is>
      </c>
      <c r="H84" s="14" t="inlineStr">
        <is>
          <t>15.0%</t>
        </is>
      </c>
      <c r="I84" s="14" t="inlineStr">
        <is>
          <t>oil_and_gas</t>
        </is>
      </c>
      <c r="J84" s="14" t="inlineStr">
        <is>
          <t>2026-09-27</t>
        </is>
      </c>
      <c r="K84" s="14" t="inlineStr">
        <is>
          <t>2026-09-27</t>
        </is>
      </c>
      <c r="L84" s="14" t="inlineStr">
        <is>
          <t>5000.0</t>
        </is>
      </c>
      <c r="M84" s="14" t="inlineStr">
        <is>
          <t>-</t>
        </is>
      </c>
      <c r="N84" s="25" t="inlineStr">
        <is>
          <t>NEW</t>
        </is>
      </c>
      <c r="O84" s="14" t="inlineStr">
        <is>
          <t>غير متوافقة</t>
        </is>
      </c>
      <c r="P84" s="22">
        <f>HYPERLINK("https://kuwaitalyawm.media.gov.kw/Online/ViewAdsHTML?id=171743&amp;no=1", "عرض المصدر")</f>
        <v/>
      </c>
    </row>
    <row r="85">
      <c r="A85" s="11" t="inlineStr">
        <is>
          <t>RFQ/2164961</t>
        </is>
      </c>
      <c r="B85" s="11" t="inlineStr">
        <is>
          <t>شركة البترول الوطنية الكويتية</t>
        </is>
      </c>
      <c r="C85" s="11" t="inlineStr">
        <is>
          <t>Abrar Al-Qallaf</t>
        </is>
      </c>
      <c r="D85" s="11" t="inlineStr">
        <is>
          <t>ممارسة رقم RFQ/2164961: توريد مواد ومهمات تشغيلية لزوم شركة البترول الوطنية الكويتية - شركة البترول الوطنية الكويتية</t>
        </is>
      </c>
      <c r="E85" s="11" t="inlineStr">
        <is>
          <t>أعمال وتوريدات تخصصية لزوم شركة البترول الوطنية الكويتية حسب وثائق الممارسة رقم RFQ/2164961 عبر منصة K-Tendering.</t>
        </is>
      </c>
      <c r="F85" s="11" t="inlineStr">
        <is>
          <t>وفقاً لشروط وإجراءات المناقصات والتوريد لدى شركة البترول الوطنية الكويتية (KNPC)</t>
        </is>
      </c>
      <c r="G85" s="12" t="inlineStr">
        <is>
          <t>عام</t>
        </is>
      </c>
      <c r="H85" s="12" t="inlineStr">
        <is>
          <t>15.0%</t>
        </is>
      </c>
      <c r="I85" s="12" t="inlineStr">
        <is>
          <t>oil_and_gas</t>
        </is>
      </c>
      <c r="J85" s="12" t="inlineStr">
        <is>
          <t>2026-09-27</t>
        </is>
      </c>
      <c r="K85" s="12" t="inlineStr">
        <is>
          <t>2026-09-27</t>
        </is>
      </c>
      <c r="L85" s="12" t="inlineStr">
        <is>
          <t>15000.0</t>
        </is>
      </c>
      <c r="M85" s="12" t="inlineStr">
        <is>
          <t>-</t>
        </is>
      </c>
      <c r="N85" s="25" t="inlineStr">
        <is>
          <t>NEW</t>
        </is>
      </c>
      <c r="O85" s="12" t="inlineStr">
        <is>
          <t>غير متوافقة</t>
        </is>
      </c>
      <c r="P85" s="23">
        <f>HYPERLINK("https://kuwaitalyawm.media.gov.kw/flip/index?id=5599&amp;no=232", "عرض المصدر")</f>
        <v/>
      </c>
    </row>
    <row r="86">
      <c r="A86" s="13" t="inlineStr">
        <is>
          <t>RFQ/2167837</t>
        </is>
      </c>
      <c r="B86" s="13" t="inlineStr">
        <is>
          <t>شركة البترول الوطنية الكويتية</t>
        </is>
      </c>
      <c r="C86" s="13" t="inlineStr">
        <is>
          <t>Abrar Al-Qallaf</t>
        </is>
      </c>
      <c r="D86" s="13" t="inlineStr">
        <is>
          <t>ممارسة رقم RFQ/2167837: توريد مواد ومهمات تشغيلية لزوم شركة البترول الوطنية الكويتية - شركة البترول الوطنية الكويتية</t>
        </is>
      </c>
      <c r="E86" s="13" t="inlineStr">
        <is>
          <t>أعمال وتوريدات تخصصية لزوم شركة البترول الوطنية الكويتية حسب وثائق الممارسة رقم RFQ/2167837 عبر منصة K-Tendering.</t>
        </is>
      </c>
      <c r="F86" s="13" t="inlineStr">
        <is>
          <t>وفقاً لشروط وإجراءات المناقصات والتوريد لدى شركة البترول الوطنية الكويتية (KNPC)</t>
        </is>
      </c>
      <c r="G86" s="14" t="inlineStr">
        <is>
          <t>عام</t>
        </is>
      </c>
      <c r="H86" s="14" t="inlineStr">
        <is>
          <t>15.0%</t>
        </is>
      </c>
      <c r="I86" s="14" t="inlineStr">
        <is>
          <t>oil_and_gas</t>
        </is>
      </c>
      <c r="J86" s="14" t="inlineStr">
        <is>
          <t>2026-09-27</t>
        </is>
      </c>
      <c r="K86" s="14" t="inlineStr">
        <is>
          <t>2026-09-27</t>
        </is>
      </c>
      <c r="L86" s="14" t="inlineStr">
        <is>
          <t>15000.0</t>
        </is>
      </c>
      <c r="M86" s="14" t="inlineStr">
        <is>
          <t>-</t>
        </is>
      </c>
      <c r="N86" s="25" t="inlineStr">
        <is>
          <t>NEW</t>
        </is>
      </c>
      <c r="O86" s="14" t="inlineStr">
        <is>
          <t>غير متوافقة</t>
        </is>
      </c>
      <c r="P86" s="22">
        <f>HYPERLINK("https://kuwaitalyawm.media.gov.kw/flip/index?id=5599&amp;no=233", "عرض المصدر")</f>
        <v/>
      </c>
    </row>
    <row r="87">
      <c r="A87" s="11" t="inlineStr">
        <is>
          <t>CC CMS 6104</t>
        </is>
      </c>
      <c r="B87" s="11" t="inlineStr">
        <is>
          <t>شركة البترول الوطنية الكويتية</t>
        </is>
      </c>
      <c r="C87" s="11" t="inlineStr">
        <is>
          <t>Abrar Al-Qallaf</t>
        </is>
      </c>
      <c r="D87" s="11" t="inlineStr">
        <is>
          <t>ممارسة رقم CC CMS 6104: توريد مواد ومهمات تشغيلية لزوم شركة البترول الوطنية الكويتية - شركة البترول الوطنية الكويتية</t>
        </is>
      </c>
      <c r="E87" s="11" t="inlineStr">
        <is>
          <t>أعمال وتوريدات تخصصية لزوم شركة البترول الوطنية الكويتية حسب وثائق الممارسة رقم CC CMS 6104 عبر منصة K-Tendering.</t>
        </is>
      </c>
      <c r="F87" s="11" t="inlineStr">
        <is>
          <t>وفقاً لشروط وإجراءات المناقصات والتوريد لدى شركة البترول الوطنية الكويتية (KNPC) عبر منصة K-Tendering.</t>
        </is>
      </c>
      <c r="G87" s="12" t="inlineStr">
        <is>
          <t>عام</t>
        </is>
      </c>
      <c r="H87" s="12" t="inlineStr">
        <is>
          <t>15.0%</t>
        </is>
      </c>
      <c r="I87" s="12" t="inlineStr">
        <is>
          <t>oil_and_gas</t>
        </is>
      </c>
      <c r="J87" s="12" t="inlineStr">
        <is>
          <t>2026-08-30</t>
        </is>
      </c>
      <c r="K87" s="12" t="inlineStr">
        <is>
          <t>2026-10-01</t>
        </is>
      </c>
      <c r="L87" s="12" t="inlineStr">
        <is>
          <t>50000.0</t>
        </is>
      </c>
      <c r="M87" s="12" t="inlineStr">
        <is>
          <t>500.0</t>
        </is>
      </c>
      <c r="N87" s="25" t="inlineStr">
        <is>
          <t>NEW</t>
        </is>
      </c>
      <c r="O87" s="12" t="inlineStr">
        <is>
          <t>غير متوافقة</t>
        </is>
      </c>
      <c r="P87" s="23">
        <f>HYPERLINK("https://kuwaitalyawm.media.gov.kw/Online/ViewAdsHTML?id=168768&amp;no=1", "عرض المصدر")</f>
        <v/>
      </c>
    </row>
    <row r="88">
      <c r="A88" s="13" t="inlineStr">
        <is>
          <t>RFQ/2163705</t>
        </is>
      </c>
      <c r="B88" s="13" t="inlineStr">
        <is>
          <t>شركة البترول الوطنية الكويتية</t>
        </is>
      </c>
      <c r="C88" s="13" t="inlineStr">
        <is>
          <t>Abrar Al-Qallaf</t>
        </is>
      </c>
      <c r="D88" s="13" t="inlineStr">
        <is>
          <t>ممارسة رقم RFQ/2163705: توريد مواد ومهمات تشغيلية لزوم شركة البترول الوطنية الكويتية - شركة البترول الوطنية الكويتية</t>
        </is>
      </c>
      <c r="E88" s="13" t="inlineStr">
        <is>
          <t>أعمال وتوريدات تخصصية لزوم شركة البترول الوطنية الكويتية حسب وثائق الممارسة رقم RFQ/2163705 عبر منصة K-Tendering.</t>
        </is>
      </c>
      <c r="F88" s="13" t="inlineStr">
        <is>
          <t>وفقاً لشروط وإجراءات المناقصات والتوريد لدى شركة البترول الوطنية الكويتية (KNPC) عبر منصة K-Tendering.</t>
        </is>
      </c>
      <c r="G88" s="14" t="inlineStr">
        <is>
          <t>عام</t>
        </is>
      </c>
      <c r="H88" s="14" t="inlineStr">
        <is>
          <t>15.0%</t>
        </is>
      </c>
      <c r="I88" s="14" t="inlineStr">
        <is>
          <t>oil_and_gas</t>
        </is>
      </c>
      <c r="J88" s="14" t="inlineStr">
        <is>
          <t>2026-08-30</t>
        </is>
      </c>
      <c r="K88" s="14" t="inlineStr">
        <is>
          <t>2026-10-05</t>
        </is>
      </c>
      <c r="L88" s="14" t="inlineStr">
        <is>
          <t>-</t>
        </is>
      </c>
      <c r="M88" s="14" t="inlineStr">
        <is>
          <t>-</t>
        </is>
      </c>
      <c r="N88" s="25" t="inlineStr">
        <is>
          <t>NEW</t>
        </is>
      </c>
      <c r="O88" s="14" t="inlineStr">
        <is>
          <t>غير متوافقة</t>
        </is>
      </c>
      <c r="P88" s="22">
        <f>HYPERLINK("https://kuwaitalyawm.media.gov.kw/Online/ViewAdsHTML?id=171745&amp;no=1", "عرض المصدر")</f>
        <v/>
      </c>
    </row>
    <row r="89">
      <c r="A89" s="11" t="inlineStr">
        <is>
          <t>RFQ/2160171</t>
        </is>
      </c>
      <c r="B89" s="11" t="inlineStr">
        <is>
          <t>شركة البترول الوطنية الكويتية</t>
        </is>
      </c>
      <c r="C89" s="11" t="inlineStr">
        <is>
          <t>Abrar Al-Qallaf</t>
        </is>
      </c>
      <c r="D89" s="11" t="inlineStr">
        <is>
          <t>ممارسة رقم RFQ/2160171: توريد مواد ومهمات تشغيلية لزوم شركة البترول الوطنية الكويتية - شركة البترول الوطنية الكويتية</t>
        </is>
      </c>
      <c r="E89" s="11" t="inlineStr">
        <is>
          <t>أعمال وتوريدات تخصصية لزوم شركة البترول الوطنية الكويتية حسب وثائق الممارسة رقم RFQ/2160171 عبر منصة K-Tendering.</t>
        </is>
      </c>
      <c r="F89" s="11" t="inlineStr">
        <is>
          <t>وفقاً لشروط وإجراءات المناقصات والتوريد لدى شركة البترول الوطنية الكويتية (KNPC) عبر منصة K-Tendering.</t>
        </is>
      </c>
      <c r="G89" s="12" t="inlineStr">
        <is>
          <t>عام</t>
        </is>
      </c>
      <c r="H89" s="12" t="inlineStr">
        <is>
          <t>15.0%</t>
        </is>
      </c>
      <c r="I89" s="12" t="inlineStr">
        <is>
          <t>oil_and_gas</t>
        </is>
      </c>
      <c r="J89" s="12" t="inlineStr">
        <is>
          <t>2026-08-30</t>
        </is>
      </c>
      <c r="K89" s="12" t="inlineStr">
        <is>
          <t>2026-10-05</t>
        </is>
      </c>
      <c r="L89" s="12" t="inlineStr">
        <is>
          <t>-</t>
        </is>
      </c>
      <c r="M89" s="12" t="inlineStr">
        <is>
          <t>-</t>
        </is>
      </c>
      <c r="N89" s="25" t="inlineStr">
        <is>
          <t>NEW</t>
        </is>
      </c>
      <c r="O89" s="12" t="inlineStr">
        <is>
          <t>غير متوافقة</t>
        </is>
      </c>
      <c r="P89" s="23">
        <f>HYPERLINK("https://kuwaitalyawm.media.gov.kw/Online/ViewAdsHTML?id=170527&amp;no=1", "عرض المصدر")</f>
        <v/>
      </c>
    </row>
    <row r="90">
      <c r="A90" s="13" t="inlineStr">
        <is>
          <t>RFP/2161845</t>
        </is>
      </c>
      <c r="B90" s="13" t="inlineStr">
        <is>
          <t>شركة البترول الوطنية الكويتية</t>
        </is>
      </c>
      <c r="C90" s="13" t="inlineStr">
        <is>
          <t>Abrar Al-Qallaf</t>
        </is>
      </c>
      <c r="D90" s="13" t="inlineStr">
        <is>
          <t>ممارسة رقم RFP/2161845: توريد مواد ومهمات تشغيلية لزوم شركة البترول الوطنية الكويتية - شركة البترول الوطنية الكويتية</t>
        </is>
      </c>
      <c r="E90" s="13" t="inlineStr">
        <is>
          <t>أعمال وتوريدات تخصصية لزوم شركة البترول الوطنية الكويتية حسب وثائق الممارسة رقم RFP/2161845 عبر منصة K-Tendering.</t>
        </is>
      </c>
      <c r="F90" s="13" t="inlineStr">
        <is>
          <t>وفقاً لشروط وإجراءات المناقصات والتوريد لدى شركة البترول الوطنية الكويتية (KNPC) عبر منصة K-Tendering.</t>
        </is>
      </c>
      <c r="G90" s="14" t="inlineStr">
        <is>
          <t>عام</t>
        </is>
      </c>
      <c r="H90" s="14" t="inlineStr">
        <is>
          <t>15.0%</t>
        </is>
      </c>
      <c r="I90" s="14" t="inlineStr">
        <is>
          <t>oil_and_gas</t>
        </is>
      </c>
      <c r="J90" s="14" t="inlineStr">
        <is>
          <t>2026-09-13</t>
        </is>
      </c>
      <c r="K90" s="14" t="inlineStr">
        <is>
          <t>2026-10-12</t>
        </is>
      </c>
      <c r="L90" s="14" t="inlineStr">
        <is>
          <t>30000.0</t>
        </is>
      </c>
      <c r="M90" s="14" t="inlineStr">
        <is>
          <t>-</t>
        </is>
      </c>
      <c r="N90" s="25" t="inlineStr">
        <is>
          <t>NEW</t>
        </is>
      </c>
      <c r="O90" s="14" t="inlineStr">
        <is>
          <t>غير متوافقة</t>
        </is>
      </c>
      <c r="P90" s="22">
        <f>HYPERLINK("https://kuwaitalyawm.media.gov.kw/Online/ViewAdsHTML?id=170535&amp;no=1", "عرض المصدر")</f>
        <v/>
      </c>
    </row>
    <row r="91">
      <c r="A91" s="11" t="inlineStr">
        <is>
          <t>RFP 2156844</t>
        </is>
      </c>
      <c r="B91" s="11" t="inlineStr">
        <is>
          <t>شركة البترول الوطنية الكويتية</t>
        </is>
      </c>
      <c r="C91" s="11" t="inlineStr">
        <is>
          <t>Abrar Al-Qallaf</t>
        </is>
      </c>
      <c r="D91" s="11" t="inlineStr">
        <is>
          <t>ممارسة رقم RFP 2156844: توريد مواد ومهمات تشغيلية لزوم شركة البترول الوطنية الكويتية - شركة البترول الوطنية الكويتية</t>
        </is>
      </c>
      <c r="E91" s="11" t="inlineStr">
        <is>
          <t>أعمال وتوريدات تخصصية لزوم شركة البترول الوطنية الكويتية حسب وثائق الممارسة رقم RFP 2156844 عبر منصة K-Tendering.</t>
        </is>
      </c>
      <c r="F91" s="11" t="inlineStr">
        <is>
          <t>وفقاً لشروط وإجراءات المناقصات والتوريد لدى شركة البترول الوطنية الكويتية (KNPC) عبر منصة K-Tendering.</t>
        </is>
      </c>
      <c r="G91" s="12" t="inlineStr">
        <is>
          <t>عام</t>
        </is>
      </c>
      <c r="H91" s="12" t="inlineStr">
        <is>
          <t>15.0%</t>
        </is>
      </c>
      <c r="I91" s="12" t="inlineStr">
        <is>
          <t>oil_and_gas</t>
        </is>
      </c>
      <c r="J91" s="12" t="inlineStr">
        <is>
          <t>2026-09-06</t>
        </is>
      </c>
      <c r="K91" s="12" t="inlineStr">
        <is>
          <t>2026-10-12</t>
        </is>
      </c>
      <c r="L91" s="12" t="inlineStr">
        <is>
          <t>30000.0</t>
        </is>
      </c>
      <c r="M91" s="12" t="inlineStr">
        <is>
          <t>-</t>
        </is>
      </c>
      <c r="N91" s="25" t="inlineStr">
        <is>
          <t>NEW</t>
        </is>
      </c>
      <c r="O91" s="12" t="inlineStr">
        <is>
          <t>غير متوافقة</t>
        </is>
      </c>
      <c r="P91" s="23">
        <f>HYPERLINK("https://kuwaitalyawm.media.gov.kw/Online/ViewAdsHTML?id=169429&amp;no=1", "عرض المصدر")</f>
        <v/>
      </c>
    </row>
    <row r="92">
      <c r="A92" s="13" t="inlineStr">
        <is>
          <t>RFP/2162144</t>
        </is>
      </c>
      <c r="B92" s="13" t="inlineStr">
        <is>
          <t>شركة البترول الوطنية الكويتية</t>
        </is>
      </c>
      <c r="C92" s="13" t="inlineStr">
        <is>
          <t>Abrar Al-Qallaf</t>
        </is>
      </c>
      <c r="D92" s="13" t="inlineStr">
        <is>
          <t>ممارسة رقم RFP/2162144: توريد مواد ومهمات تشغيلية لزوم شركة البترول الوطنية الكويتية - شركة البترول الوطنية الكويتية</t>
        </is>
      </c>
      <c r="E92" s="13" t="inlineStr">
        <is>
          <t>أعمال وتوريدات تخصصية لزوم شركة البترول الوطنية الكويتية حسب وثائق الممارسة رقم RFP/2162144 عبر منصة K-Tendering.</t>
        </is>
      </c>
      <c r="F92" s="13" t="inlineStr">
        <is>
          <t>وفقاً لشروط وإجراءات المناقصات والتوريد لدى شركة البترول الوطنية الكويتية (KNPC)</t>
        </is>
      </c>
      <c r="G92" s="14" t="inlineStr">
        <is>
          <t>عام</t>
        </is>
      </c>
      <c r="H92" s="14" t="inlineStr">
        <is>
          <t>15.0%</t>
        </is>
      </c>
      <c r="I92" s="14" t="inlineStr">
        <is>
          <t>oil_and_gas</t>
        </is>
      </c>
      <c r="J92" s="14" t="inlineStr">
        <is>
          <t>2026-09-27</t>
        </is>
      </c>
      <c r="K92" s="14" t="inlineStr">
        <is>
          <t>2026-10-12</t>
        </is>
      </c>
      <c r="L92" s="14" t="inlineStr">
        <is>
          <t>-</t>
        </is>
      </c>
      <c r="M92" s="14" t="inlineStr">
        <is>
          <t>-</t>
        </is>
      </c>
      <c r="N92" s="26" t="inlineStr">
        <is>
          <t>UNCHANGED</t>
        </is>
      </c>
      <c r="O92" s="14" t="inlineStr">
        <is>
          <t>غير متوافقة</t>
        </is>
      </c>
      <c r="P92" s="22">
        <f>HYPERLINK("https://kuwaitalyawm.media.gov.kw/flip/index?id=5599&amp;no=234", "عرض المصدر")</f>
        <v/>
      </c>
    </row>
    <row r="93">
      <c r="A93" s="11" t="inlineStr">
        <is>
          <t>RFQ/1063250</t>
        </is>
      </c>
      <c r="B93" s="11" t="inlineStr">
        <is>
          <t>شركة البترول الوطنية الكويتية</t>
        </is>
      </c>
      <c r="C93" s="11" t="inlineStr">
        <is>
          <t>Abrar Al-Qallaf</t>
        </is>
      </c>
      <c r="D93" s="11" t="inlineStr">
        <is>
          <t>ممارسة رقم RFQ/1063250: توريد مواد ومهمات تشغيلية لزوم شركة البترول الوطنية الكويتية - شركة البترول الوطنية الكويتية</t>
        </is>
      </c>
      <c r="E93" s="11" t="inlineStr">
        <is>
          <t>أعمال وتوريدات تخصصية لزوم شركة البترول الوطنية الكويتية حسب وثائق الممارسة رقم RFQ/1063250 عبر منصة K-Tendering.</t>
        </is>
      </c>
      <c r="F93" s="11" t="inlineStr">
        <is>
          <t>وفقاً لشروط وإجراءات المناقصات والتوريد لدى شركة البترول الوطنية الكويتية (KNPC) عبر منصة K-Tendering.</t>
        </is>
      </c>
      <c r="G93" s="12" t="inlineStr">
        <is>
          <t>عام</t>
        </is>
      </c>
      <c r="H93" s="12" t="inlineStr">
        <is>
          <t>15.0%</t>
        </is>
      </c>
      <c r="I93" s="12" t="inlineStr">
        <is>
          <t>oil_and_gas</t>
        </is>
      </c>
      <c r="J93" s="12" t="inlineStr">
        <is>
          <t>2026-09-27</t>
        </is>
      </c>
      <c r="K93" s="18" t="inlineStr">
        <is>
          <t>2026-10-15</t>
        </is>
      </c>
      <c r="L93" s="12" t="inlineStr">
        <is>
          <t>1000.0 KWD</t>
        </is>
      </c>
      <c r="M93" s="12" t="inlineStr">
        <is>
          <t>-</t>
        </is>
      </c>
      <c r="N93" s="21" t="inlineStr">
        <is>
          <t>UPDATED</t>
        </is>
      </c>
      <c r="O93" s="12" t="inlineStr">
        <is>
          <t>غير متوافقة</t>
        </is>
      </c>
      <c r="P93" s="23">
        <f>HYPERLINK("https://kuwaitalyawm.media.gov.kw/Online/ViewAdsHTML?id=171729&amp;no=1", "عرض المصدر")</f>
        <v/>
      </c>
    </row>
    <row r="94">
      <c r="A94" s="13" t="inlineStr">
        <is>
          <t>RFQ/1063968</t>
        </is>
      </c>
      <c r="B94" s="13" t="inlineStr">
        <is>
          <t>شركة البترول الوطنية الكويتية</t>
        </is>
      </c>
      <c r="C94" s="13" t="inlineStr">
        <is>
          <t>Abrar Al-Qallaf</t>
        </is>
      </c>
      <c r="D94" s="13" t="inlineStr">
        <is>
          <t>ممارسة رقم RFQ/1063968: توريد مواد ومهمات تشغيلية لزوم شركة البترول الوطنية الكويتية - شركة البترول الوطنية الكويتية</t>
        </is>
      </c>
      <c r="E94" s="13" t="inlineStr">
        <is>
          <t>أعمال وتوريدات تخصصية لزوم شركة البترول الوطنية الكويتية حسب وثائق الممارسة رقم RFQ/1063968 عبر منصة K-Tendering.</t>
        </is>
      </c>
      <c r="F94" s="13" t="inlineStr">
        <is>
          <t>وفقاً لشروط وإجراءات المناقصات والتوريد لدى شركة البترول الوطنية الكويتية (KNPC)</t>
        </is>
      </c>
      <c r="G94" s="14" t="inlineStr">
        <is>
          <t>عام</t>
        </is>
      </c>
      <c r="H94" s="14" t="inlineStr">
        <is>
          <t>15.0%</t>
        </is>
      </c>
      <c r="I94" s="14" t="inlineStr">
        <is>
          <t>oil_and_gas</t>
        </is>
      </c>
      <c r="J94" s="14" t="inlineStr">
        <is>
          <t>2026-09-27</t>
        </is>
      </c>
      <c r="K94" s="18" t="inlineStr">
        <is>
          <t>2026-10-15</t>
        </is>
      </c>
      <c r="L94" s="14" t="inlineStr">
        <is>
          <t>1000.0 KWD</t>
        </is>
      </c>
      <c r="M94" s="14" t="inlineStr">
        <is>
          <t>-</t>
        </is>
      </c>
      <c r="N94" s="21" t="inlineStr">
        <is>
          <t>UPDATED</t>
        </is>
      </c>
      <c r="O94" s="14" t="inlineStr">
        <is>
          <t>غير متوافقة</t>
        </is>
      </c>
      <c r="P94" s="22">
        <f>HYPERLINK("https://kuwaitalyawm.media.gov.kw/flip/index?id=5599&amp;no=224", "عرض المصدر")</f>
        <v/>
      </c>
    </row>
    <row r="95">
      <c r="A95" s="11" t="inlineStr">
        <is>
          <t>RFQ/1061616</t>
        </is>
      </c>
      <c r="B95" s="11" t="inlineStr">
        <is>
          <t>شركة البترول الوطنية الكويتية</t>
        </is>
      </c>
      <c r="C95" s="11" t="inlineStr">
        <is>
          <t>Abrar Al-Qallaf</t>
        </is>
      </c>
      <c r="D95" s="11" t="inlineStr">
        <is>
          <t>ممارسة رقم RFQ/1061616: إعادة طرح توريد المواد المضافة للوقود (Stability Additive for 0.5% Sulfur IMO Bunker Fuel Oil - MAA) - شركة البترول الوطنية الكويتية</t>
        </is>
      </c>
      <c r="E95" s="11" t="inlineStr">
        <is>
          <t>توريد مواد مضافة كيميائية لتحسين ثبات منتج وقود السفن منخفض الكبريت 0.5% بمصفاة ميناء الأحمدي.</t>
        </is>
      </c>
      <c r="F95" s="11" t="inlineStr">
        <is>
          <t>وفقاً لشروط وإجراءات المناقصات والتوريد لدى شركة البترول الوطنية الكويتية (KNPC)</t>
        </is>
      </c>
      <c r="G95" s="12" t="inlineStr">
        <is>
          <t>عام</t>
        </is>
      </c>
      <c r="H95" s="12" t="inlineStr">
        <is>
          <t>15.0%</t>
        </is>
      </c>
      <c r="I95" s="12" t="inlineStr">
        <is>
          <t>oil_and_gas</t>
        </is>
      </c>
      <c r="J95" s="12" t="inlineStr">
        <is>
          <t>2026-09-27</t>
        </is>
      </c>
      <c r="K95" s="18" t="inlineStr">
        <is>
          <t>2026-10-15</t>
        </is>
      </c>
      <c r="L95" s="12" t="inlineStr">
        <is>
          <t>1000.0 KWD</t>
        </is>
      </c>
      <c r="M95" s="12" t="inlineStr">
        <is>
          <t>-</t>
        </is>
      </c>
      <c r="N95" s="21" t="inlineStr">
        <is>
          <t>UPDATED</t>
        </is>
      </c>
      <c r="O95" s="12" t="inlineStr">
        <is>
          <t>غير متوافقة</t>
        </is>
      </c>
      <c r="P95" s="23">
        <f>HYPERLINK("https://kuwaitalyawm.media.gov.kw/flip/index?id=5599&amp;no=225", "عرض المصدر")</f>
        <v/>
      </c>
    </row>
    <row r="96">
      <c r="A96" s="13" t="inlineStr">
        <is>
          <t>RFQ/1063554</t>
        </is>
      </c>
      <c r="B96" s="13" t="inlineStr">
        <is>
          <t>شركة البترول الوطنية الكويتية</t>
        </is>
      </c>
      <c r="C96" s="13" t="inlineStr">
        <is>
          <t>Abrar Al-Qallaf</t>
        </is>
      </c>
      <c r="D96" s="13" t="inlineStr">
        <is>
          <t>ممارسة رقم RFQ/1063554: توريد العوامل المساعدة لوحدة نزع الكبريت (OCR Catalyst for ARDS Unit-12 Tr-2 - MAB) - شركة البترول الوطنية الكويتية</t>
        </is>
      </c>
      <c r="E96" s="13" t="inlineStr">
        <is>
          <t>توريد مواد كيميائية وعوامل مساعدة تكريرية (Catalyst) لوحدة نزع الكبريت بمصفاة ميناء الأحمدي.</t>
        </is>
      </c>
      <c r="F96" s="13" t="inlineStr">
        <is>
          <t>وفقاً لشروط وإجراءات المناقصات والتوريد لدى شركة البترول الوطنية الكويتية (KNPC) عبر منصة K-Tendering.</t>
        </is>
      </c>
      <c r="G96" s="14" t="inlineStr">
        <is>
          <t>عام</t>
        </is>
      </c>
      <c r="H96" s="14" t="inlineStr">
        <is>
          <t>15.0%</t>
        </is>
      </c>
      <c r="I96" s="14" t="inlineStr">
        <is>
          <t>oil_and_gas</t>
        </is>
      </c>
      <c r="J96" s="14" t="inlineStr">
        <is>
          <t>2026-09-27</t>
        </is>
      </c>
      <c r="K96" s="14" t="inlineStr">
        <is>
          <t>2026-10-22</t>
        </is>
      </c>
      <c r="L96" s="14" t="inlineStr">
        <is>
          <t>50000.0 KWD</t>
        </is>
      </c>
      <c r="M96" s="14" t="inlineStr">
        <is>
          <t>500.0 KWD</t>
        </is>
      </c>
      <c r="N96" s="21" t="inlineStr">
        <is>
          <t>UPDATED</t>
        </is>
      </c>
      <c r="O96" s="14" t="inlineStr">
        <is>
          <t>غير متوافقة</t>
        </is>
      </c>
      <c r="P96" s="22">
        <f>HYPERLINK("https://kuwaitalyawm.media.gov.kw/Online/ViewAdsHTML?id=171724&amp;no=1", "عرض المصدر")</f>
        <v/>
      </c>
    </row>
    <row r="97">
      <c r="A97" s="11" t="inlineStr">
        <is>
          <t>RFQ/1063825</t>
        </is>
      </c>
      <c r="B97" s="11" t="inlineStr">
        <is>
          <t>شركة البترول الوطنية الكويتية</t>
        </is>
      </c>
      <c r="C97" s="11" t="inlineStr">
        <is>
          <t>Abrar Al-Qallaf</t>
        </is>
      </c>
      <c r="D97" s="11" t="inlineStr">
        <is>
          <t>ممارسة رقم RFQ/1063825: توريد قطع غيار أنظمة الاتصالات (Spares for the Telecommunication System - LBP) - شركة البترول الوطنية الكويتية</t>
        </is>
      </c>
      <c r="E97" s="11" t="inlineStr">
        <is>
          <t>توريد قطع غيار ومعدات شبكات الاتصالات وأنظمة التراسل السلكي واللاسلكي لمصفاة ميناء عبد الله (LBP).</t>
        </is>
      </c>
      <c r="F97" s="11" t="inlineStr">
        <is>
          <t>وفقاً لشروط وإجراءات المناقصات والتوريد لدى شركة البترول الوطنية الكويتية (KNPC) عبر منصة K-Tendering.</t>
        </is>
      </c>
      <c r="G97" s="24" t="inlineStr">
        <is>
          <t>قطاع العمليات المدارة والدعم الفني متعدد الموردين</t>
        </is>
      </c>
      <c r="H97" s="12" t="inlineStr">
        <is>
          <t>75.0%</t>
        </is>
      </c>
      <c r="I97" s="12" t="inlineStr">
        <is>
          <t>oil_and_gas</t>
        </is>
      </c>
      <c r="J97" s="12" t="inlineStr">
        <is>
          <t>2026-09-27</t>
        </is>
      </c>
      <c r="K97" s="12" t="inlineStr">
        <is>
          <t>2026-10-22</t>
        </is>
      </c>
      <c r="L97" s="12" t="inlineStr">
        <is>
          <t>1000.0 KWD</t>
        </is>
      </c>
      <c r="M97" s="12" t="inlineStr">
        <is>
          <t>-</t>
        </is>
      </c>
      <c r="N97" s="21" t="inlineStr">
        <is>
          <t>UPDATED</t>
        </is>
      </c>
      <c r="O97" s="12" t="inlineStr">
        <is>
          <t>موصى بالتقديم</t>
        </is>
      </c>
      <c r="P97" s="23">
        <f>HYPERLINK("https://kuwaitalyawm.media.gov.kw/Online/ViewAdsHTML?id=171725&amp;no=1", "عرض المصدر")</f>
        <v/>
      </c>
    </row>
    <row r="98">
      <c r="A98" s="13" t="inlineStr">
        <is>
          <t>RFQ/1064135</t>
        </is>
      </c>
      <c r="B98" s="13" t="inlineStr">
        <is>
          <t>شركة البترول الوطنية الكويتية</t>
        </is>
      </c>
      <c r="C98" s="13" t="inlineStr">
        <is>
          <t>Abrar Al-Qallaf</t>
        </is>
      </c>
      <c r="D98" s="13" t="inlineStr">
        <is>
          <t>ممارسة رقم RFQ/1064135: توريد مواد ومهمات تشغيلية لزوم شركة البترول الوطنية الكويتية - شركة البترول الوطنية الكويتية</t>
        </is>
      </c>
      <c r="E98" s="13" t="inlineStr">
        <is>
          <t>أعمال وتوريدات تخصصية لزوم شركة البترول الوطنية الكويتية حسب وثائق الممارسة رقم RFQ/1064135 عبر منصة K-Tendering.</t>
        </is>
      </c>
      <c r="F98" s="13" t="inlineStr">
        <is>
          <t>وفقاً لشروط وإجراءات المناقصات والتوريد لدى شركة البترول الوطنية الكويتية (KNPC) عبر منصة K-Tendering.</t>
        </is>
      </c>
      <c r="G98" s="14" t="inlineStr">
        <is>
          <t>عام</t>
        </is>
      </c>
      <c r="H98" s="14" t="inlineStr">
        <is>
          <t>15.0%</t>
        </is>
      </c>
      <c r="I98" s="14" t="inlineStr">
        <is>
          <t>oil_and_gas</t>
        </is>
      </c>
      <c r="J98" s="14" t="inlineStr">
        <is>
          <t>2026-09-27</t>
        </is>
      </c>
      <c r="K98" s="14" t="inlineStr">
        <is>
          <t>2026-10-22</t>
        </is>
      </c>
      <c r="L98" s="14" t="inlineStr">
        <is>
          <t>1000.0 KWD</t>
        </is>
      </c>
      <c r="M98" s="14" t="inlineStr">
        <is>
          <t>-</t>
        </is>
      </c>
      <c r="N98" s="21" t="inlineStr">
        <is>
          <t>UPDATED</t>
        </is>
      </c>
      <c r="O98" s="14" t="inlineStr">
        <is>
          <t>غير متوافقة</t>
        </is>
      </c>
      <c r="P98" s="22">
        <f>HYPERLINK("https://kuwaitalyawm.media.gov.kw/Online/ViewAdsHTML?id=171726&amp;no=1", "عرض المصدر")</f>
        <v/>
      </c>
    </row>
    <row r="99">
      <c r="A99" s="11" t="inlineStr">
        <is>
          <t>RFQ/1063478</t>
        </is>
      </c>
      <c r="B99" s="11" t="inlineStr">
        <is>
          <t>شركة البترول الوطنية الكويتية</t>
        </is>
      </c>
      <c r="C99" s="11" t="inlineStr">
        <is>
          <t>Abrar Al-Qallaf</t>
        </is>
      </c>
      <c r="D99" s="11" t="inlineStr">
        <is>
          <t>ممارسة رقم RFQ/1063478: توريد مواد ومهمات تشغيلية لزوم شركة البترول الوطنية الكويتية - شركة البترول الوطنية الكويتية</t>
        </is>
      </c>
      <c r="E99" s="11" t="inlineStr">
        <is>
          <t>أعمال وتوريدات تخصصية لزوم شركة البترول الوطنية الكويتية حسب وثائق الممارسة رقم RFQ/1063478 عبر منصة K-Tendering.</t>
        </is>
      </c>
      <c r="F99" s="11" t="inlineStr">
        <is>
          <t>وفقاً لشروط وإجراءات المناقصات والتوريد لدى شركة البترول الوطنية الكويتية (KNPC) عبر منصة K-Tendering.</t>
        </is>
      </c>
      <c r="G99" s="12" t="inlineStr">
        <is>
          <t>عام</t>
        </is>
      </c>
      <c r="H99" s="12" t="inlineStr">
        <is>
          <t>15.0%</t>
        </is>
      </c>
      <c r="I99" s="12" t="inlineStr">
        <is>
          <t>oil_and_gas</t>
        </is>
      </c>
      <c r="J99" s="12" t="inlineStr">
        <is>
          <t>2026-09-27</t>
        </is>
      </c>
      <c r="K99" s="12" t="inlineStr">
        <is>
          <t>2026-10-22</t>
        </is>
      </c>
      <c r="L99" s="12" t="inlineStr">
        <is>
          <t>1000.0 KWD</t>
        </is>
      </c>
      <c r="M99" s="12" t="inlineStr">
        <is>
          <t>-</t>
        </is>
      </c>
      <c r="N99" s="21" t="inlineStr">
        <is>
          <t>UPDATED</t>
        </is>
      </c>
      <c r="O99" s="12" t="inlineStr">
        <is>
          <t>غير متوافقة</t>
        </is>
      </c>
      <c r="P99" s="23">
        <f>HYPERLINK("https://kuwaitalyawm.media.gov.kw/Online/ViewAdsHTML?id=171727&amp;no=1", "عرض المصدر")</f>
        <v/>
      </c>
    </row>
    <row r="100">
      <c r="A100" s="13" t="inlineStr">
        <is>
          <t>RFQ/1062690</t>
        </is>
      </c>
      <c r="B100" s="13" t="inlineStr">
        <is>
          <t>شركة البترول الوطنية الكويتية</t>
        </is>
      </c>
      <c r="C100" s="13" t="inlineStr">
        <is>
          <t>Abrar Al-Qallaf</t>
        </is>
      </c>
      <c r="D100" s="13" t="inlineStr">
        <is>
          <t>ممارسة رقم RFQ/1062690: توريد مواد ومهمات تشغيلية لزوم شركة البترول الوطنية الكويتية - شركة البترول الوطنية الكويتية</t>
        </is>
      </c>
      <c r="E100" s="13" t="inlineStr">
        <is>
          <t>أعمال وتوريدات تخصصية لزوم شركة البترول الوطنية الكويتية حسب وثائق الممارسة رقم RFQ/1062690 عبر منصة K-Tendering.</t>
        </is>
      </c>
      <c r="F100" s="13" t="inlineStr">
        <is>
          <t>وفقاً لشروط وإجراءات المناقصات والتوريد لدى شركة البترول الوطنية الكويتية (KNPC)</t>
        </is>
      </c>
      <c r="G100" s="14" t="inlineStr">
        <is>
          <t>عام</t>
        </is>
      </c>
      <c r="H100" s="14" t="inlineStr">
        <is>
          <t>15.0%</t>
        </is>
      </c>
      <c r="I100" s="14" t="inlineStr">
        <is>
          <t>oil_and_gas</t>
        </is>
      </c>
      <c r="J100" s="14" t="inlineStr">
        <is>
          <t>2026-09-27</t>
        </is>
      </c>
      <c r="K100" s="14" t="inlineStr">
        <is>
          <t>2026-10-22</t>
        </is>
      </c>
      <c r="L100" s="14" t="inlineStr">
        <is>
          <t>1000.0 KWD</t>
        </is>
      </c>
      <c r="M100" s="14" t="inlineStr">
        <is>
          <t>-</t>
        </is>
      </c>
      <c r="N100" s="21" t="inlineStr">
        <is>
          <t>UPDATED</t>
        </is>
      </c>
      <c r="O100" s="14" t="inlineStr">
        <is>
          <t>غير متوافقة</t>
        </is>
      </c>
      <c r="P100" s="22">
        <f>HYPERLINK("https://kuwaitalyawm.media.gov.kw/flip/index?id=5599&amp;no=223", "عرض المصدر")</f>
        <v/>
      </c>
    </row>
    <row r="101">
      <c r="A101" s="11" t="inlineStr">
        <is>
          <t>RFQ/1063246</t>
        </is>
      </c>
      <c r="B101" s="11" t="inlineStr">
        <is>
          <t>شركة البترول الوطنية الكويتية</t>
        </is>
      </c>
      <c r="C101" s="11" t="inlineStr">
        <is>
          <t>Abrar Al-Qallaf</t>
        </is>
      </c>
      <c r="D101" s="11" t="inlineStr">
        <is>
          <t>ممارسة رقم RFQ/1063246: توريد مواد ومهمات تشغيلية لزوم شركة البترول الوطنية الكويتية - شركة البترول الوطنية الكويتية</t>
        </is>
      </c>
      <c r="E101" s="11" t="inlineStr">
        <is>
          <t>أعمال وتوريدات تخصصية لزوم شركة البترول الوطنية الكويتية حسب وثائق الممارسة رقم RFQ/1063246 عبر منصة K-Tendering.</t>
        </is>
      </c>
      <c r="F101" s="11" t="inlineStr">
        <is>
          <t>وفقاً لشروط وإجراءات المناقصات والتوريد لدى شركة البترول الوطنية الكويتية (KNPC)</t>
        </is>
      </c>
      <c r="G101" s="12" t="inlineStr">
        <is>
          <t>عام</t>
        </is>
      </c>
      <c r="H101" s="12" t="inlineStr">
        <is>
          <t>15.0%</t>
        </is>
      </c>
      <c r="I101" s="12" t="inlineStr">
        <is>
          <t>oil_and_gas</t>
        </is>
      </c>
      <c r="J101" s="12" t="inlineStr">
        <is>
          <t>2026-09-27</t>
        </is>
      </c>
      <c r="K101" s="12" t="inlineStr">
        <is>
          <t>2026-10-22</t>
        </is>
      </c>
      <c r="L101" s="12" t="inlineStr">
        <is>
          <t>1000.0 KWD</t>
        </is>
      </c>
      <c r="M101" s="12" t="inlineStr">
        <is>
          <t>-</t>
        </is>
      </c>
      <c r="N101" s="21" t="inlineStr">
        <is>
          <t>UPDATED</t>
        </is>
      </c>
      <c r="O101" s="12" t="inlineStr">
        <is>
          <t>غير متوافقة</t>
        </is>
      </c>
      <c r="P101" s="23">
        <f>HYPERLINK("https://kuwaitalyawm.media.gov.kw/flip/index?id=5599&amp;no=224", "عرض المصدر")</f>
        <v/>
      </c>
    </row>
    <row r="102">
      <c r="A102" s="13" t="inlineStr">
        <is>
          <t>RFQ/1063799</t>
        </is>
      </c>
      <c r="B102" s="13" t="inlineStr">
        <is>
          <t>شركة البترول الوطنية الكويتية</t>
        </is>
      </c>
      <c r="C102" s="13" t="inlineStr">
        <is>
          <t>Abrar Al-Qallaf</t>
        </is>
      </c>
      <c r="D102" s="13" t="inlineStr">
        <is>
          <t>ممارسة رقم RFQ/1063799: توريد مواد ومهمات تشغيلية لزوم شركة البترول الوطنية الكويتية - شركة البترول الوطنية الكويتية</t>
        </is>
      </c>
      <c r="E102" s="13" t="inlineStr">
        <is>
          <t>أعمال وتوريدات تخصصية لزوم شركة البترول الوطنية الكويتية حسب وثائق الممارسة رقم RFQ/1063799 عبر منصة K-Tendering.</t>
        </is>
      </c>
      <c r="F102" s="13" t="inlineStr">
        <is>
          <t>وفقاً لشروط وإجراءات المناقصات والتوريد لدى شركة البترول الوطنية الكويتية (KNPC)</t>
        </is>
      </c>
      <c r="G102" s="14" t="inlineStr">
        <is>
          <t>عام</t>
        </is>
      </c>
      <c r="H102" s="14" t="inlineStr">
        <is>
          <t>15.0%</t>
        </is>
      </c>
      <c r="I102" s="14" t="inlineStr">
        <is>
          <t>oil_and_gas</t>
        </is>
      </c>
      <c r="J102" s="14" t="inlineStr">
        <is>
          <t>2026-09-27</t>
        </is>
      </c>
      <c r="K102" s="14" t="inlineStr">
        <is>
          <t>2026-10-22</t>
        </is>
      </c>
      <c r="L102" s="14" t="inlineStr">
        <is>
          <t>1000.0 KWD</t>
        </is>
      </c>
      <c r="M102" s="14" t="inlineStr">
        <is>
          <t>-</t>
        </is>
      </c>
      <c r="N102" s="21" t="inlineStr">
        <is>
          <t>UPDATED</t>
        </is>
      </c>
      <c r="O102" s="14" t="inlineStr">
        <is>
          <t>غير متوافقة</t>
        </is>
      </c>
      <c r="P102" s="22">
        <f>HYPERLINK("https://kuwaitalyawm.media.gov.kw/flip/index?id=5599&amp;no=225", "عرض المصدر")</f>
        <v/>
      </c>
    </row>
    <row r="103">
      <c r="A103" s="11" t="inlineStr">
        <is>
          <t>RFP/2159728</t>
        </is>
      </c>
      <c r="B103" s="11" t="inlineStr">
        <is>
          <t>شركة البترول الوطنية الكويتية</t>
        </is>
      </c>
      <c r="C103" s="11" t="inlineStr">
        <is>
          <t>Abrar Al-Qallaf</t>
        </is>
      </c>
      <c r="D103" s="11" t="inlineStr">
        <is>
          <t>ممارسة رقم RFP/2159728: توريد مواد ومهمات تشغيلية لزوم شركة البترول الوطنية الكويتية - شركة البترول الوطنية الكويتية</t>
        </is>
      </c>
      <c r="E103" s="11" t="inlineStr">
        <is>
          <t>أعمال وتوريدات تخصصية لزوم شركة البترول الوطنية الكويتية حسب وثائق الممارسة رقم RFP/2159728 عبر منصة K-Tendering.</t>
        </is>
      </c>
      <c r="F103" s="11" t="inlineStr">
        <is>
          <t>وفقاً لشروط وإجراءات المناقصات والتوريد لدى شركة البترول الوطنية الكويتية (KNPC)</t>
        </is>
      </c>
      <c r="G103" s="12" t="inlineStr">
        <is>
          <t>عام</t>
        </is>
      </c>
      <c r="H103" s="12" t="inlineStr">
        <is>
          <t>15.0%</t>
        </is>
      </c>
      <c r="I103" s="12" t="inlineStr">
        <is>
          <t>oil_and_gas</t>
        </is>
      </c>
      <c r="J103" s="12" t="inlineStr">
        <is>
          <t>2026-09-27</t>
        </is>
      </c>
      <c r="K103" s="12" t="inlineStr">
        <is>
          <t>2026-10-26</t>
        </is>
      </c>
      <c r="L103" s="12" t="inlineStr">
        <is>
          <t>1000.0</t>
        </is>
      </c>
      <c r="M103" s="12" t="inlineStr">
        <is>
          <t>75.0</t>
        </is>
      </c>
      <c r="N103" s="26" t="inlineStr">
        <is>
          <t>UNCHANGED</t>
        </is>
      </c>
      <c r="O103" s="12" t="inlineStr">
        <is>
          <t>غير متوافقة</t>
        </is>
      </c>
      <c r="P103" s="23">
        <f>HYPERLINK("https://kuwaitalyawm.media.gov.kw/flip/index?id=5599&amp;no=238", "عرض المصدر")</f>
        <v/>
      </c>
    </row>
    <row r="104">
      <c r="A104" s="13" t="inlineStr">
        <is>
          <t>RFQ/2167075</t>
        </is>
      </c>
      <c r="B104" s="13" t="inlineStr">
        <is>
          <t>شركة البترول الوطنية الكويتية</t>
        </is>
      </c>
      <c r="C104" s="13" t="inlineStr">
        <is>
          <t>Abrar Al-Qallaf</t>
        </is>
      </c>
      <c r="D104" s="13" t="inlineStr">
        <is>
          <t>ممارسة رقم RFQ/2167075: توريد مواد ومهمات تشغيلية لزوم شركة البترول الوطنية الكويتية - شركة البترول الوطنية الكويتية</t>
        </is>
      </c>
      <c r="E104" s="13" t="inlineStr">
        <is>
          <t>أعمال وتوريدات تخصصية لزوم شركة البترول الوطنية الكويتية حسب وثائق الممارسة رقم RFQ/2167075 عبر منصة K-Tendering.</t>
        </is>
      </c>
      <c r="F104" s="13" t="inlineStr">
        <is>
          <t>وفقاً لشروط وإجراءات المناقصات والتوريد لدى شركة البترول الوطنية الكويتية (KNPC) عبر منصة K-Tendering.</t>
        </is>
      </c>
      <c r="G104" s="14" t="inlineStr">
        <is>
          <t>عام</t>
        </is>
      </c>
      <c r="H104" s="14" t="inlineStr">
        <is>
          <t>15.0%</t>
        </is>
      </c>
      <c r="I104" s="14" t="inlineStr">
        <is>
          <t>oil_and_gas</t>
        </is>
      </c>
      <c r="J104" s="14" t="inlineStr">
        <is>
          <t>2026-09-27</t>
        </is>
      </c>
      <c r="K104" s="14" t="inlineStr">
        <is>
          <t>2026-11-02</t>
        </is>
      </c>
      <c r="L104" s="14" t="inlineStr">
        <is>
          <t>500000.0 KWD</t>
        </is>
      </c>
      <c r="M104" s="14" t="inlineStr">
        <is>
          <t>-</t>
        </is>
      </c>
      <c r="N104" s="21" t="inlineStr">
        <is>
          <t>UPDATED</t>
        </is>
      </c>
      <c r="O104" s="14" t="inlineStr">
        <is>
          <t>غير متوافقة</t>
        </is>
      </c>
      <c r="P104" s="22">
        <f>HYPERLINK("https://kuwaitalyawm.media.gov.kw/Online/ViewAdsHTML?id=171742&amp;no=1", "عرض المصدر")</f>
        <v/>
      </c>
    </row>
    <row r="105">
      <c r="A105" s="11" t="inlineStr">
        <is>
          <t>RFQ/2167957</t>
        </is>
      </c>
      <c r="B105" s="11" t="inlineStr">
        <is>
          <t>شركة البترول الوطنية الكويتية</t>
        </is>
      </c>
      <c r="C105" s="11" t="inlineStr">
        <is>
          <t>Abrar Al-Qallaf</t>
        </is>
      </c>
      <c r="D105" s="11" t="inlineStr">
        <is>
          <t>ممارسة رقم RFQ/2167957: توريد مواد ومهمات تشغيلية لزوم شركة البترول الوطنية الكويتية - شركة البترول الوطنية الكويتية</t>
        </is>
      </c>
      <c r="E105" s="11" t="inlineStr">
        <is>
          <t>أعمال وتوريدات تخصصية لزوم شركة البترول الوطنية الكويتية حسب وثائق الممارسة رقم RFQ/2167957 عبر منصة K-Tendering.</t>
        </is>
      </c>
      <c r="F105" s="11" t="inlineStr">
        <is>
          <t>وفقاً لشروط وإجراءات المناقصات والتوريد لدى شركة البترول الوطنية الكويتية (KNPC) عبر منصة K-Tendering.</t>
        </is>
      </c>
      <c r="G105" s="12" t="inlineStr">
        <is>
          <t>عام</t>
        </is>
      </c>
      <c r="H105" s="12" t="inlineStr">
        <is>
          <t>15.0%</t>
        </is>
      </c>
      <c r="I105" s="12" t="inlineStr">
        <is>
          <t>oil_and_gas</t>
        </is>
      </c>
      <c r="J105" s="12" t="inlineStr">
        <is>
          <t>2026-09-27</t>
        </is>
      </c>
      <c r="K105" s="12" t="inlineStr">
        <is>
          <t>2026-11-02</t>
        </is>
      </c>
      <c r="L105" s="12" t="inlineStr">
        <is>
          <t>15000.0 KWD</t>
        </is>
      </c>
      <c r="M105" s="12" t="inlineStr">
        <is>
          <t>-</t>
        </is>
      </c>
      <c r="N105" s="21" t="inlineStr">
        <is>
          <t>UPDATED</t>
        </is>
      </c>
      <c r="O105" s="12" t="inlineStr">
        <is>
          <t>غير متوافقة</t>
        </is>
      </c>
      <c r="P105" s="23">
        <f>HYPERLINK("https://kuwaitalyawm.media.gov.kw/Online/ViewAdsHTML?id=171741&amp;no=1", "عرض المصدر")</f>
        <v/>
      </c>
    </row>
    <row r="106">
      <c r="A106" s="13" t="inlineStr">
        <is>
          <t>CB CPC 2562</t>
        </is>
      </c>
      <c r="B106" s="13" t="inlineStr">
        <is>
          <t>شركة البترول الوطنية الكويتية</t>
        </is>
      </c>
      <c r="C106" s="13" t="inlineStr">
        <is>
          <t>Abrar Al-Qallaf</t>
        </is>
      </c>
      <c r="D106" s="13" t="inlineStr">
        <is>
          <t>ممارسة رقم CB CPC 2562: توريد مواد ومهمات تشغيلية لزوم شركة البترول الوطنية الكويتية - شركة البترول الوطنية الكويتية</t>
        </is>
      </c>
      <c r="E106" s="13" t="inlineStr">
        <is>
          <t>أعمال وتوريدات تخصصية لزوم شركة البترول الوطنية الكويتية حسب وثائق الممارسة رقم CB CPC 2562 عبر منصة K-Tendering.</t>
        </is>
      </c>
      <c r="F106" s="13" t="inlineStr">
        <is>
          <t>وفقاً لشروط وإجراءات المناقصات والتوريد لدى شركة البترول الوطنية الكويتية (KNPC) عبر منصة K-Tendering.</t>
        </is>
      </c>
      <c r="G106" s="14" t="inlineStr">
        <is>
          <t>عام</t>
        </is>
      </c>
      <c r="H106" s="14" t="inlineStr">
        <is>
          <t>15.0%</t>
        </is>
      </c>
      <c r="I106" s="14" t="inlineStr">
        <is>
          <t>oil_and_gas</t>
        </is>
      </c>
      <c r="J106" s="14" t="inlineStr">
        <is>
          <t>2026-08-23</t>
        </is>
      </c>
      <c r="K106" s="14" t="inlineStr">
        <is>
          <t>2026-11-26</t>
        </is>
      </c>
      <c r="L106" s="14" t="inlineStr">
        <is>
          <t>5000.0</t>
        </is>
      </c>
      <c r="M106" s="14" t="inlineStr">
        <is>
          <t>150.0</t>
        </is>
      </c>
      <c r="N106" s="25" t="inlineStr">
        <is>
          <t>NEW</t>
        </is>
      </c>
      <c r="O106" s="14" t="inlineStr">
        <is>
          <t>غير متوافقة</t>
        </is>
      </c>
      <c r="P106" s="22">
        <f>HYPERLINK("https://kuwaitalyawm.media.gov.kw/Online/ViewAdsHTML?id=167906&amp;no=1", "عرض المصدر")</f>
        <v/>
      </c>
    </row>
    <row r="107">
      <c r="A107" s="11" t="inlineStr">
        <is>
          <t>RFQ 2166316</t>
        </is>
      </c>
      <c r="B107" s="11" t="inlineStr">
        <is>
          <t>شركة البترول الوطنية الكويتية</t>
        </is>
      </c>
      <c r="C107" s="11" t="inlineStr">
        <is>
          <t>Abrar Al-Qallaf</t>
        </is>
      </c>
      <c r="D107" s="11" t="inlineStr">
        <is>
          <t>ممارسة رقم RFQ 2166316: توريد مواد ومهمات تشغيلية لزوم شركة البترول الوطنية الكويتية - شركة البترول الوطنية الكويتية</t>
        </is>
      </c>
      <c r="E107" s="11" t="inlineStr">
        <is>
          <t>أعمال وتوريدات تخصصية لزوم شركة البترول الوطنية الكويتية حسب وثائق الممارسة رقم RFQ 2166316 عبر منصة K-Tendering.</t>
        </is>
      </c>
      <c r="F107" s="11" t="inlineStr">
        <is>
          <t>وفقاً لشروط وإجراءات المناقصات والتوريد لدى شركة البترول الوطنية الكويتية (KNPC) عبر منصة K-Tendering.</t>
        </is>
      </c>
      <c r="G107" s="12" t="inlineStr">
        <is>
          <t>عام</t>
        </is>
      </c>
      <c r="H107" s="12" t="inlineStr">
        <is>
          <t>15.0%</t>
        </is>
      </c>
      <c r="I107" s="12" t="inlineStr">
        <is>
          <t>oil_and_gas</t>
        </is>
      </c>
      <c r="J107" s="12" t="inlineStr">
        <is>
          <t>2026-08-30</t>
        </is>
      </c>
      <c r="K107" s="12" t="inlineStr">
        <is>
          <t>2026-11-30</t>
        </is>
      </c>
      <c r="L107" s="12" t="inlineStr">
        <is>
          <t>150000.0</t>
        </is>
      </c>
      <c r="M107" s="12" t="inlineStr">
        <is>
          <t>-</t>
        </is>
      </c>
      <c r="N107" s="25" t="inlineStr">
        <is>
          <t>NEW</t>
        </is>
      </c>
      <c r="O107" s="12" t="inlineStr">
        <is>
          <t>غير متوافقة</t>
        </is>
      </c>
      <c r="P107" s="23">
        <f>HYPERLINK("https://kuwaitalyawm.media.gov.kw/Online/ViewAdsHTML?id=168785&amp;no=1", "عرض المصدر")</f>
        <v/>
      </c>
    </row>
    <row r="108">
      <c r="A108" s="13" t="inlineStr">
        <is>
          <t>RFP 2162824</t>
        </is>
      </c>
      <c r="B108" s="13" t="inlineStr">
        <is>
          <t>شركة البترول الوطنية الكويتية</t>
        </is>
      </c>
      <c r="C108" s="13" t="inlineStr">
        <is>
          <t>Abrar Al-Qallaf</t>
        </is>
      </c>
      <c r="D108" s="13" t="inlineStr">
        <is>
          <t>ممارسة رقم RFP 2162824: توريد مواد ومهمات تشغيلية لزوم شركة البترول الوطنية الكويتية - شركة البترول الوطنية الكويتية</t>
        </is>
      </c>
      <c r="E108" s="13" t="inlineStr">
        <is>
          <t>أعمال وتوريدات تخصصية لزوم شركة البترول الوطنية الكويتية حسب وثائق الممارسة رقم RFP 2162824 عبر منصة K-Tendering.</t>
        </is>
      </c>
      <c r="F108" s="13" t="inlineStr">
        <is>
          <t>وفقاً لشروط وإجراءات المناقصات والتوريد لدى شركة البترول الوطنية الكويتية (KNPC) عبر منصة K-Tendering.</t>
        </is>
      </c>
      <c r="G108" s="14" t="inlineStr">
        <is>
          <t>عام</t>
        </is>
      </c>
      <c r="H108" s="14" t="inlineStr">
        <is>
          <t>15.0%</t>
        </is>
      </c>
      <c r="I108" s="14" t="inlineStr">
        <is>
          <t>oil_and_gas</t>
        </is>
      </c>
      <c r="J108" s="14" t="inlineStr">
        <is>
          <t>2026-08-30</t>
        </is>
      </c>
      <c r="K108" s="14" t="inlineStr">
        <is>
          <t>2026-11-30</t>
        </is>
      </c>
      <c r="L108" s="14" t="inlineStr">
        <is>
          <t>50000.0</t>
        </is>
      </c>
      <c r="M108" s="14" t="inlineStr">
        <is>
          <t>-</t>
        </is>
      </c>
      <c r="N108" s="25" t="inlineStr">
        <is>
          <t>NEW</t>
        </is>
      </c>
      <c r="O108" s="14" t="inlineStr">
        <is>
          <t>غير متوافقة</t>
        </is>
      </c>
      <c r="P108" s="22">
        <f>HYPERLINK("https://kuwaitalyawm.media.gov.kw/Online/ViewAdsHTML?id=168786&amp;no=1", "عرض المصدر")</f>
        <v/>
      </c>
    </row>
    <row r="109">
      <c r="A109" s="11" t="inlineStr">
        <is>
          <t>RFQ 1063574</t>
        </is>
      </c>
      <c r="B109" s="11" t="inlineStr">
        <is>
          <t>شركة البترول الوطنية الكويتية</t>
        </is>
      </c>
      <c r="C109" s="11" t="inlineStr">
        <is>
          <t>Abrar Al-Qallaf</t>
        </is>
      </c>
      <c r="D109" s="11" t="inlineStr">
        <is>
          <t>ممارسة رقم RFQ 1063574: توريد مواد ومهمات تشغيلية لزوم شركة البترول الوطنية الكويتية - شركة البترول الوطنية الكويتية</t>
        </is>
      </c>
      <c r="E109" s="11" t="inlineStr">
        <is>
          <t>أعمال وتوريدات تخصصية لزوم شركة البترول الوطنية الكويتية حسب وثائق الممارسة رقم RFQ 1063574 عبر منصة K-Tendering.</t>
        </is>
      </c>
      <c r="F109" s="11" t="inlineStr">
        <is>
          <t>وفقاً لشروط وإجراءات المناقصات والتوريد لدى شركة البترول الوطنية الكويتية (KNPC) عبر منصة K-Tendering.</t>
        </is>
      </c>
      <c r="G109" s="12" t="inlineStr">
        <is>
          <t>عام</t>
        </is>
      </c>
      <c r="H109" s="12" t="inlineStr">
        <is>
          <t>15.0%</t>
        </is>
      </c>
      <c r="I109" s="12" t="inlineStr">
        <is>
          <t>oil_and_gas</t>
        </is>
      </c>
      <c r="J109" s="12" t="inlineStr">
        <is>
          <t>2026-08-23</t>
        </is>
      </c>
      <c r="K109" s="12" t="inlineStr">
        <is>
          <t>2026-12-03</t>
        </is>
      </c>
      <c r="L109" s="12" t="inlineStr">
        <is>
          <t>1000.0</t>
        </is>
      </c>
      <c r="M109" s="12" t="inlineStr">
        <is>
          <t>-</t>
        </is>
      </c>
      <c r="N109" s="25" t="inlineStr">
        <is>
          <t>NEW</t>
        </is>
      </c>
      <c r="O109" s="12" t="inlineStr">
        <is>
          <t>غير متوافقة</t>
        </is>
      </c>
      <c r="P109" s="23">
        <f>HYPERLINK("https://kuwaitalyawm.media.gov.kw/Online/ViewAdsHTML?id=167907&amp;no=1", "عرض المصدر")</f>
        <v/>
      </c>
    </row>
    <row r="110">
      <c r="A110" s="13" t="inlineStr">
        <is>
          <t>RFP 2165609</t>
        </is>
      </c>
      <c r="B110" s="13" t="inlineStr">
        <is>
          <t>شركة البترول الوطنية الكويتية</t>
        </is>
      </c>
      <c r="C110" s="13" t="inlineStr">
        <is>
          <t>Abrar Al-Qallaf</t>
        </is>
      </c>
      <c r="D110" s="13" t="inlineStr">
        <is>
          <t>ممارسة رقم RFP 2165609: توريد مواد ومهمات تشغيلية لزوم شركة البترول الوطنية الكويتية - شركة البترول الوطنية الكويتية</t>
        </is>
      </c>
      <c r="E110" s="13" t="inlineStr">
        <is>
          <t>أعمال وتوريدات تخصصية لزوم شركة البترول الوطنية الكويتية حسب وثائق الممارسة رقم RFP 2165609 عبر منصة K-Tendering.</t>
        </is>
      </c>
      <c r="F110" s="13" t="inlineStr">
        <is>
          <t>وفقاً لشروط وإجراءات المناقصات والتوريد لدى شركة البترول الوطنية الكويتية (KNPC) عبر منصة K-Tendering.</t>
        </is>
      </c>
      <c r="G110" s="14" t="inlineStr">
        <is>
          <t>عام</t>
        </is>
      </c>
      <c r="H110" s="14" t="inlineStr">
        <is>
          <t>15.0%</t>
        </is>
      </c>
      <c r="I110" s="14" t="inlineStr">
        <is>
          <t>oil_and_gas</t>
        </is>
      </c>
      <c r="J110" s="14" t="inlineStr">
        <is>
          <t>2026-09-06</t>
        </is>
      </c>
      <c r="K110" s="14" t="inlineStr">
        <is>
          <t>2026-12-07</t>
        </is>
      </c>
      <c r="L110" s="14" t="inlineStr">
        <is>
          <t>2500.0</t>
        </is>
      </c>
      <c r="M110" s="14" t="inlineStr">
        <is>
          <t>-</t>
        </is>
      </c>
      <c r="N110" s="25" t="inlineStr">
        <is>
          <t>NEW</t>
        </is>
      </c>
      <c r="O110" s="14" t="inlineStr">
        <is>
          <t>غير متوافقة</t>
        </is>
      </c>
      <c r="P110" s="22">
        <f>HYPERLINK("https://kuwaitalyawm.media.gov.kw/Online/ViewAdsHTML?id=169428&amp;no=1", "عرض المصدر")</f>
        <v/>
      </c>
    </row>
    <row r="111">
      <c r="A111" s="11" t="inlineStr">
        <is>
          <t>RFQ 2164511</t>
        </is>
      </c>
      <c r="B111" s="11" t="inlineStr">
        <is>
          <t>شركة البترول الوطنية الكويتية</t>
        </is>
      </c>
      <c r="C111" s="11" t="inlineStr">
        <is>
          <t>Abrar Al-Qallaf</t>
        </is>
      </c>
      <c r="D111" s="11" t="inlineStr">
        <is>
          <t>ممارسة رقم RFQ 2164511: توريد مواد ومهمات تشغيلية لزوم شركة البترول الوطنية الكويتية - شركة البترول الوطنية الكويتية</t>
        </is>
      </c>
      <c r="E111" s="11" t="inlineStr">
        <is>
          <t>أعمال وتوريدات تخصصية لزوم شركة البترول الوطنية الكويتية حسب وثائق الممارسة رقم RFQ 2164511 عبر منصة K-Tendering.</t>
        </is>
      </c>
      <c r="F111" s="11" t="inlineStr">
        <is>
          <t>وفقاً لشروط وإجراءات المناقصات والتوريد لدى شركة البترول الوطنية الكويتية (KNPC) عبر منصة K-Tendering.</t>
        </is>
      </c>
      <c r="G111" s="12" t="inlineStr">
        <is>
          <t>عام</t>
        </is>
      </c>
      <c r="H111" s="12" t="inlineStr">
        <is>
          <t>15.0%</t>
        </is>
      </c>
      <c r="I111" s="12" t="inlineStr">
        <is>
          <t>oil_and_gas</t>
        </is>
      </c>
      <c r="J111" s="12" t="inlineStr">
        <is>
          <t>2026-08-30</t>
        </is>
      </c>
      <c r="K111" s="12" t="inlineStr">
        <is>
          <t>2026-12-07</t>
        </is>
      </c>
      <c r="L111" s="12" t="inlineStr">
        <is>
          <t>5000.0</t>
        </is>
      </c>
      <c r="M111" s="12" t="inlineStr">
        <is>
          <t>-</t>
        </is>
      </c>
      <c r="N111" s="25" t="inlineStr">
        <is>
          <t>NEW</t>
        </is>
      </c>
      <c r="O111" s="12" t="inlineStr">
        <is>
          <t>غير متوافقة</t>
        </is>
      </c>
      <c r="P111" s="23">
        <f>HYPERLINK("https://kuwaitalyawm.media.gov.kw/Online/ViewAdsHTML?id=168784&amp;no=1", "عرض المصدر")</f>
        <v/>
      </c>
    </row>
    <row r="112">
      <c r="A112" s="13" t="inlineStr">
        <is>
          <t>RFQ/2166412</t>
        </is>
      </c>
      <c r="B112" s="13" t="inlineStr">
        <is>
          <t>شركة البترول الوطنية الكويتية</t>
        </is>
      </c>
      <c r="C112" s="13" t="inlineStr">
        <is>
          <t>Abrar Al-Qallaf</t>
        </is>
      </c>
      <c r="D112" s="13" t="inlineStr">
        <is>
          <t>ممارسة رقم RFQ/2166412: توريد مواد ومهمات تشغيلية لزوم شركة البترول الوطنية الكويتية - شركة البترول الوطنية الكويتية</t>
        </is>
      </c>
      <c r="E112" s="13" t="inlineStr">
        <is>
          <t>أعمال وتوريدات تخصصية لزوم شركة البترول الوطنية الكويتية حسب وثائق الممارسة رقم RFQ/2166412 عبر منصة K-Tendering.</t>
        </is>
      </c>
      <c r="F112" s="13" t="inlineStr">
        <is>
          <t>وفقاً لشروط وإجراءات المناقصات والتوريد لدى شركة البترول الوطنية الكويتية (KNPC) عبر منصة K-Tendering.</t>
        </is>
      </c>
      <c r="G112" s="14" t="inlineStr">
        <is>
          <t>عام</t>
        </is>
      </c>
      <c r="H112" s="14" t="inlineStr">
        <is>
          <t>15.0%</t>
        </is>
      </c>
      <c r="I112" s="14" t="inlineStr">
        <is>
          <t>oil_and_gas</t>
        </is>
      </c>
      <c r="J112" s="14" t="inlineStr">
        <is>
          <t>2026-09-13</t>
        </is>
      </c>
      <c r="K112" s="14" t="inlineStr">
        <is>
          <t>2026-12-14</t>
        </is>
      </c>
      <c r="L112" s="14" t="inlineStr">
        <is>
          <t>15000.0</t>
        </is>
      </c>
      <c r="M112" s="14" t="inlineStr">
        <is>
          <t>-</t>
        </is>
      </c>
      <c r="N112" s="25" t="inlineStr">
        <is>
          <t>NEW</t>
        </is>
      </c>
      <c r="O112" s="14" t="inlineStr">
        <is>
          <t>غير متوافقة</t>
        </is>
      </c>
      <c r="P112" s="22">
        <f>HYPERLINK("https://kuwaitalyawm.media.gov.kw/Online/ViewAdsHTML?id=170531&amp;no=1", "عرض المصدر")</f>
        <v/>
      </c>
    </row>
    <row r="113">
      <c r="A113" s="11" t="inlineStr">
        <is>
          <t>RFQ/2163441</t>
        </is>
      </c>
      <c r="B113" s="11" t="inlineStr">
        <is>
          <t>شركة البترول الوطنية الكويتية</t>
        </is>
      </c>
      <c r="C113" s="11" t="inlineStr">
        <is>
          <t>Abrar Al-Qallaf</t>
        </is>
      </c>
      <c r="D113" s="11" t="inlineStr">
        <is>
          <t>ممارسة رقم RFQ/2163441: توريد مواد ومهمات تشغيلية لزوم شركة البترول الوطنية الكويتية - شركة البترول الوطنية الكويتية</t>
        </is>
      </c>
      <c r="E113" s="11" t="inlineStr">
        <is>
          <t>أعمال وتوريدات تخصصية لزوم شركة البترول الوطنية الكويتية حسب وثائق الممارسة رقم RFQ/2163441 عبر منصة K-Tendering.</t>
        </is>
      </c>
      <c r="F113" s="11" t="inlineStr">
        <is>
          <t>وفقاً لشروط وإجراءات المناقصات والتوريد لدى شركة البترول الوطنية الكويتية (KNPC) عبر منصة K-Tendering.</t>
        </is>
      </c>
      <c r="G113" s="12" t="inlineStr">
        <is>
          <t>عام</t>
        </is>
      </c>
      <c r="H113" s="12" t="inlineStr">
        <is>
          <t>15.0%</t>
        </is>
      </c>
      <c r="I113" s="12" t="inlineStr">
        <is>
          <t>oil_and_gas</t>
        </is>
      </c>
      <c r="J113" s="12" t="inlineStr">
        <is>
          <t>2026-09-13</t>
        </is>
      </c>
      <c r="K113" s="12" t="inlineStr">
        <is>
          <t>2026-12-14</t>
        </is>
      </c>
      <c r="L113" s="12" t="inlineStr">
        <is>
          <t>1000.0</t>
        </is>
      </c>
      <c r="M113" s="12" t="inlineStr">
        <is>
          <t>100.0</t>
        </is>
      </c>
      <c r="N113" s="25" t="inlineStr">
        <is>
          <t>NEW</t>
        </is>
      </c>
      <c r="O113" s="12" t="inlineStr">
        <is>
          <t>غير متوافقة</t>
        </is>
      </c>
      <c r="P113" s="23">
        <f>HYPERLINK("https://kuwaitalyawm.media.gov.kw/Online/ViewAdsHTML?id=170534&amp;no=1", "عرض المصدر")</f>
        <v/>
      </c>
    </row>
    <row r="114">
      <c r="A114" s="13" t="inlineStr">
        <is>
          <t>CA CPC 4780</t>
        </is>
      </c>
      <c r="B114" s="13" t="inlineStr">
        <is>
          <t>شركة البترول الوطنية الكويتية</t>
        </is>
      </c>
      <c r="C114" s="13" t="inlineStr">
        <is>
          <t>Abrar Al-Qallaf</t>
        </is>
      </c>
      <c r="D114" s="13" t="inlineStr">
        <is>
          <t>ممارسة رقم CA CPC 4780: توريد مواد ومهمات تشغيلية لزوم شركة البترول الوطنية الكويتية - شركة البترول الوطنية الكويتية</t>
        </is>
      </c>
      <c r="E114" s="13" t="inlineStr">
        <is>
          <t>أعمال وتوريدات تخصصية لزوم شركة البترول الوطنية الكويتية حسب وثائق الممارسة رقم CA CPC 4780 عبر منصة K-Tendering.</t>
        </is>
      </c>
      <c r="F114" s="13" t="inlineStr">
        <is>
          <t>وفقاً لشروط وإجراءات المناقصات والتوريد لدى شركة البترول الوطنية الكويتية (KNPC) عبر منصة K-Tendering.</t>
        </is>
      </c>
      <c r="G114" s="14" t="inlineStr">
        <is>
          <t>عام</t>
        </is>
      </c>
      <c r="H114" s="14" t="inlineStr">
        <is>
          <t>15.0%</t>
        </is>
      </c>
      <c r="I114" s="14" t="inlineStr">
        <is>
          <t>oil_and_gas</t>
        </is>
      </c>
      <c r="J114" s="14" t="inlineStr">
        <is>
          <t>2026-09-13</t>
        </is>
      </c>
      <c r="K114" s="14" t="inlineStr">
        <is>
          <t>2026-12-17</t>
        </is>
      </c>
      <c r="L114" s="14" t="inlineStr">
        <is>
          <t>50000.0</t>
        </is>
      </c>
      <c r="M114" s="14" t="inlineStr">
        <is>
          <t>500.0</t>
        </is>
      </c>
      <c r="N114" s="25" t="inlineStr">
        <is>
          <t>NEW</t>
        </is>
      </c>
      <c r="O114" s="14" t="inlineStr">
        <is>
          <t>غير متوافقة</t>
        </is>
      </c>
      <c r="P114" s="22">
        <f>HYPERLINK("https://kuwaitalyawm.media.gov.kw/Online/ViewAdsHTML?id=170511&amp;no=1", "عرض المصدر")</f>
        <v/>
      </c>
    </row>
    <row r="115">
      <c r="A115" s="11" t="inlineStr">
        <is>
          <t>RFQ 1060201</t>
        </is>
      </c>
      <c r="B115" s="11" t="inlineStr">
        <is>
          <t>شركة البترول الوطنية الكويتية</t>
        </is>
      </c>
      <c r="C115" s="11" t="inlineStr">
        <is>
          <t>Abrar Al-Qallaf</t>
        </is>
      </c>
      <c r="D115" s="11" t="inlineStr">
        <is>
          <t>ممارسة رقم RFQ 1060201: توريد مواد ومهمات تشغيلية لزوم شركة البترول الوطنية الكويتية - شركة البترول الوطنية الكويتية</t>
        </is>
      </c>
      <c r="E115" s="11" t="inlineStr">
        <is>
          <t>أعمال وتوريدات تخصصية لزوم شركة البترول الوطنية الكويتية حسب وثائق الممارسة رقم RFQ 1060201 عبر منصة K-Tendering.</t>
        </is>
      </c>
      <c r="F115" s="11" t="inlineStr">
        <is>
          <t>وفقاً لشروط وإجراءات المناقصات والتوريد لدى شركة البترول الوطنية الكويتية (KNPC) عبر منصة K-Tendering.</t>
        </is>
      </c>
      <c r="G115" s="12" t="inlineStr">
        <is>
          <t>عام</t>
        </is>
      </c>
      <c r="H115" s="12" t="inlineStr">
        <is>
          <t>15.0%</t>
        </is>
      </c>
      <c r="I115" s="12" t="inlineStr">
        <is>
          <t>oil_and_gas</t>
        </is>
      </c>
      <c r="J115" s="12" t="inlineStr">
        <is>
          <t>2026-09-13</t>
        </is>
      </c>
      <c r="K115" s="12" t="inlineStr">
        <is>
          <t>2026-12-17</t>
        </is>
      </c>
      <c r="L115" s="12" t="inlineStr">
        <is>
          <t>1000.0</t>
        </is>
      </c>
      <c r="M115" s="12" t="inlineStr">
        <is>
          <t>100.0</t>
        </is>
      </c>
      <c r="N115" s="25" t="inlineStr">
        <is>
          <t>NEW</t>
        </is>
      </c>
      <c r="O115" s="12" t="inlineStr">
        <is>
          <t>غير متوافقة</t>
        </is>
      </c>
      <c r="P115" s="23">
        <f>HYPERLINK("https://kuwaitalyawm.media.gov.kw/Online/ViewAdsHTML?id=170512&amp;no=1", "عرض المصدر")</f>
        <v/>
      </c>
    </row>
    <row r="116">
      <c r="A116" s="13" t="inlineStr">
        <is>
          <t>RFQ 1063791</t>
        </is>
      </c>
      <c r="B116" s="13" t="inlineStr">
        <is>
          <t>شركة البترول الوطنية الكويتية</t>
        </is>
      </c>
      <c r="C116" s="13" t="inlineStr">
        <is>
          <t>Abrar Al-Qallaf</t>
        </is>
      </c>
      <c r="D116" s="13" t="inlineStr">
        <is>
          <t>ممارسة رقم RFQ 1063791: توريد مواد ومهمات تشغيلية لزوم شركة البترول الوطنية الكويتية - شركة البترول الوطنية الكويتية</t>
        </is>
      </c>
      <c r="E116" s="13" t="inlineStr">
        <is>
          <t>أعمال وتوريدات تخصصية لزوم شركة البترول الوطنية الكويتية حسب وثائق الممارسة رقم RFQ 1063791 عبر منصة K-Tendering.</t>
        </is>
      </c>
      <c r="F116" s="13" t="inlineStr">
        <is>
          <t>وفقاً لشروط وإجراءات المناقصات والتوريد لدى شركة البترول الوطنية الكويتية (KNPC) عبر منصة K-Tendering.</t>
        </is>
      </c>
      <c r="G116" s="14" t="inlineStr">
        <is>
          <t>عام</t>
        </is>
      </c>
      <c r="H116" s="14" t="inlineStr">
        <is>
          <t>15.0%</t>
        </is>
      </c>
      <c r="I116" s="14" t="inlineStr">
        <is>
          <t>oil_and_gas</t>
        </is>
      </c>
      <c r="J116" s="14" t="inlineStr">
        <is>
          <t>2026-09-13</t>
        </is>
      </c>
      <c r="K116" s="14" t="inlineStr">
        <is>
          <t>2026-12-17</t>
        </is>
      </c>
      <c r="L116" s="14" t="inlineStr">
        <is>
          <t>1000.0</t>
        </is>
      </c>
      <c r="M116" s="14" t="inlineStr">
        <is>
          <t>100.0</t>
        </is>
      </c>
      <c r="N116" s="25" t="inlineStr">
        <is>
          <t>NEW</t>
        </is>
      </c>
      <c r="O116" s="14" t="inlineStr">
        <is>
          <t>غير متوافقة</t>
        </is>
      </c>
      <c r="P116" s="22">
        <f>HYPERLINK("https://kuwaitalyawm.media.gov.kw/Online/ViewAdsHTML?id=170513&amp;no=1", "عرض المصدر")</f>
        <v/>
      </c>
    </row>
    <row r="117">
      <c r="A117" s="11" t="inlineStr">
        <is>
          <t>RFQ/2167182</t>
        </is>
      </c>
      <c r="B117" s="11" t="inlineStr">
        <is>
          <t>شركة البترول الوطنية الكويتية</t>
        </is>
      </c>
      <c r="C117" s="11" t="inlineStr">
        <is>
          <t>Abrar Al-Qallaf</t>
        </is>
      </c>
      <c r="D117" s="11" t="inlineStr">
        <is>
          <t>ممارسة رقم RFQ/2167182: توريد مواد ومهمات تشغيلية لزوم شركة البترول الوطنية الكويتية - شركة البترول الوطنية الكويتية</t>
        </is>
      </c>
      <c r="E117" s="11" t="inlineStr">
        <is>
          <t>أعمال وتوريدات تخصصية لزوم شركة البترول الوطنية الكويتية حسب وثائق الممارسة رقم RFQ/2167182 عبر منصة K-Tendering.</t>
        </is>
      </c>
      <c r="F117" s="11" t="inlineStr">
        <is>
          <t>وفقاً لشروط وإجراءات المناقصات والتوريد لدى شركة البترول الوطنية الكويتية (KNPC) عبر منصة K-Tendering.</t>
        </is>
      </c>
      <c r="G117" s="12" t="inlineStr">
        <is>
          <t>عام</t>
        </is>
      </c>
      <c r="H117" s="12" t="inlineStr">
        <is>
          <t>15.0%</t>
        </is>
      </c>
      <c r="I117" s="12" t="inlineStr">
        <is>
          <t>oil_and_gas</t>
        </is>
      </c>
      <c r="J117" s="12" t="inlineStr">
        <is>
          <t>2026-09-13</t>
        </is>
      </c>
      <c r="K117" s="12" t="inlineStr">
        <is>
          <t>2026-12-21</t>
        </is>
      </c>
      <c r="L117" s="12" t="inlineStr">
        <is>
          <t>2500.0</t>
        </is>
      </c>
      <c r="M117" s="12" t="inlineStr">
        <is>
          <t>-</t>
        </is>
      </c>
      <c r="N117" s="25" t="inlineStr">
        <is>
          <t>NEW</t>
        </is>
      </c>
      <c r="O117" s="12" t="inlineStr">
        <is>
          <t>غير متوافقة</t>
        </is>
      </c>
      <c r="P117" s="23">
        <f>HYPERLINK("https://kuwaitalyawm.media.gov.kw/Online/ViewAdsHTML?id=170532&amp;no=1", "عرض المصدر")</f>
        <v/>
      </c>
    </row>
    <row r="118">
      <c r="A118" s="13" t="inlineStr">
        <is>
          <t>RFQ/2167044</t>
        </is>
      </c>
      <c r="B118" s="13" t="inlineStr">
        <is>
          <t>شركة البترول الوطنية الكويتية</t>
        </is>
      </c>
      <c r="C118" s="13" t="inlineStr">
        <is>
          <t>Abrar Al-Qallaf</t>
        </is>
      </c>
      <c r="D118" s="13" t="inlineStr">
        <is>
          <t>ممارسة رقم RFQ/2167044: توريد مواد ومهمات تشغيلية لزوم شركة البترول الوطنية الكويتية - شركة البترول الوطنية الكويتية</t>
        </is>
      </c>
      <c r="E118" s="13" t="inlineStr">
        <is>
          <t>أعمال وتوريدات تخصصية لزوم شركة البترول الوطنية الكويتية حسب وثائق الممارسة رقم RFQ/2167044 عبر منصة K-Tendering.</t>
        </is>
      </c>
      <c r="F118" s="13" t="inlineStr">
        <is>
          <t>وفقاً لشروط وإجراءات المناقصات والتوريد لدى شركة البترول الوطنية الكويتية (KNPC) عبر منصة K-Tendering.</t>
        </is>
      </c>
      <c r="G118" s="14" t="inlineStr">
        <is>
          <t>عام</t>
        </is>
      </c>
      <c r="H118" s="14" t="inlineStr">
        <is>
          <t>15.0%</t>
        </is>
      </c>
      <c r="I118" s="14" t="inlineStr">
        <is>
          <t>oil_and_gas</t>
        </is>
      </c>
      <c r="J118" s="14" t="inlineStr">
        <is>
          <t>2026-09-13</t>
        </is>
      </c>
      <c r="K118" s="14" t="inlineStr">
        <is>
          <t>2026-12-21</t>
        </is>
      </c>
      <c r="L118" s="14" t="inlineStr">
        <is>
          <t>1000.0</t>
        </is>
      </c>
      <c r="M118" s="14" t="inlineStr">
        <is>
          <t>100.0</t>
        </is>
      </c>
      <c r="N118" s="25" t="inlineStr">
        <is>
          <t>NEW</t>
        </is>
      </c>
      <c r="O118" s="14" t="inlineStr">
        <is>
          <t>غير متوافقة</t>
        </is>
      </c>
      <c r="P118" s="22">
        <f>HYPERLINK("https://kuwaitalyawm.media.gov.kw/Online/ViewAdsHTML?id=170533&amp;no=1", "عرض المصدر")</f>
        <v/>
      </c>
    </row>
    <row r="119">
      <c r="A119" s="11" t="inlineStr">
        <is>
          <t>RFP-2162140</t>
        </is>
      </c>
      <c r="B119" s="11" t="inlineStr">
        <is>
          <t>شركة البترول الوطنية الكويتية</t>
        </is>
      </c>
      <c r="C119" s="11" t="inlineStr">
        <is>
          <t>Abrar Al-Qallaf</t>
        </is>
      </c>
      <c r="D119" s="11" t="inlineStr">
        <is>
          <t>ممارسة رقم RFP-2162140: توريد مواد ومهمات تشغيلية لزوم شركة البترول الوطنية الكويتية - شركة البترول الوطنية الكويتية</t>
        </is>
      </c>
      <c r="E119" s="11" t="inlineStr">
        <is>
          <t>أعمال وتوريدات تخصصية لزوم شركة البترول الوطنية الكويتية حسب وثائق الممارسة رقم RFP-2162140 عبر منصة K-Tendering.</t>
        </is>
      </c>
      <c r="F119" s="11" t="inlineStr">
        <is>
          <t>وفقاً لشروط وإجراءات المناقصات والتوريد لدى شركة البترول الوطنية الكويتية (KNPC) عبر منصة K-Tendering.</t>
        </is>
      </c>
      <c r="G119" s="12" t="inlineStr">
        <is>
          <t>عام</t>
        </is>
      </c>
      <c r="H119" s="12" t="inlineStr">
        <is>
          <t>15.0%</t>
        </is>
      </c>
      <c r="I119" s="12" t="inlineStr">
        <is>
          <t>oil_and_gas</t>
        </is>
      </c>
      <c r="J119" s="12" t="inlineStr">
        <is>
          <t>2026-09-27</t>
        </is>
      </c>
      <c r="K119" s="12" t="inlineStr">
        <is>
          <t>2026-12-22</t>
        </is>
      </c>
      <c r="L119" s="12" t="inlineStr">
        <is>
          <t>170000.000 KWD</t>
        </is>
      </c>
      <c r="M119" s="12" t="inlineStr">
        <is>
          <t>3500.000 KWD</t>
        </is>
      </c>
      <c r="N119" s="26" t="inlineStr">
        <is>
          <t>UNCHANGED</t>
        </is>
      </c>
      <c r="O119" s="12" t="inlineStr">
        <is>
          <t>غير متوافقة</t>
        </is>
      </c>
      <c r="P119" s="23">
        <f>HYPERLINK("https://capt.gov.kw/ar/tenders/opening-tenders/#card-2", "عرض المصدر")</f>
        <v/>
      </c>
    </row>
    <row r="120">
      <c r="A120" s="13" t="inlineStr">
        <is>
          <t>RFQ/2167277</t>
        </is>
      </c>
      <c r="B120" s="13" t="inlineStr">
        <is>
          <t>شركة البترول الوطنية الكويتية</t>
        </is>
      </c>
      <c r="C120" s="13" t="inlineStr">
        <is>
          <t>Abrar Al-Qallaf</t>
        </is>
      </c>
      <c r="D120" s="13" t="inlineStr">
        <is>
          <t>ممارسة رقم RFQ/2167277: توريد مواد ومهمات تشغيلية لزوم شركة البترول الوطنية الكويتية - شركة البترول الوطنية الكويتية</t>
        </is>
      </c>
      <c r="E120" s="13" t="inlineStr">
        <is>
          <t>أعمال وتوريدات تخصصية لزوم شركة البترول الوطنية الكويتية حسب وثائق الممارسة رقم RFQ/2167277 عبر منصة K-Tendering.</t>
        </is>
      </c>
      <c r="F120" s="13" t="inlineStr">
        <is>
          <t>وفقاً لشروط وإجراءات المناقصات والتوريد لدى شركة البترول الوطنية الكويتية (KNPC) عبر منصة K-Tendering.</t>
        </is>
      </c>
      <c r="G120" s="14" t="inlineStr">
        <is>
          <t>عام</t>
        </is>
      </c>
      <c r="H120" s="14" t="inlineStr">
        <is>
          <t>15.0%</t>
        </is>
      </c>
      <c r="I120" s="14" t="inlineStr">
        <is>
          <t>oil_and_gas</t>
        </is>
      </c>
      <c r="J120" s="14" t="inlineStr">
        <is>
          <t>2026-09-27</t>
        </is>
      </c>
      <c r="K120" s="14" t="inlineStr">
        <is>
          <t>2026-12-28</t>
        </is>
      </c>
      <c r="L120" s="14" t="inlineStr">
        <is>
          <t>1000.0</t>
        </is>
      </c>
      <c r="M120" s="14" t="inlineStr">
        <is>
          <t>100.0</t>
        </is>
      </c>
      <c r="N120" s="25" t="inlineStr">
        <is>
          <t>NEW</t>
        </is>
      </c>
      <c r="O120" s="14" t="inlineStr">
        <is>
          <t>غير متوافقة</t>
        </is>
      </c>
      <c r="P120" s="22">
        <f>HYPERLINK("https://kuwaitalyawm.media.gov.kw/Online/ViewAdsHTML?id=171744&amp;no=1", "عرض المصدر")</f>
        <v/>
      </c>
    </row>
    <row r="121">
      <c r="A121" s="11" t="inlineStr">
        <is>
          <t>RFP-2163056</t>
        </is>
      </c>
      <c r="B121" s="11" t="inlineStr">
        <is>
          <t>شركة البترول الوطنية الكويتية</t>
        </is>
      </c>
      <c r="C121" s="11" t="inlineStr">
        <is>
          <t>Abrar Al-Qallaf</t>
        </is>
      </c>
      <c r="D121" s="11" t="inlineStr">
        <is>
          <t>ممارسة رقم RFP-2163056: توريد مواد ومهمات تشغيلية لزوم شركة البترول الوطنية الكويتية - شركة البترول الوطنية الكويتية</t>
        </is>
      </c>
      <c r="E121" s="11" t="inlineStr">
        <is>
          <t>أعمال وتوريدات تخصصية لزوم شركة البترول الوطنية الكويتية حسب وثائق الممارسة رقم RFP-2163056 عبر منصة K-Tendering.</t>
        </is>
      </c>
      <c r="F121" s="11" t="inlineStr">
        <is>
          <t>وفقاً لشروط وإجراءات المناقصات والتوريد لدى شركة البترول الوطنية الكويتية (KNPC) عبر منصة K-Tendering.</t>
        </is>
      </c>
      <c r="G121" s="12" t="inlineStr">
        <is>
          <t>عام</t>
        </is>
      </c>
      <c r="H121" s="12" t="inlineStr">
        <is>
          <t>15.0%</t>
        </is>
      </c>
      <c r="I121" s="12" t="inlineStr">
        <is>
          <t>oil_and_gas</t>
        </is>
      </c>
      <c r="J121" s="12" t="inlineStr">
        <is>
          <t>2026-10-11</t>
        </is>
      </c>
      <c r="K121" s="12" t="inlineStr">
        <is>
          <t>2027-01-05</t>
        </is>
      </c>
      <c r="L121" s="12" t="inlineStr">
        <is>
          <t>170000.000 KWD</t>
        </is>
      </c>
      <c r="M121" s="12" t="inlineStr">
        <is>
          <t>3500.000 KWD</t>
        </is>
      </c>
      <c r="N121" s="26" t="inlineStr">
        <is>
          <t>UNCHANGED</t>
        </is>
      </c>
      <c r="O121" s="12" t="inlineStr">
        <is>
          <t>غير متوافقة</t>
        </is>
      </c>
      <c r="P121" s="23">
        <f>HYPERLINK("https://capt.gov.kw/ar/tenders/opening-tenders/#card-2", "عرض المصدر")</f>
        <v/>
      </c>
    </row>
    <row r="122">
      <c r="A122" s="13" t="inlineStr">
        <is>
          <t>RFP-2159865</t>
        </is>
      </c>
      <c r="B122" s="13" t="inlineStr">
        <is>
          <t>شركة البترول الوطنية الكويتية</t>
        </is>
      </c>
      <c r="C122" s="13" t="inlineStr">
        <is>
          <t>Abrar Al-Qallaf</t>
        </is>
      </c>
      <c r="D122" s="13" t="inlineStr">
        <is>
          <t>ممارسة رقم RFP-2159865: توريد مواد ومهمات تشغيلية لزوم شركة البترول الوطنية الكويتية - شركة البترول الوطنية الكويتية</t>
        </is>
      </c>
      <c r="E122" s="13" t="inlineStr">
        <is>
          <t>أعمال وتوريدات تخصصية لزوم شركة البترول الوطنية الكويتية حسب وثائق الممارسة رقم RFP-2159865 عبر منصة K-Tendering.</t>
        </is>
      </c>
      <c r="F122" s="13" t="inlineStr">
        <is>
          <t>وفقاً لشروط وإجراءات المناقصات والتوريد لدى شركة البترول الوطنية الكويتية (KNPC) عبر منصة K-Tendering.</t>
        </is>
      </c>
      <c r="G122" s="14" t="inlineStr">
        <is>
          <t>عام</t>
        </is>
      </c>
      <c r="H122" s="14" t="inlineStr">
        <is>
          <t>15.0%</t>
        </is>
      </c>
      <c r="I122" s="14" t="inlineStr">
        <is>
          <t>oil_and_gas</t>
        </is>
      </c>
      <c r="J122" s="14" t="inlineStr">
        <is>
          <t>2026-10-11</t>
        </is>
      </c>
      <c r="K122" s="14" t="inlineStr">
        <is>
          <t>2027-01-05</t>
        </is>
      </c>
      <c r="L122" s="14" t="inlineStr">
        <is>
          <t>220000.000 KWD</t>
        </is>
      </c>
      <c r="M122" s="14" t="inlineStr">
        <is>
          <t>3500.000 KWD</t>
        </is>
      </c>
      <c r="N122" s="26" t="inlineStr">
        <is>
          <t>UNCHANGED</t>
        </is>
      </c>
      <c r="O122" s="14" t="inlineStr">
        <is>
          <t>غير متوافقة</t>
        </is>
      </c>
      <c r="P122" s="22">
        <f>HYPERLINK("https://capt.gov.kw/ar/tenders/opening-tenders/#card-1", "عرض المصدر")</f>
        <v/>
      </c>
    </row>
    <row r="123">
      <c r="A123" s="11" t="inlineStr">
        <is>
          <t>MNA-19-2026</t>
        </is>
      </c>
      <c r="B123" s="11" t="inlineStr">
        <is>
          <t>شركة صناعة الكيماويات البترولية</t>
        </is>
      </c>
      <c r="C123" s="11" t="inlineStr">
        <is>
          <t>Abrar Al-Qallaf</t>
        </is>
      </c>
      <c r="D123" s="11" t="inlineStr">
        <is>
          <t>مناقصة رقم MNA-19-2026: Network Maintenance and Managed Network Support Services (صيانة الشبكات والدعم المدار) - شركة صناعة الكيماويات البترولية</t>
        </is>
      </c>
      <c r="E123" s="11" t="inlineStr">
        <is>
          <t>تقديم خدمات صيانة الشبكات والدعم الفني المدار (Managed Network Support Services)، دعم وإدارة أجهزة وسويتشات سيسكو (Cisco Switches &amp; Routers)، أجهزة أمن وحماية الشبكات، ودعم فني مدار على مدار الساعة 24x7 لشركة PIC.</t>
        </is>
      </c>
      <c r="F123" s="11" t="inlineStr">
        <is>
          <t>• The Bidder MUST hold valid certifications covering:
  - Cisco Managed Services Providers Certificate
  - Cisco Preferred Networking Partner Certificate
  - Cisco Preferred Security Partner Certificate
  - Cisco Collaboration Partner Certificate
• Must be an established Kuwaiti Company with local offices and local staff.
• Must have at least five (5) years of experience in providing Managed Services.
• Must be Certified ISO 20000 IT Service Management (ITSM).
• The Managed Services Centers must be ISO 27001 and ISO 27017 certified.
• Must be ISO 22301 (Business Continuity Management) certified.
• Must have at least 2 similar Managed Services projects in Kuwait (min KWD 100,000 each past 10 years).
• All submitted Cisco certificates must have minimum validity of 6 months.
• موعد إقفال المناقصة: 06/10/2026 الساعة 01:00 ظهراً عبر منصة K-Tendering.
• تأمين أولي: 15,000 د.ك صالح لمدة 90 يوماً | رسوم الوثيقة: 500 د.ك.</t>
        </is>
      </c>
      <c r="G123" s="24" t="inlineStr">
        <is>
          <t>قطاع العمليات المدارة والدعم الفني متعدد الموردين</t>
        </is>
      </c>
      <c r="H123" s="12" t="inlineStr">
        <is>
          <t>95.0%</t>
        </is>
      </c>
      <c r="I123" s="12" t="inlineStr">
        <is>
          <t>oil_and_gas</t>
        </is>
      </c>
      <c r="J123" s="12" t="inlineStr">
        <is>
          <t>2026-09-06</t>
        </is>
      </c>
      <c r="K123" s="12" t="inlineStr">
        <is>
          <t>2026-10-06</t>
        </is>
      </c>
      <c r="L123" s="12" t="inlineStr">
        <is>
          <t>15000.0</t>
        </is>
      </c>
      <c r="M123" s="12" t="inlineStr">
        <is>
          <t>-</t>
        </is>
      </c>
      <c r="N123" s="25" t="inlineStr">
        <is>
          <t>NEW</t>
        </is>
      </c>
      <c r="O123" s="12" t="inlineStr">
        <is>
          <t>موصى بالتقديم</t>
        </is>
      </c>
      <c r="P123" s="23">
        <f>HYPERLINK("https://kuwaitalyawm.media.gov.kw/Online/ViewAdsHTML?id=169424&amp;no=1", "عرض المصدر")</f>
        <v/>
      </c>
    </row>
    <row r="124">
      <c r="A124" s="13" t="inlineStr">
        <is>
          <t>MNA-24-2026</t>
        </is>
      </c>
      <c r="B124" s="13" t="inlineStr">
        <is>
          <t>شركة صناعة الكيماويات البترولية</t>
        </is>
      </c>
      <c r="C124" s="13" t="inlineStr">
        <is>
          <t>Abrar Al-Qallaf</t>
        </is>
      </c>
      <c r="D124" s="13" t="inlineStr">
        <is>
          <t>مناقصة رقم MNA-24-2026: IBM Maximo Application Suite (MAS) MAS-IT (ICD) License Renewal and Support Services - شركة صناعة الكيماويات البترولية</t>
        </is>
      </c>
      <c r="E124" s="13" t="inlineStr">
        <is>
          <t>تجديد تراخيص ودعم برمجيات IBM Maximo Application Suite (MAS) و MAS-IT (نظام إدارة خدمات تكنولوجيا المعلومات سابقاً ICD) لشركة PIC لضمان استمرارية الأعمال ودعم مبادرات التحول الرقمي والذكاء الاصطناعي وتحديث العمليات.</t>
        </is>
      </c>
      <c r="F124" s="13" t="inlineStr">
        <is>
          <t>• The bidder must be an authorized IBM partner/reseller in Kuwait as per IBM online partner directory under VAR/Reseller/Solution Provider category.
• Official partnership letter should be provided (failing to meet these qualifications will lead to disqualification).
• موعد إقفال المناقصة: 06/10/2026 الساعة 01:00 ظهراً عبر منصة K-Tendering.
• تأمين أولي: 15,000 د.ك صالح لمدة 90 يوماً | رسوم الوثيقة: 500 د.ك.
• موعد الاجتماع التمهيدي الافتراضي: 14/09/2026 الساعة 10:00 صباحاً.</t>
        </is>
      </c>
      <c r="G124" s="24" t="inlineStr">
        <is>
          <t>قطاع برمجيات IBM وحلول الذكاء الاصطناعي وRed Hat</t>
        </is>
      </c>
      <c r="H124" s="14" t="inlineStr">
        <is>
          <t>95.0%</t>
        </is>
      </c>
      <c r="I124" s="14" t="inlineStr">
        <is>
          <t>oil_and_gas</t>
        </is>
      </c>
      <c r="J124" s="14" t="inlineStr">
        <is>
          <t>2026-09-06</t>
        </is>
      </c>
      <c r="K124" s="14" t="inlineStr">
        <is>
          <t>2026-10-06</t>
        </is>
      </c>
      <c r="L124" s="14" t="inlineStr">
        <is>
          <t>15000.0</t>
        </is>
      </c>
      <c r="M124" s="14" t="inlineStr">
        <is>
          <t>-</t>
        </is>
      </c>
      <c r="N124" s="25" t="inlineStr">
        <is>
          <t>NEW</t>
        </is>
      </c>
      <c r="O124" s="14" t="inlineStr">
        <is>
          <t>موصى بالتقديم</t>
        </is>
      </c>
      <c r="P124" s="22">
        <f>HYPERLINK("https://kuwaitalyawm.media.gov.kw/Online/ViewAdsHTML?id=169425&amp;no=1", "عرض المصدر")</f>
        <v/>
      </c>
    </row>
    <row r="125">
      <c r="A125" s="11" t="inlineStr">
        <is>
          <t>MNA-14-2026</t>
        </is>
      </c>
      <c r="B125" s="11" t="inlineStr">
        <is>
          <t>شركة صناعة الكيماويات البترولية</t>
        </is>
      </c>
      <c r="C125" s="11" t="inlineStr">
        <is>
          <t>Abrar Al-Qallaf</t>
        </is>
      </c>
      <c r="D125" s="11" t="inlineStr">
        <is>
          <t>مناقصة رقم MNA-14-2026 - شركة صناعة الكيماويات البترولية</t>
        </is>
      </c>
      <c r="E125" s="11" t="inlineStr">
        <is>
          <t>أعمال وتوريدات مناقصة رقم MNA-14-2026 لصالح شركة صناعة الكيماويات البترولية وفقاً للشروط والمواصفات المعتمدة في وثائق الطرح.</t>
        </is>
      </c>
      <c r="F12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25" s="12" t="inlineStr">
        <is>
          <t>عام</t>
        </is>
      </c>
      <c r="H125" s="12" t="inlineStr">
        <is>
          <t>15.0%</t>
        </is>
      </c>
      <c r="I125" s="12" t="inlineStr">
        <is>
          <t>government</t>
        </is>
      </c>
      <c r="J125" s="12" t="inlineStr">
        <is>
          <t>2026-09-06</t>
        </is>
      </c>
      <c r="K125" s="12" t="inlineStr">
        <is>
          <t>2026-10-11</t>
        </is>
      </c>
      <c r="L125" s="12" t="inlineStr">
        <is>
          <t>750.0</t>
        </is>
      </c>
      <c r="M125" s="12" t="inlineStr">
        <is>
          <t>-</t>
        </is>
      </c>
      <c r="N125" s="25" t="inlineStr">
        <is>
          <t>NEW</t>
        </is>
      </c>
      <c r="O125" s="12" t="inlineStr">
        <is>
          <t>غير متوافقة مع اختصاصات KBM</t>
        </is>
      </c>
      <c r="P125" s="23">
        <f>HYPERLINK("https://kuwaitalyawm.media.gov.kw/Online/ViewAdsHTML?id=169423&amp;no=1", "عرض المصدر")</f>
        <v/>
      </c>
    </row>
    <row r="126">
      <c r="A126" s="13" t="inlineStr">
        <is>
          <t>2026/4</t>
        </is>
      </c>
      <c r="B126" s="13" t="inlineStr">
        <is>
          <t>شركة ناقلات النفط الكويتية</t>
        </is>
      </c>
      <c r="C126" s="13" t="inlineStr">
        <is>
          <t>Ahmed Habib</t>
        </is>
      </c>
      <c r="D126" s="13" t="inlineStr">
        <is>
          <t>مناقصة رقم 2026/4: إعلان طرح المناقصة الخاصة بتقديم خدمات النظافة والمناولة لشركة ناقلات النفط الكويتية</t>
        </is>
      </c>
      <c r="E126" s="13" t="inlineStr">
        <is>
          <t>توفير خدمات وأعمال النظافة العامة والشاملة للمباني والمرافق وتوفير العمالة والمعدات والمستهلكات اللازمة.</t>
        </is>
      </c>
      <c r="F12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26" s="14" t="inlineStr">
        <is>
          <t>عام</t>
        </is>
      </c>
      <c r="H126" s="14" t="inlineStr">
        <is>
          <t>0.0%</t>
        </is>
      </c>
      <c r="I126" s="14" t="inlineStr">
        <is>
          <t>government</t>
        </is>
      </c>
      <c r="J126" s="14" t="inlineStr">
        <is>
          <t>2026-08-30</t>
        </is>
      </c>
      <c r="K126" s="14" t="inlineStr">
        <is>
          <t>2026-10-13</t>
        </is>
      </c>
      <c r="L126" s="14" t="inlineStr">
        <is>
          <t>15000.0</t>
        </is>
      </c>
      <c r="M126" s="14" t="inlineStr">
        <is>
          <t>-</t>
        </is>
      </c>
      <c r="N126" s="25" t="inlineStr">
        <is>
          <t>NEW</t>
        </is>
      </c>
      <c r="O126" s="14" t="inlineStr">
        <is>
          <t>غير متوافقة مع اختصاصات KBM</t>
        </is>
      </c>
      <c r="P126" s="22">
        <f>HYPERLINK("https://kuwaitalyawm.media.gov.kw/Online/ViewAdsHTML?id=168772&amp;no=1", "عرض المصدر")</f>
        <v/>
      </c>
    </row>
    <row r="127">
      <c r="A127" s="11" t="inlineStr">
        <is>
          <t>2026/1</t>
        </is>
      </c>
      <c r="B127" s="11" t="inlineStr">
        <is>
          <t>شركة ناقلات النفط الكويتية</t>
        </is>
      </c>
      <c r="C127" s="11" t="inlineStr">
        <is>
          <t>Ahmed Habib</t>
        </is>
      </c>
      <c r="D127" s="11" t="inlineStr">
        <is>
          <t>مناقصة رقم 2026/1: إعلان طرح المناقصة الخاصة بتقديم خدمات الانترنت</t>
        </is>
      </c>
      <c r="E127" s="11" t="inlineStr">
        <is>
          <t>أعمال وتوريدات إعلان طرح المناقصة الخاصة بتقديم خدمات الانترنت لصالح شركة ناقلات النفط الكويتية وفقاً للشروط والمواصفات المعتمدة في وثائق الطرح.</t>
        </is>
      </c>
      <c r="F12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27" s="12" t="inlineStr">
        <is>
          <t>عام</t>
        </is>
      </c>
      <c r="H127" s="12" t="inlineStr">
        <is>
          <t>0.0%</t>
        </is>
      </c>
      <c r="I127" s="12" t="inlineStr">
        <is>
          <t>government</t>
        </is>
      </c>
      <c r="J127" s="12" t="inlineStr">
        <is>
          <t>2026-09-13</t>
        </is>
      </c>
      <c r="K127" s="18" t="inlineStr">
        <is>
          <t>2026-10-20</t>
        </is>
      </c>
      <c r="L127" s="12" t="inlineStr">
        <is>
          <t>2500.0</t>
        </is>
      </c>
      <c r="M127" s="12" t="inlineStr">
        <is>
          <t>100.0</t>
        </is>
      </c>
      <c r="N127" s="25" t="inlineStr">
        <is>
          <t>NEW</t>
        </is>
      </c>
      <c r="O127" s="12" t="inlineStr">
        <is>
          <t>غير متوافقة مع اختصاصات KBM</t>
        </is>
      </c>
      <c r="P127" s="23">
        <f>HYPERLINK("https://kuwaitalyawm.media.gov.kw/Online/ViewAdsHTML?id=170514&amp;no=1", "عرض المصدر")</f>
        <v/>
      </c>
    </row>
    <row r="128">
      <c r="A128" s="13" t="inlineStr">
        <is>
          <t>CATEGORY KS 01.21</t>
        </is>
      </c>
      <c r="B128" s="13" t="inlineStr">
        <is>
          <t>شركة نفط الكويت</t>
        </is>
      </c>
      <c r="C128" s="13" t="inlineStr">
        <is>
          <t>Ahmed Habib</t>
        </is>
      </c>
      <c r="D128" s="13" t="inlineStr">
        <is>
          <t>مناقصة رقم CATEGORY KS 01.21 - شركة نفط الكويت</t>
        </is>
      </c>
      <c r="E128" s="13" t="inlineStr">
        <is>
          <t>أعمال وتوريدات مناقصة رقم CATEGORY KS 01.21 لصالح شركة نفط الكويت وفقاً للشروط والمواصفات المعتمدة في وثائق الطرح.</t>
        </is>
      </c>
      <c r="F12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28" s="14" t="inlineStr">
        <is>
          <t>عام</t>
        </is>
      </c>
      <c r="H128" s="14" t="inlineStr">
        <is>
          <t>15.0%</t>
        </is>
      </c>
      <c r="I128" s="14" t="inlineStr">
        <is>
          <t>government</t>
        </is>
      </c>
      <c r="J128" s="14" t="inlineStr">
        <is>
          <t>2026-09-13</t>
        </is>
      </c>
      <c r="K128" s="14" t="inlineStr">
        <is>
          <t>-</t>
        </is>
      </c>
      <c r="L128" s="14" t="inlineStr">
        <is>
          <t>-</t>
        </is>
      </c>
      <c r="M128" s="14" t="inlineStr">
        <is>
          <t>-</t>
        </is>
      </c>
      <c r="N128" s="25" t="inlineStr">
        <is>
          <t>NEW</t>
        </is>
      </c>
      <c r="O128" s="14" t="inlineStr">
        <is>
          <t>غير متوافقة مع اختصاصات KBM</t>
        </is>
      </c>
      <c r="P128" s="22">
        <f>HYPERLINK("https://kuwaitalyawm.media.gov.kw/Online/ViewAdsHTML?id=170537&amp;no=1", "عرض المصدر")</f>
        <v/>
      </c>
    </row>
    <row r="129">
      <c r="A129" s="11" t="inlineStr">
        <is>
          <t>P&amp;MAB-04/2025</t>
        </is>
      </c>
      <c r="B129" s="11" t="inlineStr">
        <is>
          <t>شركة نفط الكويت</t>
        </is>
      </c>
      <c r="C129" s="11" t="inlineStr">
        <is>
          <t>Ahmed Habib</t>
        </is>
      </c>
      <c r="D129" s="11" t="inlineStr">
        <is>
          <t>ممارسة رقم P&amp;MAB-04/2025: ممارسة التصميم والإشراف على مشروع أرض مساحتها</t>
        </is>
      </c>
      <c r="E129" s="11" t="inlineStr">
        <is>
          <t>أعمال وتوريدات ممارسة رقم P&amp;MAB-04/2025: ممارسة التصميم والإشراف على مشروع أرض مساحتها لصالح شركة ناقلات النفط الكويتية وفقاً للشروط والمواصفات المعتمدة في وثائق الطرح.</t>
        </is>
      </c>
      <c r="F129" s="11" t="inlineStr">
        <is>
          <t>وفقاً لشروط وإجراءات المناقصات والتوريد لدى شركة البترول الوطنية الكويتية (KNPC)</t>
        </is>
      </c>
      <c r="G129" s="12" t="inlineStr">
        <is>
          <t>عام</t>
        </is>
      </c>
      <c r="H129" s="12" t="inlineStr">
        <is>
          <t>15.0%</t>
        </is>
      </c>
      <c r="I129" s="12" t="inlineStr">
        <is>
          <t>oil_and_gas</t>
        </is>
      </c>
      <c r="J129" s="12" t="inlineStr">
        <is>
          <t>2026-09-27</t>
        </is>
      </c>
      <c r="K129" s="12" t="inlineStr">
        <is>
          <t>2026-11-03</t>
        </is>
      </c>
      <c r="L129" s="12" t="inlineStr">
        <is>
          <t>2500.0 KWD</t>
        </is>
      </c>
      <c r="M129" s="12" t="inlineStr">
        <is>
          <t>-</t>
        </is>
      </c>
      <c r="N129" s="21" t="inlineStr">
        <is>
          <t>UPDATED</t>
        </is>
      </c>
      <c r="O129" s="12" t="inlineStr">
        <is>
          <t>غير متوافقة مع اختصاصات KBM</t>
        </is>
      </c>
      <c r="P129" s="23">
        <f>HYPERLINK("https://kuwaitalyawm.media.gov.kw/flip/index?id=5599&amp;no=227", "عرض المصدر")</f>
        <v/>
      </c>
    </row>
    <row r="130">
      <c r="A130" s="13" t="inlineStr">
        <is>
          <t>2147428</t>
        </is>
      </c>
      <c r="B130" s="13" t="inlineStr">
        <is>
          <t>شركة نفط الكويت</t>
        </is>
      </c>
      <c r="C130" s="13" t="inlineStr">
        <is>
          <t>Ahmed Habib</t>
        </is>
      </c>
      <c r="D130" s="13" t="inlineStr">
        <is>
          <t>تقديم خدمات الامن السيبراني المدارة</t>
        </is>
      </c>
      <c r="E130" s="13" t="inlineStr">
        <is>
          <t>أعمال وتوريدات تقديم خدمات الامن السيبراني المدارة لصالح شركة نفط الكويت وفقاً للشروط والمواصفات المعتمدة في وثائق الطرح.</t>
        </is>
      </c>
      <c r="F13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30" s="14" t="inlineStr">
        <is>
          <t>قطاع الأمن السيبراني والدفاع الرقمي</t>
        </is>
      </c>
      <c r="H130" s="14" t="inlineStr">
        <is>
          <t>47.0%</t>
        </is>
      </c>
      <c r="I130" s="14" t="inlineStr">
        <is>
          <t>oil_and_gas</t>
        </is>
      </c>
      <c r="J130" s="14" t="inlineStr">
        <is>
          <t>2026-08-23</t>
        </is>
      </c>
      <c r="K130" s="14" t="inlineStr">
        <is>
          <t>2026-11-17</t>
        </is>
      </c>
      <c r="L130" s="14" t="inlineStr">
        <is>
          <t>220000.000 KWD</t>
        </is>
      </c>
      <c r="M130" s="14" t="inlineStr">
        <is>
          <t>3500.000 KWD</t>
        </is>
      </c>
      <c r="N130" s="25" t="inlineStr">
        <is>
          <t>NEW</t>
        </is>
      </c>
      <c r="O130" s="14" t="inlineStr">
        <is>
          <t>فرصة تتطلب شراكة أو دراسة نطاق</t>
        </is>
      </c>
      <c r="P130" s="22">
        <f>HYPERLINK("https://capt.gov.kw/ar/tenders/opening-tenders/#card-9", "عرض المصدر")</f>
        <v/>
      </c>
    </row>
    <row r="131">
      <c r="A131" s="11" t="inlineStr">
        <is>
          <t>2026/504</t>
        </is>
      </c>
      <c r="B131" s="11" t="inlineStr">
        <is>
          <t>مؤسسة البترول الكويتية</t>
        </is>
      </c>
      <c r="C131" s="11" t="inlineStr">
        <is>
          <t>Eiman Ashkanani</t>
        </is>
      </c>
      <c r="D131" s="11" t="inlineStr">
        <is>
          <t>مناقصة رقم 2026/504: توريد مواد تموينية غذائية</t>
        </is>
      </c>
      <c r="E131" s="11" t="inlineStr">
        <is>
          <t>أعمال وتوريدات توريد مواد تموينية غذائية لصالح مؤسسة البترول الكويتية وفقاً للشروط والمواصفات المعتمدة في وثائق الطرح.</t>
        </is>
      </c>
      <c r="F13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31" s="12" t="inlineStr">
        <is>
          <t>عام</t>
        </is>
      </c>
      <c r="H131" s="12" t="inlineStr">
        <is>
          <t>0.0%</t>
        </is>
      </c>
      <c r="I131" s="12" t="inlineStr">
        <is>
          <t>government</t>
        </is>
      </c>
      <c r="J131" s="12" t="inlineStr">
        <is>
          <t>2026-08-30</t>
        </is>
      </c>
      <c r="K131" s="12" t="inlineStr">
        <is>
          <t>-</t>
        </is>
      </c>
      <c r="L131" s="12" t="inlineStr">
        <is>
          <t>-</t>
        </is>
      </c>
      <c r="M131" s="12" t="inlineStr">
        <is>
          <t>-</t>
        </is>
      </c>
      <c r="N131" s="25" t="inlineStr">
        <is>
          <t>NEW</t>
        </is>
      </c>
      <c r="O131" s="12" t="inlineStr">
        <is>
          <t>غير متوافقة مع اختصاصات KBM</t>
        </is>
      </c>
      <c r="P131" s="23">
        <f>HYPERLINK("https://kuwaitalyawm.media.gov.kw/Online/ViewAdsHTML?id=168747&amp;no=1", "عرض المصدر")</f>
        <v/>
      </c>
    </row>
    <row r="132">
      <c r="A132" s="13" t="inlineStr">
        <is>
          <t>507</t>
        </is>
      </c>
      <c r="B132" s="13" t="inlineStr">
        <is>
          <t>مؤسسة البترول الكويتية</t>
        </is>
      </c>
      <c r="C132" s="13" t="inlineStr">
        <is>
          <t>Eiman Ashkanani</t>
        </is>
      </c>
      <c r="D132" s="13" t="inlineStr">
        <is>
          <t>مناقصة رقم 507: استئجار آلات تصوير مستندات</t>
        </is>
      </c>
      <c r="E132" s="13" t="inlineStr">
        <is>
          <t>أعمال وتوريدات استئجار آلات تصوير مستندات لصالح مؤسسة البترول الكويتية وفقاً للشروط والمواصفات المعتمدة في وثائق الطرح.</t>
        </is>
      </c>
      <c r="F13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32" s="14" t="inlineStr">
        <is>
          <t>عام</t>
        </is>
      </c>
      <c r="H132" s="14" t="inlineStr">
        <is>
          <t>0.0%</t>
        </is>
      </c>
      <c r="I132" s="14" t="inlineStr">
        <is>
          <t>government</t>
        </is>
      </c>
      <c r="J132" s="14" t="inlineStr">
        <is>
          <t>2026-09-06</t>
        </is>
      </c>
      <c r="K132" s="14" t="inlineStr">
        <is>
          <t>2026-10-13</t>
        </is>
      </c>
      <c r="L132" s="14" t="inlineStr">
        <is>
          <t>2500.0</t>
        </is>
      </c>
      <c r="M132" s="14" t="inlineStr">
        <is>
          <t>100.0</t>
        </is>
      </c>
      <c r="N132" s="25" t="inlineStr">
        <is>
          <t>NEW</t>
        </is>
      </c>
      <c r="O132" s="14" t="inlineStr">
        <is>
          <t>غير متوافقة مع اختصاصات KBM</t>
        </is>
      </c>
      <c r="P132" s="22">
        <f>HYPERLINK("https://kuwaitalyawm.media.gov.kw/Online/ViewAdsHTML?id=169407&amp;no=1", "عرض المصدر")</f>
        <v/>
      </c>
    </row>
    <row r="133">
      <c r="A133" s="11" t="inlineStr">
        <is>
          <t>2027/2026/4</t>
        </is>
      </c>
      <c r="B133" s="11" t="inlineStr">
        <is>
          <t>مؤسسة الموانئ الكويتية</t>
        </is>
      </c>
      <c r="C133" s="11" t="inlineStr">
        <is>
          <t>Eiman Ashkanani</t>
        </is>
      </c>
      <c r="D133" s="11" t="inlineStr">
        <is>
          <t>ممارسة رقم 2027/2026/4: تمديد موعد الاقفال الممارسة رقم م م ك (/2026/4/2027) بشأن عمل مسح بحري للأرصفة والأحواض</t>
        </is>
      </c>
      <c r="E133" s="11" t="inlineStr">
        <is>
          <t>أعمال وتوريدات تمديد موعد الاقفال الممارسة رقم م م ك (/2026/4/2027) بشأن عمل مسح بحري للأرصفة والأحواض لصالح مؤسسة الموانئ الكويتية وفقاً للشروط والمواصفات المعتمدة في وثائق الطرح.</t>
        </is>
      </c>
      <c r="F13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33" s="12" t="inlineStr">
        <is>
          <t>عام</t>
        </is>
      </c>
      <c r="H133" s="12" t="inlineStr">
        <is>
          <t>0.0%</t>
        </is>
      </c>
      <c r="I133" s="12" t="inlineStr">
        <is>
          <t>government</t>
        </is>
      </c>
      <c r="J133" s="12" t="inlineStr">
        <is>
          <t>2026-09-27</t>
        </is>
      </c>
      <c r="K133" s="12" t="inlineStr">
        <is>
          <t>-</t>
        </is>
      </c>
      <c r="L133" s="12" t="inlineStr">
        <is>
          <t>-</t>
        </is>
      </c>
      <c r="M133" s="12" t="inlineStr">
        <is>
          <t>-</t>
        </is>
      </c>
      <c r="N133" s="21" t="inlineStr">
        <is>
          <t>UPDATED</t>
        </is>
      </c>
      <c r="O133" s="12" t="inlineStr">
        <is>
          <t>غير متوافقة مع اختصاصات KBM</t>
        </is>
      </c>
      <c r="P133" s="23">
        <f>HYPERLINK("https://kuwaitalyawm.media.gov.kw/Online/ViewAdsHTML?id=171716&amp;no=1", "عرض المصدر")</f>
        <v/>
      </c>
    </row>
    <row r="134">
      <c r="A134" s="13" t="inlineStr">
        <is>
          <t>2027/2026/84</t>
        </is>
      </c>
      <c r="B134" s="13" t="inlineStr">
        <is>
          <t>معهد الكويت للأبحاث العلمية</t>
        </is>
      </c>
      <c r="C134" s="13" t="inlineStr">
        <is>
          <t>Eiman Ashkanani</t>
        </is>
      </c>
      <c r="D134" s="13" t="inlineStr">
        <is>
          <t>ممارسة رقم 2027/2026/84: يعلن معهد الكويت للأبحـاث العلمية عن طـــرح الممارسة رقم 84-M-2026/2027 توريد جهاز تحليل دم آلي بيطري 6 أجزاء لعينات الدواجن والثديات، ويمكن الحصول على وثائق الممارسة من موقع المعهد التالي:</t>
        </is>
      </c>
      <c r="E134" s="13" t="inlineStr">
        <is>
          <t>أعمال وتوريدات يعلن معهد الكويت للأبحـاث العلمية عن طـــرح الممارسة رقم 84-M-2026/2027 توريد جهاز تحليل دم آلي بيطري 6 أجزاء لعينات الدواجن والثديات، ويمكن الحصول على وثائق الممارسة من موقع المعهد التالي: لصالح معهد الكـويت للابحاث العلمية وفقاً للشروط والمواصفات المعتمدة في وثائق الطرح.</t>
        </is>
      </c>
      <c r="F13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34" s="14" t="inlineStr">
        <is>
          <t>عام</t>
        </is>
      </c>
      <c r="H134" s="14" t="inlineStr">
        <is>
          <t>0.0%</t>
        </is>
      </c>
      <c r="I134" s="14" t="inlineStr">
        <is>
          <t>education_and_research</t>
        </is>
      </c>
      <c r="J134" s="14" t="inlineStr">
        <is>
          <t>2026-09-27</t>
        </is>
      </c>
      <c r="K134" s="14" t="inlineStr">
        <is>
          <t>-</t>
        </is>
      </c>
      <c r="L134" s="14" t="inlineStr">
        <is>
          <t>-</t>
        </is>
      </c>
      <c r="M134" s="14" t="inlineStr">
        <is>
          <t>75.0 KWD</t>
        </is>
      </c>
      <c r="N134" s="21" t="inlineStr">
        <is>
          <t>UPDATED</t>
        </is>
      </c>
      <c r="O134" s="14" t="inlineStr">
        <is>
          <t>غير متوافقة مع اختصاصات KBM</t>
        </is>
      </c>
      <c r="P134" s="22">
        <f>HYPERLINK("https://kuwaitalyawm.media.gov.kw/Online/ViewAdsHTML?id=171717&amp;no=1", "عرض المصدر")</f>
        <v/>
      </c>
    </row>
    <row r="135">
      <c r="A135" s="11" t="inlineStr">
        <is>
          <t>ممارسة 1 /2026/2027</t>
        </is>
      </c>
      <c r="B135" s="11" t="inlineStr">
        <is>
          <t>هيئة تشجيع الاستثمار المباشر</t>
        </is>
      </c>
      <c r="C135" s="11" t="inlineStr">
        <is>
          <t>Eiman Ashkanani</t>
        </is>
      </c>
      <c r="D135" s="11" t="inlineStr">
        <is>
          <t>مراجعة التصميم والإشراف على تنفيذ مشروع المناقصة (1/2025/2026) بإنشاء و إنجاز و تأثيث و صيانة و تشغيل مبنى المقر الرئيسي لهيئة تشجيع الاستثمار المباشر</t>
        </is>
      </c>
      <c r="E135" s="11" t="inlineStr">
        <is>
          <t>تنفيذ الأعمال المدنية والإنشائية والترميم والصيانة العامة للمباني والمنشآت والمرافق التابعة للجهة.</t>
        </is>
      </c>
      <c r="F13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35" s="12" t="inlineStr">
        <is>
          <t>عام</t>
        </is>
      </c>
      <c r="H135" s="12" t="inlineStr">
        <is>
          <t>0.0%</t>
        </is>
      </c>
      <c r="I135" s="12" t="inlineStr">
        <is>
          <t>government</t>
        </is>
      </c>
      <c r="J135" s="12" t="inlineStr">
        <is>
          <t>2026-08-30</t>
        </is>
      </c>
      <c r="K135" s="12" t="inlineStr">
        <is>
          <t>2026-10-13</t>
        </is>
      </c>
      <c r="L135" s="12" t="inlineStr">
        <is>
          <t>62000.000 KWD</t>
        </is>
      </c>
      <c r="M135" s="12" t="inlineStr">
        <is>
          <t>3500.000 KWD</t>
        </is>
      </c>
      <c r="N135" s="25" t="inlineStr">
        <is>
          <t>NEW</t>
        </is>
      </c>
      <c r="O135" s="12" t="inlineStr">
        <is>
          <t>غير متوافقة مع اختصاصات KBM</t>
        </is>
      </c>
      <c r="P135" s="23">
        <f>HYPERLINK("https://capt.gov.kw/ar/tenders/opening-tenders/#card-7", "عرض المصدر")</f>
        <v/>
      </c>
    </row>
    <row r="136">
      <c r="A136" s="13" t="inlineStr">
        <is>
          <t>هـ ص/ط/337</t>
        </is>
      </c>
      <c r="B136" s="13" t="inlineStr">
        <is>
          <t>وزارة الأشغال العامة</t>
        </is>
      </c>
      <c r="C136" s="13" t="inlineStr">
        <is>
          <t>Eiman Ashkanani</t>
        </is>
      </c>
      <c r="D136" s="13" t="inlineStr">
        <is>
          <t>تشغيل وصيانه محطات ضخ مياه الامطار للانفاق التي تقع على الطرق السريعه</t>
        </is>
      </c>
      <c r="E136" s="13" t="inlineStr">
        <is>
          <t>أعمال وتوريدات تشغيل وصيانه محطات ضخ مياه الامطار للانفاق التي تقع على الطرق السريعه لصالح وزارة الأشغال العامة وفقاً للشروط والمواصفات المعتمدة في وثائق الطرح.</t>
        </is>
      </c>
      <c r="F13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36" s="24" t="inlineStr">
        <is>
          <t>قطاع العمليات المدارة والدعم الفني متعدد الموردين</t>
        </is>
      </c>
      <c r="H136" s="14" t="inlineStr">
        <is>
          <t>64.0%</t>
        </is>
      </c>
      <c r="I136" s="14" t="inlineStr">
        <is>
          <t>government</t>
        </is>
      </c>
      <c r="J136" s="14" t="inlineStr">
        <is>
          <t>2026-10-11</t>
        </is>
      </c>
      <c r="K136" s="14" t="inlineStr">
        <is>
          <t>2026-11-10</t>
        </is>
      </c>
      <c r="L136" s="14" t="inlineStr">
        <is>
          <t>45000.000 KWD</t>
        </is>
      </c>
      <c r="M136" s="14" t="inlineStr">
        <is>
          <t>1000.000 KWD</t>
        </is>
      </c>
      <c r="N136" s="26" t="inlineStr">
        <is>
          <t>UNCHANGED</t>
        </is>
      </c>
      <c r="O136" s="14" t="inlineStr">
        <is>
          <t>فرصة ICT متوافقة مع قدرات KBM</t>
        </is>
      </c>
      <c r="P136" s="22">
        <f>HYPERLINK("https://capt.gov.kw/ar/tenders/opening-tenders/#card-4", "عرض المصدر")</f>
        <v/>
      </c>
    </row>
    <row r="137">
      <c r="A137" s="11" t="inlineStr">
        <is>
          <t>2026/2</t>
        </is>
      </c>
      <c r="B137" s="11" t="inlineStr">
        <is>
          <t>وزارة الأوقاف والشئون الإسلامية</t>
        </is>
      </c>
      <c r="C137" s="11" t="inlineStr">
        <is>
          <t>Eiman Ashkanani</t>
        </is>
      </c>
      <c r="D137" s="11" t="inlineStr">
        <is>
          <t>مناقصة رقم 2026/2: الخاصة بأعمال توريد وتركيب سجاد ولباد للمساجد التابعة</t>
        </is>
      </c>
      <c r="E137" s="11" t="inlineStr">
        <is>
          <t>أعمال وتوريدات الخاصة بأعمال توريد وتركيب سجاد ولباد للمساجد التابعة لصالح وزارة الأوقاف والشئون الإسلامية وفقاً للشروط والمواصفات المعتمدة في وثائق الطرح.</t>
        </is>
      </c>
      <c r="F13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37" s="12" t="inlineStr">
        <is>
          <t>عام</t>
        </is>
      </c>
      <c r="H137" s="12" t="inlineStr">
        <is>
          <t>15.0%</t>
        </is>
      </c>
      <c r="I137" s="12" t="inlineStr">
        <is>
          <t>government</t>
        </is>
      </c>
      <c r="J137" s="12" t="inlineStr">
        <is>
          <t>2026-09-27</t>
        </is>
      </c>
      <c r="K137" s="18" t="inlineStr">
        <is>
          <t>2026-10-15</t>
        </is>
      </c>
      <c r="L137" s="12" t="inlineStr">
        <is>
          <t>500.0</t>
        </is>
      </c>
      <c r="M137" s="12" t="inlineStr">
        <is>
          <t>500.0</t>
        </is>
      </c>
      <c r="N137" s="25" t="inlineStr">
        <is>
          <t>NEW</t>
        </is>
      </c>
      <c r="O137" s="12" t="inlineStr">
        <is>
          <t>غير متوافقة مع اختصاصات KBM</t>
        </is>
      </c>
      <c r="P137" s="23">
        <f>HYPERLINK("https://kuwaitalyawm.media.gov.kw/Online/ViewAdsHTML?id=171071&amp;no=1", "عرض المصدر")</f>
        <v/>
      </c>
    </row>
    <row r="138">
      <c r="A138" s="13" t="inlineStr">
        <is>
          <t>2027/2026/25</t>
        </is>
      </c>
      <c r="B138" s="13" t="inlineStr">
        <is>
          <t>وزارة الأوقاف والشئون الإسلامية</t>
        </is>
      </c>
      <c r="C138" s="13" t="inlineStr">
        <is>
          <t>Eiman Ashkanani</t>
        </is>
      </c>
      <c r="D138" s="13" t="inlineStr">
        <is>
          <t>ممارسة رقم 2027/2026/25: أعمال النظافة الخاصة بالمباني والمراكز التابعة لإدارتي الدراسات وعلوم القرآن الكريم بمحافظتي الأحمدي ومبارك الكبير</t>
        </is>
      </c>
      <c r="E138" s="13" t="inlineStr">
        <is>
          <t>توفير خدمات وأعمال النظافة العامة والشاملة للمباني والمرافق وتوفير العمالة والمعدات والمستهلكات اللازمة.</t>
        </is>
      </c>
      <c r="F13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38" s="14" t="inlineStr">
        <is>
          <t>عام</t>
        </is>
      </c>
      <c r="H138" s="14" t="inlineStr">
        <is>
          <t>0.0%</t>
        </is>
      </c>
      <c r="I138" s="14" t="inlineStr">
        <is>
          <t>government</t>
        </is>
      </c>
      <c r="J138" s="14" t="inlineStr">
        <is>
          <t>2026-10-04</t>
        </is>
      </c>
      <c r="K138" s="18" t="inlineStr">
        <is>
          <t>2026-10-18</t>
        </is>
      </c>
      <c r="L138" s="14" t="inlineStr">
        <is>
          <t>-</t>
        </is>
      </c>
      <c r="M138" s="14" t="inlineStr">
        <is>
          <t>75.0 KWD</t>
        </is>
      </c>
      <c r="N138" s="21" t="inlineStr">
        <is>
          <t>UPDATED</t>
        </is>
      </c>
      <c r="O138" s="14" t="inlineStr">
        <is>
          <t>غير متوافقة مع اختصاصات KBM</t>
        </is>
      </c>
      <c r="P138" s="22">
        <f>HYPERLINK("https://kuwaitalyawm.media.gov.kw/Online/ViewAdsHTML?id=171813&amp;no=1", "عرض المصدر")</f>
        <v/>
      </c>
    </row>
    <row r="139">
      <c r="A139" s="11" t="inlineStr">
        <is>
          <t>و أ / 406/2026/2027</t>
        </is>
      </c>
      <c r="B139" s="11" t="inlineStr">
        <is>
          <t>وزارة الاعلام</t>
        </is>
      </c>
      <c r="C139" s="11" t="inlineStr">
        <is>
          <t>Eiman Ashkanani</t>
        </is>
      </c>
      <c r="D139" s="11" t="inlineStr">
        <is>
          <t>تجهيز خدمات التنظيف و النقل الداخلي و التخلص من النفايات بمبنى مجمع الاعلام و المحطات الخارجية التابعة له</t>
        </is>
      </c>
      <c r="E139" s="11" t="inlineStr">
        <is>
          <t>توفير خدمات وأعمال النظافة العامة والشاملة للمباني والمرافق وتوفير العمالة والمعدات والمستهلكات اللازمة.</t>
        </is>
      </c>
      <c r="F13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39" s="12" t="inlineStr">
        <is>
          <t>عام</t>
        </is>
      </c>
      <c r="H139" s="12" t="inlineStr">
        <is>
          <t>0.0%</t>
        </is>
      </c>
      <c r="I139" s="12" t="inlineStr">
        <is>
          <t>telecom_and_media</t>
        </is>
      </c>
      <c r="J139" s="12" t="inlineStr">
        <is>
          <t>2026-09-20</t>
        </is>
      </c>
      <c r="K139" s="12" t="inlineStr">
        <is>
          <t>2026-12-15</t>
        </is>
      </c>
      <c r="L139" s="12" t="inlineStr">
        <is>
          <t>23000.000 KWD</t>
        </is>
      </c>
      <c r="M139" s="12" t="inlineStr">
        <is>
          <t>1000.000 KWD</t>
        </is>
      </c>
      <c r="N139" s="26" t="inlineStr">
        <is>
          <t>UNCHANGED</t>
        </is>
      </c>
      <c r="O139" s="12" t="inlineStr">
        <is>
          <t>غير متوافقة مع اختصاصات KBM</t>
        </is>
      </c>
      <c r="P139" s="23">
        <f>HYPERLINK("https://capt.gov.kw/ar/tenders/opening-tenders/#card-3", "عرض المصدر")</f>
        <v/>
      </c>
    </row>
    <row r="140">
      <c r="A140" s="13" t="inlineStr">
        <is>
          <t>2027/2026/16</t>
        </is>
      </c>
      <c r="B140" s="13" t="inlineStr">
        <is>
          <t>وزارة التربية</t>
        </is>
      </c>
      <c r="C140" s="13" t="inlineStr">
        <is>
          <t>Eiman Ashkanani</t>
        </is>
      </c>
      <c r="D140" s="13" t="inlineStr">
        <is>
          <t>ممارسة رقم 2027/2026/16: لتوريد ادوات و اجهزة رياضية متنوعة لحاجة التوجيه الفني العام للتربية البدنية</t>
        </is>
      </c>
      <c r="E140" s="13" t="inlineStr">
        <is>
          <t>أعمال وتوريدات لتوريد ادوات و اجهزة رياضية متنوعة لحاجة التوجيه الفني العام للتربية البدنية لصالح وزارة التربية وفقاً للشروط والمواصفات المعتمدة في وثائق الطرح.</t>
        </is>
      </c>
      <c r="F140" s="13" t="inlineStr">
        <is>
          <t>• الممارسة (عامة ) على الممارسين المعتمدين لدى وزارة التربية .
• يشترط فيمن يتقدم لهذه الممارسة أن تكون من المؤسسات / الشركات المتخصصة داخل الكويت في الأعمال موضوع الممارسة , و مقيد في السجل التجاري و غرفة تجارة و صناعة الكويت للعام الحالي و يرفق بعطائه شهادة بذلك على أن تكون تاريخها معاصر لتاريخ طرح الممارسة .
• هذه الممارسة (غير  قابلة للتجزئة ) ولا يحق لمقدم العطاء تقديم عروض بديلة.
• المقابل المادي للحصول على نسخة من وثائق الممارسة يتمثل في ( 75 ) خمسة و سبعون دينار كويتي لاغير .</t>
        </is>
      </c>
      <c r="G140" s="14" t="inlineStr">
        <is>
          <t>عام</t>
        </is>
      </c>
      <c r="H140" s="14" t="inlineStr">
        <is>
          <t>15.0%</t>
        </is>
      </c>
      <c r="I140" s="14" t="inlineStr">
        <is>
          <t>education_and_research</t>
        </is>
      </c>
      <c r="J140" s="14" t="inlineStr">
        <is>
          <t>2026-09-27</t>
        </is>
      </c>
      <c r="K140" s="14" t="inlineStr">
        <is>
          <t>-</t>
        </is>
      </c>
      <c r="L140" s="14" t="inlineStr">
        <is>
          <t>2000.0 KWD</t>
        </is>
      </c>
      <c r="M140" s="14" t="inlineStr">
        <is>
          <t>-</t>
        </is>
      </c>
      <c r="N140" s="26" t="inlineStr">
        <is>
          <t>UNCHANGED</t>
        </is>
      </c>
      <c r="O140" s="14" t="inlineStr">
        <is>
          <t>غير متوافقة مع اختصاصات KBM</t>
        </is>
      </c>
      <c r="P140" s="22">
        <f>HYPERLINK("https://kuwaitalyawm.media.gov.kw/Online/ViewAdsHTML?id=171532&amp;no=1", "عرض المصدر")</f>
        <v/>
      </c>
    </row>
    <row r="141">
      <c r="A141" s="11" t="inlineStr">
        <is>
          <t>م ع/23/2025/2026</t>
        </is>
      </c>
      <c r="B141" s="11" t="inlineStr">
        <is>
          <t>وزارة التربية</t>
        </is>
      </c>
      <c r="C141" s="11" t="inlineStr">
        <is>
          <t>Eiman Ashkanani</t>
        </is>
      </c>
      <c r="D141" s="11" t="inlineStr">
        <is>
          <t>تنفيذ أعمال التشغيل والصيانة وإدارة مبنى ديوان عام الوزارة الجديد بجنوب السرة</t>
        </is>
      </c>
      <c r="E141" s="11" t="inlineStr">
        <is>
          <t>أعمال وتوريدات تنفيذ أعمال التشغيل والصيانة وإدارة مبنى ديوان عام الوزارة الجديد بجنوب السرة لصالح وزارة التربية وفقاً للشروط والمواصفات المعتمدة في وثائق الطرح.</t>
        </is>
      </c>
      <c r="F14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41" s="12" t="inlineStr">
        <is>
          <t>عام</t>
        </is>
      </c>
      <c r="H141" s="12" t="inlineStr">
        <is>
          <t>0.0%</t>
        </is>
      </c>
      <c r="I141" s="12" t="inlineStr">
        <is>
          <t>education_and_research</t>
        </is>
      </c>
      <c r="J141" s="12" t="inlineStr">
        <is>
          <t>2026-08-23</t>
        </is>
      </c>
      <c r="K141" s="12" t="inlineStr">
        <is>
          <t>2026-11-17</t>
        </is>
      </c>
      <c r="L141" s="12" t="inlineStr">
        <is>
          <t>62000.000 KWD</t>
        </is>
      </c>
      <c r="M141" s="12" t="inlineStr">
        <is>
          <t>3500.000 KWD</t>
        </is>
      </c>
      <c r="N141" s="25" t="inlineStr">
        <is>
          <t>NEW</t>
        </is>
      </c>
      <c r="O141" s="12" t="inlineStr">
        <is>
          <t>غير متوافقة مع اختصاصات KBM</t>
        </is>
      </c>
      <c r="P141" s="23">
        <f>HYPERLINK("https://capt.gov.kw/ar/tenders/opening-tenders/#card-2", "عرض المصدر")</f>
        <v/>
      </c>
    </row>
    <row r="142">
      <c r="A142" s="13" t="inlineStr">
        <is>
          <t>م ع /6/2022/2023</t>
        </is>
      </c>
      <c r="B142" s="13" t="inlineStr">
        <is>
          <t>وزارة التربية</t>
        </is>
      </c>
      <c r="C142" s="13" t="inlineStr">
        <is>
          <t>Eiman Ashkanani</t>
        </is>
      </c>
      <c r="D142" s="13" t="inlineStr">
        <is>
          <t>أعمال  فحص واصلاح وتشغيل وصيانة شبكة الإنذار ومكافحة الحريق لمباني ومدارس تابعة لمنطقة العاصمة التعليمية</t>
        </is>
      </c>
      <c r="E142" s="13" t="inlineStr">
        <is>
          <t>تنفيذ أعمال أعمال  فحص واصلاح وتشغيل وصيانة شبكة الإنذار ومكافحة الحريق لمباني ومدارس تابعة لمنطقة العاصمة التعليمية، وتوفير كافة الأجهزة والمعدات والأنظمة وخدمات الدعم الفني والضمان وفقاً لكراسة الشروط والمواصفات الفنية.</t>
        </is>
      </c>
      <c r="F14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42" s="24" t="inlineStr">
        <is>
          <t>قطاع العمليات المدارة والدعم الفني متعدد الموردين</t>
        </is>
      </c>
      <c r="H142" s="14" t="inlineStr">
        <is>
          <t>64.0%</t>
        </is>
      </c>
      <c r="I142" s="14" t="inlineStr">
        <is>
          <t>education_and_research</t>
        </is>
      </c>
      <c r="J142" s="14" t="inlineStr">
        <is>
          <t>2026-09-27</t>
        </is>
      </c>
      <c r="K142" s="14" t="inlineStr">
        <is>
          <t>2026-12-22</t>
        </is>
      </c>
      <c r="L142" s="14" t="inlineStr">
        <is>
          <t>3500.000 KWD</t>
        </is>
      </c>
      <c r="M142" s="14" t="inlineStr">
        <is>
          <t>150.000 KWD</t>
        </is>
      </c>
      <c r="N142" s="26" t="inlineStr">
        <is>
          <t>UNCHANGED</t>
        </is>
      </c>
      <c r="O142" s="14" t="inlineStr">
        <is>
          <t>فرصة ICT متوافقة مع قدرات KBM</t>
        </is>
      </c>
      <c r="P142" s="22">
        <f>HYPERLINK("https://capt.gov.kw/ar/tenders/opening-tenders/#card-6", "عرض المصدر")</f>
        <v/>
      </c>
    </row>
    <row r="143">
      <c r="A143" s="11" t="inlineStr">
        <is>
          <t>2026/2025/41</t>
        </is>
      </c>
      <c r="B143" s="11" t="inlineStr">
        <is>
          <t>وزارة الداخلية</t>
        </is>
      </c>
      <c r="C143" s="11" t="inlineStr">
        <is>
          <t>Khaled Alabdallah</t>
        </is>
      </c>
      <c r="D143" s="11" t="inlineStr">
        <is>
          <t>مناقصة رقم 2026/2025/41: يرجـى العلم بأنه تم تعديل قيمة التأمين الأولي بشأن المناقصة المذكورة أعــــــلاه ليصبح مبلغ (-/12,000 د.ك) فقط إثنى عشر ألف دينار كويتي لا غير.</t>
        </is>
      </c>
      <c r="E143" s="11" t="inlineStr">
        <is>
          <t>أعمال وتوريدات يرجـى العلم بأنه تم تعديل قيمة التأمين الأولي بشأن المناقصة المذكورة أعــــــلاه ليصبح مبلغ (-/12,000 د.ك) فقط إثنى عشر ألف دينار كويتي لا غير. لصالح وزارة الداخلية وفقاً للشروط والمواصفات المعتمدة في وثائق الطرح.</t>
        </is>
      </c>
      <c r="F14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43" s="12" t="inlineStr">
        <is>
          <t>عام</t>
        </is>
      </c>
      <c r="H143" s="12" t="inlineStr">
        <is>
          <t>0.0%</t>
        </is>
      </c>
      <c r="I143" s="12" t="inlineStr">
        <is>
          <t>government</t>
        </is>
      </c>
      <c r="J143" s="12" t="inlineStr">
        <is>
          <t>2026-08-23</t>
        </is>
      </c>
      <c r="K143" s="12" t="inlineStr">
        <is>
          <t>-</t>
        </is>
      </c>
      <c r="L143" s="12" t="inlineStr">
        <is>
          <t>12000.0</t>
        </is>
      </c>
      <c r="M143" s="12" t="inlineStr">
        <is>
          <t>-</t>
        </is>
      </c>
      <c r="N143" s="25" t="inlineStr">
        <is>
          <t>NEW</t>
        </is>
      </c>
      <c r="O143" s="12" t="inlineStr">
        <is>
          <t>غير متوافقة مع اختصاصات KBM</t>
        </is>
      </c>
      <c r="P143" s="23">
        <f>HYPERLINK("https://kuwaitalyawm.media.gov.kw/Online/ViewAdsHTML?id=167483&amp;no=1", "عرض المصدر")</f>
        <v/>
      </c>
    </row>
    <row r="144">
      <c r="A144" s="13" t="inlineStr">
        <is>
          <t>2026/2025/37</t>
        </is>
      </c>
      <c r="B144" s="13" t="inlineStr">
        <is>
          <t>وزارة الداخلية</t>
        </is>
      </c>
      <c r="C144" s="13" t="inlineStr">
        <is>
          <t>Khaled Alabdallah</t>
        </is>
      </c>
      <c r="D144" s="13" t="inlineStr">
        <is>
          <t>مناقصة رقم 2026/2025/37: تطوير أنظمة الإدارة والمراقبة وتوفير خدمات تشغيلية لمراكز البيانات</t>
        </is>
      </c>
      <c r="E144" s="13" t="inlineStr">
        <is>
          <t>تنفيذ أعمال تطوير أنظمة الإدارة والمراقبة وتوفير خدمات تشغيلية لمراكز البيانات، وتوفير كافة الأجهزة والمعدات والأنظمة وخدمات الدعم الفني والضمان وفقاً لكراسة الشروط والمواصفات الفنية.</t>
        </is>
      </c>
      <c r="F14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44" s="14" t="inlineStr">
        <is>
          <t>عام</t>
        </is>
      </c>
      <c r="H144" s="14" t="inlineStr">
        <is>
          <t>15.0%</t>
        </is>
      </c>
      <c r="I144" s="14" t="inlineStr">
        <is>
          <t>government</t>
        </is>
      </c>
      <c r="J144" s="14" t="inlineStr">
        <is>
          <t>2026-08-30</t>
        </is>
      </c>
      <c r="K144" s="14" t="inlineStr">
        <is>
          <t>2026-09-23</t>
        </is>
      </c>
      <c r="L144" s="14" t="inlineStr">
        <is>
          <t>-</t>
        </is>
      </c>
      <c r="M144" s="14" t="inlineStr">
        <is>
          <t>-</t>
        </is>
      </c>
      <c r="N144" s="25" t="inlineStr">
        <is>
          <t>NEW</t>
        </is>
      </c>
      <c r="O144" s="14" t="inlineStr">
        <is>
          <t>غير متوافقة مع اختصاصات KBM</t>
        </is>
      </c>
      <c r="P144" s="22">
        <f>HYPERLINK("https://kuwaitalyawm.media.gov.kw/Online/ViewAdsHTML?id=168277&amp;no=1", "عرض المصدر")</f>
        <v/>
      </c>
    </row>
    <row r="145">
      <c r="A145" s="11" t="inlineStr">
        <is>
          <t>2027/2026/18</t>
        </is>
      </c>
      <c r="B145" s="11" t="inlineStr">
        <is>
          <t>وزارة الداخلية</t>
        </is>
      </c>
      <c r="C145" s="11" t="inlineStr">
        <is>
          <t>Khaled Alabdallah</t>
        </is>
      </c>
      <c r="D145" s="11" t="inlineStr">
        <is>
          <t>مناقصة رقم 2027/2026/18: توريد المواد الكيميائية ـ الطلبية السنوية للسنة المالية</t>
        </is>
      </c>
      <c r="E145" s="11" t="inlineStr">
        <is>
          <t>أعمال وتوريدات توريد المواد الكيميائية ـ الطلبية السنوية للسنة المالية لصالح وزارة الداخلية وفقاً للشروط والمواصفات المعتمدة في وثائق الطرح.</t>
        </is>
      </c>
      <c r="F14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45" s="12" t="inlineStr">
        <is>
          <t>عام</t>
        </is>
      </c>
      <c r="H145" s="12" t="inlineStr">
        <is>
          <t>15.0%</t>
        </is>
      </c>
      <c r="I145" s="12" t="inlineStr">
        <is>
          <t>government</t>
        </is>
      </c>
      <c r="J145" s="12" t="inlineStr">
        <is>
          <t>2026-09-06</t>
        </is>
      </c>
      <c r="K145" s="12" t="inlineStr">
        <is>
          <t>2026-10-12</t>
        </is>
      </c>
      <c r="L145" s="12" t="inlineStr">
        <is>
          <t>-</t>
        </is>
      </c>
      <c r="M145" s="12" t="inlineStr">
        <is>
          <t>-</t>
        </is>
      </c>
      <c r="N145" s="25" t="inlineStr">
        <is>
          <t>NEW</t>
        </is>
      </c>
      <c r="O145" s="12" t="inlineStr">
        <is>
          <t>غير متوافقة مع اختصاصات KBM</t>
        </is>
      </c>
      <c r="P145" s="23">
        <f>HYPERLINK("https://kuwaitalyawm.media.gov.kw/Online/ViewAdsHTML?id=169855&amp;no=1", "عرض المصدر")</f>
        <v/>
      </c>
    </row>
    <row r="146">
      <c r="A146" s="13" t="inlineStr">
        <is>
          <t>2027/2026/33</t>
        </is>
      </c>
      <c r="B146" s="13" t="inlineStr">
        <is>
          <t>وزارة الداخلية</t>
        </is>
      </c>
      <c r="C146" s="13" t="inlineStr">
        <is>
          <t>Khaled Alabdallah</t>
        </is>
      </c>
      <c r="D146" s="13" t="inlineStr">
        <is>
          <t>مناقصة رقم 2027/2026/33 - وزارة الداخلية</t>
        </is>
      </c>
      <c r="E146" s="13" t="inlineStr">
        <is>
          <t>أعمال وتوريدات مناقصة رقم 2027/2026/33 لصالح وزارة الداخلية وفقاً للشروط والمواصفات المعتمدة في وثائق الطرح.</t>
        </is>
      </c>
      <c r="F14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46" s="14" t="inlineStr">
        <is>
          <t>عام</t>
        </is>
      </c>
      <c r="H146" s="14" t="inlineStr">
        <is>
          <t>15.0%</t>
        </is>
      </c>
      <c r="I146" s="14" t="inlineStr">
        <is>
          <t>government</t>
        </is>
      </c>
      <c r="J146" s="14" t="inlineStr">
        <is>
          <t>2026-09-13</t>
        </is>
      </c>
      <c r="K146" s="14" t="inlineStr">
        <is>
          <t>2026-11-09</t>
        </is>
      </c>
      <c r="L146" s="14" t="inlineStr">
        <is>
          <t>-</t>
        </is>
      </c>
      <c r="M146" s="14" t="inlineStr">
        <is>
          <t>75.0</t>
        </is>
      </c>
      <c r="N146" s="25" t="inlineStr">
        <is>
          <t>NEW</t>
        </is>
      </c>
      <c r="O146" s="14" t="inlineStr">
        <is>
          <t>غير متوافقة مع اختصاصات KBM</t>
        </is>
      </c>
      <c r="P146" s="22">
        <f>HYPERLINK("https://kuwaitalyawm.media.gov.kw/Online/ViewAdsHTML?id=169856&amp;no=1", "عرض المصدر")</f>
        <v/>
      </c>
    </row>
    <row r="147">
      <c r="A147" s="11" t="inlineStr">
        <is>
          <t>2027/2026/24</t>
        </is>
      </c>
      <c r="B147" s="11" t="inlineStr">
        <is>
          <t>وزارة الداخلية</t>
        </is>
      </c>
      <c r="C147" s="11" t="inlineStr">
        <is>
          <t>Khaled Alabdallah</t>
        </is>
      </c>
      <c r="D147" s="11" t="inlineStr">
        <is>
          <t>مناقصة رقم 2027/2026/24: توريد وتركيب وتشغيل وصيانة وضمان مع تنفيذ مشروع منظومة مركز اتصال العمليات (112) للإدارة العامة لهندسة الاتصالات.</t>
        </is>
      </c>
      <c r="E147" s="11" t="inlineStr">
        <is>
          <t>تنفيذ أعمال توريد وتركيب وتشغيل وصيانة وضمان مع تنفيذ مشروع منظومة مركز اتصال العمليات (112) للإدارة العامة لهندسة الاتصالات.، وتوفير كافة الأجهزة والمعدات والأنظمة وخدمات الدعم الفني والضمان وفقاً لكراسة الشروط والمواصفات الفنية.</t>
        </is>
      </c>
      <c r="F14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47" s="24" t="inlineStr">
        <is>
          <t>قطاع العمليات المدارة والدعم الفني متعدد الموردين</t>
        </is>
      </c>
      <c r="H147" s="12" t="inlineStr">
        <is>
          <t>85.0%</t>
        </is>
      </c>
      <c r="I147" s="12" t="inlineStr">
        <is>
          <t>government</t>
        </is>
      </c>
      <c r="J147" s="12" t="inlineStr">
        <is>
          <t>2026-09-20</t>
        </is>
      </c>
      <c r="K147" s="12" t="inlineStr">
        <is>
          <t>2026-11-11</t>
        </is>
      </c>
      <c r="L147" s="12" t="inlineStr">
        <is>
          <t>1000.0</t>
        </is>
      </c>
      <c r="M147" s="12" t="inlineStr">
        <is>
          <t>-</t>
        </is>
      </c>
      <c r="N147" s="25" t="inlineStr">
        <is>
          <t>NEW</t>
        </is>
      </c>
      <c r="O147" s="12" t="inlineStr">
        <is>
          <t>فرصة استراتيجية رئيسية (موصى بالتقديم)</t>
        </is>
      </c>
      <c r="P147" s="23">
        <f>HYPERLINK("https://kuwaitalyawm.media.gov.kw/Online/ViewAdsHTML?id=170975&amp;no=1", "عرض المصدر")</f>
        <v/>
      </c>
    </row>
    <row r="148">
      <c r="A148" s="13" t="inlineStr">
        <is>
          <t>241121234261</t>
        </is>
      </c>
      <c r="B148" s="13" t="inlineStr">
        <is>
          <t>وزارة الدفاع</t>
        </is>
      </c>
      <c r="C148" s="13" t="inlineStr">
        <is>
          <t>Eiman Ashkanani</t>
        </is>
      </c>
      <c r="D148" s="13" t="inlineStr">
        <is>
          <t>مناقصة رقم 241121234261: لتوريد إطارات للآليات العسكرية الثقيلة والخفيفة لمدة سنة</t>
        </is>
      </c>
      <c r="E148" s="13" t="inlineStr">
        <is>
          <t>أعمال وتوريدات لتوريد إطارات للآليات العسكرية الثقيلة والخفيفة لمدة سنة لصالح وزارة الدفاع وفقاً للشروط والمواصفات المعتمدة في وثائق الطرح.</t>
        </is>
      </c>
      <c r="F148" s="13" t="inlineStr">
        <is>
          <t>• 1/ تقديم كتاب تفويض من الشركة بشراء وثائق المناقصة.
• 2/ تقديم صورة عن شهادة دعم العمالة الوطنية لدى الشركات غير الحكومية ( السنوية).</t>
        </is>
      </c>
      <c r="G148" s="14" t="inlineStr">
        <is>
          <t>عام</t>
        </is>
      </c>
      <c r="H148" s="14" t="inlineStr">
        <is>
          <t>15.0%</t>
        </is>
      </c>
      <c r="I148" s="14" t="inlineStr">
        <is>
          <t>government</t>
        </is>
      </c>
      <c r="J148" s="14" t="inlineStr">
        <is>
          <t>2026-09-20</t>
        </is>
      </c>
      <c r="K148" s="14" t="inlineStr">
        <is>
          <t>-</t>
        </is>
      </c>
      <c r="L148" s="14" t="inlineStr">
        <is>
          <t>14000.0</t>
        </is>
      </c>
      <c r="M148" s="14" t="inlineStr">
        <is>
          <t>1000.0</t>
        </is>
      </c>
      <c r="N148" s="25" t="inlineStr">
        <is>
          <t>NEW</t>
        </is>
      </c>
      <c r="O148" s="14" t="inlineStr">
        <is>
          <t>غير متوافقة مع اختصاصات KBM</t>
        </is>
      </c>
      <c r="P148" s="22">
        <f>HYPERLINK("https://kuwaitalyawm.media.gov.kw/Online/ViewAdsHTML?id=170978&amp;no=1", "عرض المصدر")</f>
        <v/>
      </c>
    </row>
    <row r="149">
      <c r="A149" s="11" t="inlineStr">
        <is>
          <t>1092925</t>
        </is>
      </c>
      <c r="B149" s="11" t="inlineStr">
        <is>
          <t>وزارة الدفاع</t>
        </is>
      </c>
      <c r="C149" s="11" t="inlineStr">
        <is>
          <t>Eiman Ashkanani</t>
        </is>
      </c>
      <c r="D149" s="11" t="inlineStr">
        <is>
          <t>مناقصة رقم 1092925: أعمال صيانة شاملة للمعسكرات التابعة لمراقبة لواء مبارك 15</t>
        </is>
      </c>
      <c r="E149" s="11" t="inlineStr">
        <is>
          <t>أعمال وتوريدات أعمال صيانة شاملة للمعسكرات التابعة لمراقبة لواء مبارك 15 لصالح وزارة الدفاع وفقاً للشروط والمواصفات المعتمدة في وثائق الطرح.</t>
        </is>
      </c>
      <c r="F14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49" s="12" t="inlineStr">
        <is>
          <t>عام</t>
        </is>
      </c>
      <c r="H149" s="12" t="inlineStr">
        <is>
          <t>15.0%</t>
        </is>
      </c>
      <c r="I149" s="12" t="inlineStr">
        <is>
          <t>government</t>
        </is>
      </c>
      <c r="J149" s="12" t="inlineStr">
        <is>
          <t>2026-08-30</t>
        </is>
      </c>
      <c r="K149" s="12" t="inlineStr">
        <is>
          <t>-</t>
        </is>
      </c>
      <c r="L149" s="12" t="inlineStr">
        <is>
          <t>23000.0</t>
        </is>
      </c>
      <c r="M149" s="12" t="inlineStr">
        <is>
          <t>1000.0</t>
        </is>
      </c>
      <c r="N149" s="25" t="inlineStr">
        <is>
          <t>NEW</t>
        </is>
      </c>
      <c r="O149" s="12" t="inlineStr">
        <is>
          <t>غير متوافقة مع اختصاصات KBM</t>
        </is>
      </c>
      <c r="P149" s="23">
        <f>HYPERLINK("https://kuwaitalyawm.media.gov.kw/Online/ViewAdsHTML?id=168278&amp;no=1", "عرض المصدر")</f>
        <v/>
      </c>
    </row>
    <row r="150">
      <c r="A150" s="13" t="inlineStr">
        <is>
          <t>24141071967826</t>
        </is>
      </c>
      <c r="B150" s="13" t="inlineStr">
        <is>
          <t>وزارة الدفاع</t>
        </is>
      </c>
      <c r="C150" s="13" t="inlineStr">
        <is>
          <t>Eiman Ashkanani</t>
        </is>
      </c>
      <c r="D150" s="13" t="inlineStr">
        <is>
          <t>ممارسة رقم 24141071967826: إعادة طرح توريد أجهزة تلفزيون لزوم / هيئة الإمداد والتموين</t>
        </is>
      </c>
      <c r="E150" s="13" t="inlineStr">
        <is>
          <t>تنفيذ أعمال إعادة طرح توريد أجهزة تلفزيون لزوم / هيئة الإمداد والتموين، وتوفير كافة الأجهزة والمعدات والأنظمة وخدمات الدعم الفني والضمان وفقاً لكراسة الشروط والمواصفات الفنية.</t>
        </is>
      </c>
      <c r="F150" s="13" t="inlineStr">
        <is>
          <t>• تقديم صورة عن كارت التسجيل لدى وزارة الدفاع / إدارة المشتريات والعقود المحلية للعام 2026.
• تقديم كتاب تفويض من الشركة بشـراء الوثائق.
• ان تكون الشركة متخصصة في هذا المجال ومصنفة لدى مراقبة تصنيف الشركات بالوزارة.
• تقديم صورة عن شهادة دعم العمالة الوطنية لدى الشركات غير الحكومية (السنوية ).
• تقديم كتاب رسمي لأية استفسارات يكون في خلال ( أسبوع واحـد ) من تاريخ نشـر الإعلان .
• سداد الرسوم المقررة لشراء وثائق الممارسة عن طريق (K. NET).</t>
        </is>
      </c>
      <c r="G150" s="14" t="inlineStr">
        <is>
          <t>عام</t>
        </is>
      </c>
      <c r="H150" s="14" t="inlineStr">
        <is>
          <t>15.0%</t>
        </is>
      </c>
      <c r="I150" s="14" t="inlineStr">
        <is>
          <t>defense_and_security</t>
        </is>
      </c>
      <c r="J150" s="14" t="inlineStr">
        <is>
          <t>2026-09-27</t>
        </is>
      </c>
      <c r="K150" s="14" t="inlineStr">
        <is>
          <t>-</t>
        </is>
      </c>
      <c r="L150" s="14" t="inlineStr">
        <is>
          <t>-</t>
        </is>
      </c>
      <c r="M150" s="14" t="inlineStr">
        <is>
          <t>-</t>
        </is>
      </c>
      <c r="N150" s="26" t="inlineStr">
        <is>
          <t>UNCHANGED</t>
        </is>
      </c>
      <c r="O150" s="14" t="inlineStr">
        <is>
          <t>غير متوافقة مع اختصاصات KBM</t>
        </is>
      </c>
      <c r="P150" s="22">
        <f>HYPERLINK("https://kuwaitalyawm.media.gov.kw/Online/ViewAdsHTML?id=171539&amp;no=1", "عرض المصدر")</f>
        <v/>
      </c>
    </row>
    <row r="151">
      <c r="A151" s="11" t="inlineStr">
        <is>
          <t>241113235253</t>
        </is>
      </c>
      <c r="B151" s="11" t="inlineStr">
        <is>
          <t>وزارة الدفاع</t>
        </is>
      </c>
      <c r="C151" s="11" t="inlineStr">
        <is>
          <t>Eiman Ashkanani</t>
        </is>
      </c>
      <c r="D151" s="11" t="inlineStr">
        <is>
          <t>مناقصة رقم 241113235253: لإصلاح وصيانة القاطرات والمقطورات</t>
        </is>
      </c>
      <c r="E151" s="11" t="inlineStr">
        <is>
          <t>أعمال وتوريدات لإصلاح وصيانة القاطرات والمقطورات لصالح وزارة الدفاع وفقاً للشروط والمواصفات المعتمدة في وثائق الطرح.</t>
        </is>
      </c>
      <c r="F151" s="11" t="inlineStr">
        <is>
          <t>• كتاب تفويض من الشركة / المؤسسة بشراء الوثائق .
• أن تكون الشركة / المؤسسة متخصصة فى هذا المجال مع تقديم الأوراق الدالة على نشاطه .
• تقديم صورة عن شهادة دعم العمالة الوطنية السنوية لدى الشركات غير الحكومية شريطة أن تكون سارية .
• سداد الرسوم المقررة لشراء وثائق المناقصة عن طريق (K-NET ) .</t>
        </is>
      </c>
      <c r="G151" s="12" t="inlineStr">
        <is>
          <t>عام</t>
        </is>
      </c>
      <c r="H151" s="12" t="inlineStr">
        <is>
          <t>15.0%</t>
        </is>
      </c>
      <c r="I151" s="12" t="inlineStr">
        <is>
          <t>government</t>
        </is>
      </c>
      <c r="J151" s="12" t="inlineStr">
        <is>
          <t>2026-09-20</t>
        </is>
      </c>
      <c r="K151" s="12" t="inlineStr">
        <is>
          <t>2026-10-04</t>
        </is>
      </c>
      <c r="L151" s="12" t="inlineStr">
        <is>
          <t>2.0</t>
        </is>
      </c>
      <c r="M151" s="12" t="inlineStr">
        <is>
          <t>1000.0</t>
        </is>
      </c>
      <c r="N151" s="25" t="inlineStr">
        <is>
          <t>NEW</t>
        </is>
      </c>
      <c r="O151" s="12" t="inlineStr">
        <is>
          <t>غير متوافقة مع اختصاصات KBM</t>
        </is>
      </c>
      <c r="P151" s="23">
        <f>HYPERLINK("https://kuwaitalyawm.media.gov.kw/Online/ViewAdsHTML?id=170979&amp;no=1", "عرض المصدر")</f>
        <v/>
      </c>
    </row>
    <row r="152">
      <c r="A152" s="13" t="inlineStr">
        <is>
          <t>24114235253</t>
        </is>
      </c>
      <c r="B152" s="13" t="inlineStr">
        <is>
          <t>وزارة الدفاع</t>
        </is>
      </c>
      <c r="C152" s="13" t="inlineStr">
        <is>
          <t>Eiman Ashkanani</t>
        </is>
      </c>
      <c r="D152" s="13" t="inlineStr">
        <is>
          <t>مناقصة رقم 24114235253: لإصلاح وصيانة القاطرات والمقطورات والآليات المتوسطة شامل</t>
        </is>
      </c>
      <c r="E152" s="13" t="inlineStr">
        <is>
          <t>أعمال وتوريدات لإصلاح وصيانة القاطرات والمقطورات والآليات المتوسطة شامل لصالح وزارة الدفاع وفقاً للشروط والمواصفات المعتمدة في وثائق الطرح.</t>
        </is>
      </c>
      <c r="F152" s="13" t="inlineStr">
        <is>
          <t>• 1- كتاب تفويض من الشركة / المؤسسة بشراء الوثائق .
• 2- أن تكون الشركة / المؤسسة متخصصة فى هذا المجال مع تقديم الأوراق الدالة على نشاطه .
• 3- تقديم صورة عن شهادة دعم العمالة الوطنية السنوية لدى الشركات غير الحكومية شريطة أن تكون سارية .
• 4- سداد الرسوم المقررة لشراء وثائق المناقصة عن طريق (K-NET ) .</t>
        </is>
      </c>
      <c r="G152" s="14" t="inlineStr">
        <is>
          <t>عام</t>
        </is>
      </c>
      <c r="H152" s="14" t="inlineStr">
        <is>
          <t>15.0%</t>
        </is>
      </c>
      <c r="I152" s="14" t="inlineStr">
        <is>
          <t>government</t>
        </is>
      </c>
      <c r="J152" s="14" t="inlineStr">
        <is>
          <t>2026-09-06</t>
        </is>
      </c>
      <c r="K152" s="14" t="inlineStr">
        <is>
          <t>2026-10-04</t>
        </is>
      </c>
      <c r="L152" s="14" t="inlineStr">
        <is>
          <t>2.0</t>
        </is>
      </c>
      <c r="M152" s="14" t="inlineStr">
        <is>
          <t>1000.0</t>
        </is>
      </c>
      <c r="N152" s="25" t="inlineStr">
        <is>
          <t>NEW</t>
        </is>
      </c>
      <c r="O152" s="14" t="inlineStr">
        <is>
          <t>غير متوافقة مع اختصاصات KBM</t>
        </is>
      </c>
      <c r="P152" s="22">
        <f>HYPERLINK("https://kuwaitalyawm.media.gov.kw/Online/ViewAdsHTML?id=169152&amp;no=1", "عرض المصدر")</f>
        <v/>
      </c>
    </row>
    <row r="153">
      <c r="A153" s="11" t="inlineStr">
        <is>
          <t>2414/105/19973/26</t>
        </is>
      </c>
      <c r="B153" s="11" t="inlineStr">
        <is>
          <t>وزارة الدفاع</t>
        </is>
      </c>
      <c r="C153" s="11" t="inlineStr">
        <is>
          <t>Eiman Ashkanani</t>
        </is>
      </c>
      <c r="D153" s="11" t="inlineStr">
        <is>
          <t>ممارسة رقم 2414/105/19973/26: طلب شراء مفروشات لزوم / وزارة الدفاع</t>
        </is>
      </c>
      <c r="E153" s="11" t="inlineStr">
        <is>
          <t>أعمال وتوريدات طلب شراء مفروشات لزوم / وزارة الدفاع لصالح وزارة الدفاع وفقاً للشروط والمواصفات المعتمدة في وثائق الطرح.</t>
        </is>
      </c>
      <c r="F153" s="11" t="inlineStr">
        <is>
          <t>• تقديم صورة عن كرت التسجيل لدى وزارة الدفاع / ادارة المشتريات والعقود المحلية لعام 2026.
• تقديم كتاب تفويض من الشركة بشـراء الوثائق.
• ان تكون الشركة متخصصة في هذا المجال ومصنفة لدى مراقبة تصنيف الشركات بالوزارة.
• تقديم صورة عن شهادة دعم العمالة الوطنية لدى الشركات غير الحكومية (السنوية
• تقديم كتاب رسمي لأية استفسارات يكون في خلال ( أسبوع واحـد ) من تاريخ نشـر الإعلان .
• سداد الرسوم المقررة لشراء وثائق الممارسة عن طريق (K. NET).</t>
        </is>
      </c>
      <c r="G153" s="12" t="inlineStr">
        <is>
          <t>عام</t>
        </is>
      </c>
      <c r="H153" s="12" t="inlineStr">
        <is>
          <t>15.0%</t>
        </is>
      </c>
      <c r="I153" s="12" t="inlineStr">
        <is>
          <t>defense_and_security</t>
        </is>
      </c>
      <c r="J153" s="12" t="inlineStr">
        <is>
          <t>2026-09-20</t>
        </is>
      </c>
      <c r="K153" s="18" t="inlineStr">
        <is>
          <t>2026-10-15</t>
        </is>
      </c>
      <c r="L153" s="12" t="inlineStr">
        <is>
          <t>2.0 KWD</t>
        </is>
      </c>
      <c r="M153" s="12" t="inlineStr">
        <is>
          <t>-</t>
        </is>
      </c>
      <c r="N153" s="21" t="inlineStr">
        <is>
          <t>UPDATED</t>
        </is>
      </c>
      <c r="O153" s="12" t="inlineStr">
        <is>
          <t>غير متوافقة مع اختصاصات KBM</t>
        </is>
      </c>
      <c r="P153" s="23">
        <f>HYPERLINK("https://kuwaitalyawm.media.gov.kw/Online/ViewAdsHTML?id=170977&amp;no=1", "عرض المصدر")</f>
        <v/>
      </c>
    </row>
    <row r="154">
      <c r="A154" s="13" t="inlineStr">
        <is>
          <t>2414/109/20167/26</t>
        </is>
      </c>
      <c r="B154" s="13" t="inlineStr">
        <is>
          <t>وزارة الدفاع</t>
        </is>
      </c>
      <c r="C154" s="13" t="inlineStr">
        <is>
          <t>Eiman Ashkanani</t>
        </is>
      </c>
      <c r="D154" s="13" t="inlineStr">
        <is>
          <t>ممارسة رقم 24141092016726: الطلبية العامة لشراء مواد المطبخ</t>
        </is>
      </c>
      <c r="E154" s="13" t="inlineStr">
        <is>
          <t>أعمال وتوريدات الطلبية العامة لشراء مواد المطبخ لصالح وزارة الدفاع وفقاً للشروط والمواصفات المعتمدة في وثائق الطرح.</t>
        </is>
      </c>
      <c r="F154" s="13" t="inlineStr">
        <is>
          <t>• 1. تقديم صورة عن كرت التسجيل لدى وزارة الدفاع / ادارة المشتريات والعقود المحلية للعام 2026.
• 2. تقديم كتاب تفويض من الشركة بشراء الوثائق.
• 3. ان تكون الشركة متخصصة في هذا المجال ومصنفة لدى مراقبة تصنيف الشركات بالوزارة.
• 4. تقديم صورة عن شهادة دعم العمالة الوطنية لدى الشركات غير الحكومية ( السنوية ).
• 5. تقديم كتاب رسمي لأية استفسارات يكون في خلال ( أسبوع واحد ) من تاريخ نشر الإعلان .
• 6. سداد الرسوم المقررة لشراء وثائق الممارسة عن طريق (K. NET).</t>
        </is>
      </c>
      <c r="G154" s="14" t="inlineStr">
        <is>
          <t>عام</t>
        </is>
      </c>
      <c r="H154" s="14" t="inlineStr">
        <is>
          <t>15.0%</t>
        </is>
      </c>
      <c r="I154" s="14" t="inlineStr">
        <is>
          <t>defense_and_security</t>
        </is>
      </c>
      <c r="J154" s="14" t="inlineStr">
        <is>
          <t>2026-09-13</t>
        </is>
      </c>
      <c r="K154" s="18" t="inlineStr">
        <is>
          <t>2026-10-15</t>
        </is>
      </c>
      <c r="L154" s="14" t="inlineStr">
        <is>
          <t>2000.0 KWD</t>
        </is>
      </c>
      <c r="M154" s="14" t="inlineStr">
        <is>
          <t>75.0 KWD</t>
        </is>
      </c>
      <c r="N154" s="21" t="inlineStr">
        <is>
          <t>UPDATED</t>
        </is>
      </c>
      <c r="O154" s="14" t="inlineStr">
        <is>
          <t>غير متوافقة مع اختصاصات KBM</t>
        </is>
      </c>
      <c r="P154" s="22">
        <f>HYPERLINK("https://kuwaitalyawm.media.gov.kw/Online/ViewAdsHTML?id=171538&amp;no=1", "عرض المصدر")</f>
        <v/>
      </c>
    </row>
    <row r="155">
      <c r="A155" s="11" t="inlineStr">
        <is>
          <t>24141071982026</t>
        </is>
      </c>
      <c r="B155" s="11" t="inlineStr">
        <is>
          <t>وزارة الدفاع</t>
        </is>
      </c>
      <c r="C155" s="11" t="inlineStr">
        <is>
          <t>Eiman Ashkanani</t>
        </is>
      </c>
      <c r="D155" s="11" t="inlineStr">
        <is>
          <t>ممارسة رقم 24141071982026: طلب شراء ملفات طبية للمرضى</t>
        </is>
      </c>
      <c r="E155" s="11" t="inlineStr">
        <is>
          <t>توريد المستلزمات والمواد والمستهلكات الطبية أو المخبرية المتخصصة لصالح المرافق الصحية.</t>
        </is>
      </c>
      <c r="F155" s="11" t="inlineStr">
        <is>
          <t>• تقديم صورة عن كرت التسجيل لدى وزارة الدفاع / ادارة المشتريات والعقود المحلية للعام 2026.
• تقديم كتاب تفويض من الشركة بشـراء الوثائق.
• ان تكون الشركة متخصصة في هذا المجال ومصنفة لدى مراقبة تصنيف الشركات بالوزارة.
• تقديم صورة عن شهادة دعم العمالة الوطنية لدى الشركات غير الحكومية (السنوية ).
• تقديم كتاب رسمي لأية استفسارات يكون في خلال ( أسبوع واحـد ) من تاريخ نشـر الإعلان .
• سداد الرسوم المقررة لشراء وثائق الممارسة عن طريق (K. NET).</t>
        </is>
      </c>
      <c r="G155" s="12" t="inlineStr">
        <is>
          <t>عام</t>
        </is>
      </c>
      <c r="H155" s="12" t="inlineStr">
        <is>
          <t>15.0%</t>
        </is>
      </c>
      <c r="I155" s="12" t="inlineStr">
        <is>
          <t>defense_and_security</t>
        </is>
      </c>
      <c r="J155" s="12" t="inlineStr">
        <is>
          <t>2026-09-27</t>
        </is>
      </c>
      <c r="K155" s="12" t="inlineStr">
        <is>
          <t>2026-10-22</t>
        </is>
      </c>
      <c r="L155" s="12" t="inlineStr">
        <is>
          <t>2000.0 KWD</t>
        </is>
      </c>
      <c r="M155" s="12" t="inlineStr">
        <is>
          <t>-</t>
        </is>
      </c>
      <c r="N155" s="21" t="inlineStr">
        <is>
          <t>UPDATED</t>
        </is>
      </c>
      <c r="O155" s="12" t="inlineStr">
        <is>
          <t>غير متوافقة مع اختصاصات KBM</t>
        </is>
      </c>
      <c r="P155" s="23">
        <f>HYPERLINK("https://kuwaitalyawm.media.gov.kw/Online/ViewAdsHTML?id=171541&amp;no=1", "عرض المصدر")</f>
        <v/>
      </c>
    </row>
    <row r="156">
      <c r="A156" s="13" t="inlineStr">
        <is>
          <t>24181118110</t>
        </is>
      </c>
      <c r="B156" s="13" t="inlineStr">
        <is>
          <t>وزارة الدفاع</t>
        </is>
      </c>
      <c r="C156" s="13" t="inlineStr">
        <is>
          <t>Eiman Ashkanani</t>
        </is>
      </c>
      <c r="D156" s="13" t="inlineStr">
        <is>
          <t>ممارسة رقم 24181118110: توريد وتركيب وتعريف واختبار أجهزة خوادم النظام المالي لزوم وزارة الدفاع</t>
        </is>
      </c>
      <c r="E156" s="13" t="inlineStr">
        <is>
          <t>توريد وتركيب وتعريف واختبار أجهزة خوادم عالية الأداء (Enterprise Servers) وأنظمة التخزين وحلول التشغيل الخاصة بالنظام المالي التابع لوزارة الدفاع بدولة الكويت مع الضمان والدعم الفني.</t>
        </is>
      </c>
      <c r="F156" s="13" t="inlineStr">
        <is>
          <t>• أن تكون الشركة مسجلة في وزارة الدفاع لسنة 2026 ومتخصصة في هذا المجال ومصنفة لدى مراقبة شئون الشركات بالوزارة مع تقديم الأوراق الدالة على نشاطها.
• تقديم كتاب تفويض من الشركة بشراء الوثائق.
• تقديم صورة عن شهادة دعم العمالة الوطنية لدى الشركات غير الحكومية (السنوية).
• تقديم كتاب رسمي لأية استفسارات يكون في خلال (أسبوع واحد) من تاريخ نشر الإعلان.
• للاستفسار هاتف: 1844411 (داخلي 61929).</t>
        </is>
      </c>
      <c r="G156" s="24" t="inlineStr">
        <is>
          <t>قطاع الخوادم وحلول التخزين والبنية التحتية</t>
        </is>
      </c>
      <c r="H156" s="14" t="inlineStr">
        <is>
          <t>85.0%</t>
        </is>
      </c>
      <c r="I156" s="14" t="inlineStr">
        <is>
          <t>defense_and_security</t>
        </is>
      </c>
      <c r="J156" s="14" t="inlineStr">
        <is>
          <t>2026-09-27</t>
        </is>
      </c>
      <c r="K156" s="14" t="inlineStr">
        <is>
          <t>2026-10-25</t>
        </is>
      </c>
      <c r="L156" s="14" t="inlineStr">
        <is>
          <t>5000.0 KWD</t>
        </is>
      </c>
      <c r="M156" s="14" t="inlineStr">
        <is>
          <t>150.0 KWD</t>
        </is>
      </c>
      <c r="N156" s="21" t="inlineStr">
        <is>
          <t>UPDATED</t>
        </is>
      </c>
      <c r="O156" s="14" t="inlineStr">
        <is>
          <t>موصى بالتقديم</t>
        </is>
      </c>
      <c r="P156" s="22">
        <f>HYPERLINK("https://kuwaitalyawm.media.gov.kw/Online/ViewAdsHTML?id=171540&amp;no=1", "عرض المصدر")</f>
        <v/>
      </c>
    </row>
    <row r="157">
      <c r="A157" s="11" t="inlineStr">
        <is>
          <t>1042826</t>
        </is>
      </c>
      <c r="B157" s="11" t="inlineStr">
        <is>
          <t>وزارة الدفاع</t>
        </is>
      </c>
      <c r="C157" s="11" t="inlineStr">
        <is>
          <t>Eiman Ashkanani</t>
        </is>
      </c>
      <c r="D157" s="11" t="inlineStr">
        <is>
          <t>مناقصة رقم 1042826: تشغيل وصيانة وإصلاح لمحطات الوقود بمعسكرات</t>
        </is>
      </c>
      <c r="E157" s="11" t="inlineStr">
        <is>
          <t>أعمال وتوريدات تشغيل وصيانة وإصلاح لمحطات الوقود بمعسكرات لصالح وزارة الدفاع وفقاً للشروط والمواصفات المعتمدة في وثائق الطرح.</t>
        </is>
      </c>
      <c r="F15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57" s="24" t="inlineStr">
        <is>
          <t>قطاع العمليات المدارة والدعم الفني متعدد الموردين</t>
        </is>
      </c>
      <c r="H157" s="12" t="inlineStr">
        <is>
          <t>64.0%</t>
        </is>
      </c>
      <c r="I157" s="12" t="inlineStr">
        <is>
          <t>government</t>
        </is>
      </c>
      <c r="J157" s="12" t="inlineStr">
        <is>
          <t>2026-08-30</t>
        </is>
      </c>
      <c r="K157" s="12" t="inlineStr">
        <is>
          <t>2026-10-27</t>
        </is>
      </c>
      <c r="L157" s="12" t="inlineStr">
        <is>
          <t>15000.0</t>
        </is>
      </c>
      <c r="M157" s="12" t="inlineStr">
        <is>
          <t>1000.0</t>
        </is>
      </c>
      <c r="N157" s="25" t="inlineStr">
        <is>
          <t>NEW</t>
        </is>
      </c>
      <c r="O157" s="12" t="inlineStr">
        <is>
          <t>فرصة ICT متوافقة مع قدرات KBM</t>
        </is>
      </c>
      <c r="P157" s="23">
        <f>HYPERLINK("https://kuwaitalyawm.media.gov.kw/Online/ViewAdsHTML?id=168279&amp;no=1", "عرض المصدر")</f>
        <v/>
      </c>
    </row>
    <row r="158">
      <c r="A158" s="13" t="inlineStr">
        <is>
          <t>241717263</t>
        </is>
      </c>
      <c r="B158" s="13" t="inlineStr">
        <is>
          <t>وزارة الدفاع</t>
        </is>
      </c>
      <c r="C158" s="13" t="inlineStr">
        <is>
          <t>Eiman Ashkanani</t>
        </is>
      </c>
      <c r="D158" s="13" t="inlineStr">
        <is>
          <t>توريد زيت نباتي (ذرة) - لزوم / وحدات الجيش</t>
        </is>
      </c>
      <c r="E158" s="13" t="inlineStr">
        <is>
          <t>أعمال وتوريدات توريد زيت نباتي (ذرة) - لزوم / وحدات الجيش لصالح وزارة الدفاع وفقاً للشروط والمواصفات المعتمدة في وثائق الطرح.</t>
        </is>
      </c>
      <c r="F15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58" s="14" t="inlineStr">
        <is>
          <t>عام</t>
        </is>
      </c>
      <c r="H158" s="14" t="inlineStr">
        <is>
          <t>0.0%</t>
        </is>
      </c>
      <c r="I158" s="14" t="inlineStr">
        <is>
          <t>defense_and_security</t>
        </is>
      </c>
      <c r="J158" s="14" t="inlineStr">
        <is>
          <t>2026-08-30</t>
        </is>
      </c>
      <c r="K158" s="14" t="inlineStr">
        <is>
          <t>2026-11-24</t>
        </is>
      </c>
      <c r="L158" s="14" t="inlineStr">
        <is>
          <t>15000.000 KWD</t>
        </is>
      </c>
      <c r="M158" s="14" t="inlineStr">
        <is>
          <t>1000.000 KWD</t>
        </is>
      </c>
      <c r="N158" s="25" t="inlineStr">
        <is>
          <t>NEW</t>
        </is>
      </c>
      <c r="O158" s="14" t="inlineStr">
        <is>
          <t>غير متوافقة مع اختصاصات KBM</t>
        </is>
      </c>
      <c r="P158" s="22">
        <f>HYPERLINK("https://capt.gov.kw/ar/tenders/opening-tenders/#card-4", "عرض المصدر")</f>
        <v/>
      </c>
    </row>
    <row r="159">
      <c r="A159" s="11" t="inlineStr">
        <is>
          <t>و ش ج 12/2024/2025</t>
        </is>
      </c>
      <c r="B159" s="11" t="inlineStr">
        <is>
          <t>وزارة الشئون الاجتماعية</t>
        </is>
      </c>
      <c r="C159" s="11" t="inlineStr">
        <is>
          <t>Eiman Ashkanani</t>
        </is>
      </c>
      <c r="D159" s="11" t="inlineStr">
        <is>
          <t>اصلاح و تشغيل و صيانة و توريد و تركيب معدات التكييف و التبريد و التهوية و التدفئه لقطاع الرعاية الاجتماعيه و المباني التابعه له</t>
        </is>
      </c>
      <c r="E159" s="11" t="inlineStr">
        <is>
          <t>أعمال صيانة وتشغيل وإصلاح وحدات ومحطات التكييف المركزي والمبردات وضواغط الهواء وشبكات مجاري الهواء.</t>
        </is>
      </c>
      <c r="F15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59" s="12" t="inlineStr">
        <is>
          <t>عام</t>
        </is>
      </c>
      <c r="H159" s="12" t="inlineStr">
        <is>
          <t>0.0%</t>
        </is>
      </c>
      <c r="I159" s="12" t="inlineStr">
        <is>
          <t>government</t>
        </is>
      </c>
      <c r="J159" s="12" t="inlineStr">
        <is>
          <t>2026-08-23</t>
        </is>
      </c>
      <c r="K159" s="12" t="inlineStr">
        <is>
          <t>2026-11-22</t>
        </is>
      </c>
      <c r="L159" s="12" t="inlineStr">
        <is>
          <t>6000.000 KWD</t>
        </is>
      </c>
      <c r="M159" s="12" t="inlineStr">
        <is>
          <t>300.000 KWD</t>
        </is>
      </c>
      <c r="N159" s="25" t="inlineStr">
        <is>
          <t>NEW</t>
        </is>
      </c>
      <c r="O159" s="12" t="inlineStr">
        <is>
          <t>غير متوافقة مع اختصاصات KBM</t>
        </is>
      </c>
      <c r="P159" s="23">
        <f>HYPERLINK("https://capt.gov.kw/ar/tenders/opening-tenders/#card-4", "عرض المصدر")</f>
        <v/>
      </c>
    </row>
    <row r="160">
      <c r="A160" s="13" t="inlineStr">
        <is>
          <t>و ش ج 3/2025/2026</t>
        </is>
      </c>
      <c r="B160" s="13" t="inlineStr">
        <is>
          <t>وزارة الشئون الاجتماعية</t>
        </is>
      </c>
      <c r="C160" s="13" t="inlineStr">
        <is>
          <t>Eiman Ashkanani</t>
        </is>
      </c>
      <c r="D160" s="13" t="inlineStr">
        <is>
          <t>اعمال خدمة النزيل في قطاع الرعاية الأجتماعية</t>
        </is>
      </c>
      <c r="E160" s="13" t="inlineStr">
        <is>
          <t>أعمال وتوريدات اعمال خدمة النزيل في قطاع الرعاية الأجتماعية لصالح وزارة الشئون الاجتماعية وفقاً للشروط والمواصفات المعتمدة في وثائق الطرح.</t>
        </is>
      </c>
      <c r="F16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60" s="14" t="inlineStr">
        <is>
          <t>عام</t>
        </is>
      </c>
      <c r="H160" s="14" t="inlineStr">
        <is>
          <t>0.0%</t>
        </is>
      </c>
      <c r="I160" s="14" t="inlineStr">
        <is>
          <t>government</t>
        </is>
      </c>
      <c r="J160" s="14" t="inlineStr">
        <is>
          <t>2026-09-13</t>
        </is>
      </c>
      <c r="K160" s="14" t="inlineStr">
        <is>
          <t>2026-12-08</t>
        </is>
      </c>
      <c r="L160" s="14" t="inlineStr">
        <is>
          <t>45000.000 KWD</t>
        </is>
      </c>
      <c r="M160" s="14" t="inlineStr">
        <is>
          <t>1000.000 KWD</t>
        </is>
      </c>
      <c r="N160" s="26" t="inlineStr">
        <is>
          <t>UNCHANGED</t>
        </is>
      </c>
      <c r="O160" s="14" t="inlineStr">
        <is>
          <t>غير متوافقة مع اختصاصات KBM</t>
        </is>
      </c>
      <c r="P160" s="22">
        <f>HYPERLINK("https://capt.gov.kw/ar/tenders/opening-tenders/#card-2", "عرض المصدر")</f>
        <v/>
      </c>
    </row>
    <row r="161">
      <c r="A161" s="11" t="inlineStr">
        <is>
          <t>و ش ج /4/2025/2026</t>
        </is>
      </c>
      <c r="B161" s="11" t="inlineStr">
        <is>
          <t>وزارة الشئون الاجتماعية</t>
        </is>
      </c>
      <c r="C161" s="11" t="inlineStr">
        <is>
          <t>Eiman Ashkanani</t>
        </is>
      </c>
      <c r="D161" s="11" t="inlineStr">
        <is>
          <t>اعداد الدراسات الاستشارية لأعمال منتجع صباح الأحمد لرعاية المسنين التابع لوزارة الشئون الاجتماعية</t>
        </is>
      </c>
      <c r="E161" s="11" t="inlineStr">
        <is>
          <t>أعمال وتوريدات اعداد الدراسات الاستشارية لأعمال منتجع صباح الأحمد لرعاية المسنين التابع لوزارة الشئون الاجتماعية لصالح وزارة الشئون الاجتماعية وفقاً للشروط والمواصفات المعتمدة في وثائق الطرح.</t>
        </is>
      </c>
      <c r="F16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61" s="12" t="inlineStr">
        <is>
          <t>عام</t>
        </is>
      </c>
      <c r="H161" s="12" t="inlineStr">
        <is>
          <t>0.0%</t>
        </is>
      </c>
      <c r="I161" s="12" t="inlineStr">
        <is>
          <t>government</t>
        </is>
      </c>
      <c r="J161" s="12" t="inlineStr">
        <is>
          <t>2026-09-13</t>
        </is>
      </c>
      <c r="K161" s="12" t="inlineStr">
        <is>
          <t>2026-12-08</t>
        </is>
      </c>
      <c r="L161" s="12" t="inlineStr">
        <is>
          <t>6000.000 KWD</t>
        </is>
      </c>
      <c r="M161" s="12" t="inlineStr">
        <is>
          <t>300.000 KWD</t>
        </is>
      </c>
      <c r="N161" s="26" t="inlineStr">
        <is>
          <t>UNCHANGED</t>
        </is>
      </c>
      <c r="O161" s="12" t="inlineStr">
        <is>
          <t>غير متوافقة مع اختصاصات KBM</t>
        </is>
      </c>
      <c r="P161" s="23">
        <f>HYPERLINK("https://capt.gov.kw/ar/tenders/opening-tenders/#card-1", "عرض المصدر")</f>
        <v/>
      </c>
    </row>
    <row r="162">
      <c r="A162" s="13" t="inlineStr">
        <is>
          <t>2/2025/2026</t>
        </is>
      </c>
      <c r="B162" s="13" t="inlineStr">
        <is>
          <t>وزارة الشئون الاجتماعية</t>
        </is>
      </c>
      <c r="C162" s="13" t="inlineStr">
        <is>
          <t>Eiman Ashkanani</t>
        </is>
      </c>
      <c r="D162" s="13" t="inlineStr">
        <is>
          <t>أعمال توريد الحفاظات لكبار السن المقيدين في وزارة الشئون الإجتماعية</t>
        </is>
      </c>
      <c r="E162" s="13" t="inlineStr">
        <is>
          <t>أعمال وتوريدات أعمال توريد الحفاظات لكبار السن المقيدين في وزارة الشئون الإجتماعية لصالح وزارة الشئون الاجتماعية وفقاً للشروط والمواصفات المعتمدة في وثائق الطرح.</t>
        </is>
      </c>
      <c r="F16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62" s="14" t="inlineStr">
        <is>
          <t>عام</t>
        </is>
      </c>
      <c r="H162" s="14" t="inlineStr">
        <is>
          <t>0.0%</t>
        </is>
      </c>
      <c r="I162" s="14" t="inlineStr">
        <is>
          <t>government</t>
        </is>
      </c>
      <c r="J162" s="14" t="inlineStr">
        <is>
          <t>2026-09-20</t>
        </is>
      </c>
      <c r="K162" s="14" t="inlineStr">
        <is>
          <t>2026-12-15</t>
        </is>
      </c>
      <c r="L162" s="14" t="inlineStr">
        <is>
          <t>23000.000 KWD</t>
        </is>
      </c>
      <c r="M162" s="14" t="inlineStr">
        <is>
          <t>1000.000 KWD</t>
        </is>
      </c>
      <c r="N162" s="26" t="inlineStr">
        <is>
          <t>UNCHANGED</t>
        </is>
      </c>
      <c r="O162" s="14" t="inlineStr">
        <is>
          <t>غير متوافقة مع اختصاصات KBM</t>
        </is>
      </c>
      <c r="P162" s="22">
        <f>HYPERLINK("https://capt.gov.kw/ar/tenders/opening-tenders/#card-7", "عرض المصدر")</f>
        <v/>
      </c>
    </row>
    <row r="163">
      <c r="A163" s="11" t="inlineStr">
        <is>
          <t>و ش ج / 2/2025/2026</t>
        </is>
      </c>
      <c r="B163" s="11" t="inlineStr">
        <is>
          <t>وزارة الشئون الاجتماعية</t>
        </is>
      </c>
      <c r="C163" s="11" t="inlineStr">
        <is>
          <t>Eiman Ashkanani</t>
        </is>
      </c>
      <c r="D163" s="11" t="inlineStr">
        <is>
          <t>أعمال توريد الحفاظات لكبار السن المقيدين في وزارة الشئون الإجتماعية</t>
        </is>
      </c>
      <c r="E163" s="11" t="inlineStr">
        <is>
          <t>أعمال وتوريدات أعمال توريد الحفاظات لكبار السن المقيدين في وزارة الشئون الإجتماعية لصالح وزارة الشئون الاجتماعية وفقاً للشروط والمواصفات المعتمدة في وثائق الطرح.</t>
        </is>
      </c>
      <c r="F16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63" s="12" t="inlineStr">
        <is>
          <t>عام</t>
        </is>
      </c>
      <c r="H163" s="12" t="inlineStr">
        <is>
          <t>0.0%</t>
        </is>
      </c>
      <c r="I163" s="12" t="inlineStr">
        <is>
          <t>government</t>
        </is>
      </c>
      <c r="J163" s="12" t="inlineStr">
        <is>
          <t>2026-09-20</t>
        </is>
      </c>
      <c r="K163" s="12" t="inlineStr">
        <is>
          <t>2026-12-15</t>
        </is>
      </c>
      <c r="L163" s="12" t="inlineStr">
        <is>
          <t>23000.000 KWD</t>
        </is>
      </c>
      <c r="M163" s="12" t="inlineStr">
        <is>
          <t>1000.000 KWD</t>
        </is>
      </c>
      <c r="N163" s="26" t="inlineStr">
        <is>
          <t>UNCHANGED</t>
        </is>
      </c>
      <c r="O163" s="12" t="inlineStr">
        <is>
          <t>غير متوافقة مع اختصاصات KBM</t>
        </is>
      </c>
      <c r="P163" s="23">
        <f>HYPERLINK("https://capt.gov.kw/ar/tenders/opening-tenders/#card-1", "عرض المصدر")</f>
        <v/>
      </c>
    </row>
    <row r="164">
      <c r="A164" s="13" t="inlineStr">
        <is>
          <t>و ش ج 8/2025/2026</t>
        </is>
      </c>
      <c r="B164" s="13" t="inlineStr">
        <is>
          <t>وزارة الشئون الاجتماعية</t>
        </is>
      </c>
      <c r="C164" s="13" t="inlineStr">
        <is>
          <t>Eiman Ashkanani</t>
        </is>
      </c>
      <c r="D164" s="13" t="inlineStr">
        <is>
          <t>أعمال اصلاح وتشغيل وصيانة معدات التكييف والتبريد والتدفئة والتهوية الخاصة بصالات الأفراح التابعة للوزارة</t>
        </is>
      </c>
      <c r="E164" s="13" t="inlineStr">
        <is>
          <t>أعمال صيانة وتشغيل وإصلاح وحدات ومحطات التكييف المركزي والمبردات وضواغط الهواء وشبكات مجاري الهواء.</t>
        </is>
      </c>
      <c r="F16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64" s="14" t="inlineStr">
        <is>
          <t>قطاع العمليات المدارة والدعم الفني متعدد الموردين</t>
        </is>
      </c>
      <c r="H164" s="14" t="inlineStr">
        <is>
          <t>49.0%</t>
        </is>
      </c>
      <c r="I164" s="14" t="inlineStr">
        <is>
          <t>government</t>
        </is>
      </c>
      <c r="J164" s="14" t="inlineStr">
        <is>
          <t>2026-10-04</t>
        </is>
      </c>
      <c r="K164" s="14" t="inlineStr">
        <is>
          <t>2026-12-29</t>
        </is>
      </c>
      <c r="L164" s="14" t="inlineStr">
        <is>
          <t>23000.000 KWD</t>
        </is>
      </c>
      <c r="M164" s="14" t="inlineStr">
        <is>
          <t>1000.000 KWD</t>
        </is>
      </c>
      <c r="N164" s="26" t="inlineStr">
        <is>
          <t>UNCHANGED</t>
        </is>
      </c>
      <c r="O164" s="14" t="inlineStr">
        <is>
          <t>فرصة تتطلب شراكة أو دراسة نطاق</t>
        </is>
      </c>
      <c r="P164" s="22">
        <f>HYPERLINK("https://capt.gov.kw/ar/tenders/opening-tenders/#card-3", "عرض المصدر")</f>
        <v/>
      </c>
    </row>
    <row r="165">
      <c r="A165" s="11" t="inlineStr">
        <is>
          <t>و ش ج 1/2026/2027</t>
        </is>
      </c>
      <c r="B165" s="11" t="inlineStr">
        <is>
          <t>وزارة الشئون الاجتماعية</t>
        </is>
      </c>
      <c r="C165" s="11" t="inlineStr">
        <is>
          <t>Eiman Ashkanani</t>
        </is>
      </c>
      <c r="D165" s="11" t="inlineStr">
        <is>
          <t>تجديد الدعم الفني لتراخيص الاوراكل لوزارة الشئون الاجتماعية</t>
        </is>
      </c>
      <c r="E165" s="11" t="inlineStr">
        <is>
          <t>تنفيذ أعمال تجديد الدعم الفني لتراخيص الاوراكل لوزارة الشئون الاجتماعية، وتوفير كافة الأجهزة والمعدات والأنظمة وخدمات الدعم الفني والضمان وفقاً لكراسة الشروط والمواصفات الفنية.</t>
        </is>
      </c>
      <c r="F16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65" s="24" t="inlineStr">
        <is>
          <t>قطاع العمليات المدارة والدعم الفني متعدد الموردين</t>
        </is>
      </c>
      <c r="H165" s="12" t="inlineStr">
        <is>
          <t>84.0%</t>
        </is>
      </c>
      <c r="I165" s="12" t="inlineStr">
        <is>
          <t>government</t>
        </is>
      </c>
      <c r="J165" s="12" t="inlineStr">
        <is>
          <t>2026-10-11</t>
        </is>
      </c>
      <c r="K165" s="12" t="inlineStr">
        <is>
          <t>2027-01-05</t>
        </is>
      </c>
      <c r="L165" s="12" t="inlineStr">
        <is>
          <t>3500.000 KWD</t>
        </is>
      </c>
      <c r="M165" s="12" t="inlineStr">
        <is>
          <t>150.000 KWD</t>
        </is>
      </c>
      <c r="N165" s="26" t="inlineStr">
        <is>
          <t>UNCHANGED</t>
        </is>
      </c>
      <c r="O165" s="12" t="inlineStr">
        <is>
          <t>فرصة استراتيجية رئيسية (موصى بالتقديم)</t>
        </is>
      </c>
      <c r="P165" s="23">
        <f>HYPERLINK("https://capt.gov.kw/ar/tenders/opening-tenders/#card-6", "عرض المصدر")</f>
        <v/>
      </c>
    </row>
    <row r="166">
      <c r="A166" s="13" t="inlineStr">
        <is>
          <t>2027/2026/74</t>
        </is>
      </c>
      <c r="B166" s="13" t="inlineStr">
        <is>
          <t>وزارة الصحة</t>
        </is>
      </c>
      <c r="C166" s="13" t="inlineStr">
        <is>
          <t>Jana Al-Obaid</t>
        </is>
      </c>
      <c r="D166" s="13" t="inlineStr">
        <is>
          <t>ممارسة رقم 2027/2026/74: توريد وتركيب وتشغيل شاشات تليفزيون لمركز الصليبية وتحويلة لمركز علاج الإدمان</t>
        </is>
      </c>
      <c r="E166" s="13" t="inlineStr">
        <is>
          <t>توريد المستلزمات والمواد والمستهلكات الطبية أو المخبرية المتخصصة لصالح المرافق الصحية.</t>
        </is>
      </c>
      <c r="F16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66" s="14" t="inlineStr">
        <is>
          <t>عام</t>
        </is>
      </c>
      <c r="H166" s="14" t="inlineStr">
        <is>
          <t>15.0%</t>
        </is>
      </c>
      <c r="I166" s="14" t="inlineStr">
        <is>
          <t>healthcare</t>
        </is>
      </c>
      <c r="J166" s="14" t="inlineStr">
        <is>
          <t>2026-09-27</t>
        </is>
      </c>
      <c r="K166" s="14" t="inlineStr">
        <is>
          <t>-</t>
        </is>
      </c>
      <c r="L166" s="14" t="inlineStr">
        <is>
          <t>-</t>
        </is>
      </c>
      <c r="M166" s="14" t="inlineStr">
        <is>
          <t>-</t>
        </is>
      </c>
      <c r="N166" s="21" t="inlineStr">
        <is>
          <t>UPDATED</t>
        </is>
      </c>
      <c r="O166" s="14" t="inlineStr">
        <is>
          <t>غير متوافقة مع اختصاصات KBM</t>
        </is>
      </c>
      <c r="P166" s="22">
        <f>HYPERLINK("https://kuwaitalyawm.media.gov.kw/Online/ViewAdsHTML?id=171553&amp;no=1", "عرض المصدر")</f>
        <v/>
      </c>
    </row>
    <row r="167">
      <c r="A167" s="11" t="inlineStr">
        <is>
          <t>2027/2026/72</t>
        </is>
      </c>
      <c r="B167" s="11" t="inlineStr">
        <is>
          <t>وزارة الصحة</t>
        </is>
      </c>
      <c r="C167" s="11" t="inlineStr">
        <is>
          <t>Jana Al-Obaid</t>
        </is>
      </c>
      <c r="D167" s="11" t="inlineStr">
        <is>
          <t>ممارسة رقم 2027/2026/72: تـعـلـن وزارة الصـحة عن طرح الممارسة : رقم ص / م س /72/2026/2027 توريد ثلاجات كهربائية ( احتياجات المراكز و المستشفيات ) بين الشركات المتخصصة في هذا المجال طبقا للشروط العامة والخاصة الموضحة في وثائق الممارسة التي يمكن الحصول عليها من موقع الوزارة (www.moh.gov.kw ) و ذلك مقابل دفع مبلغ ( 75 د . ك ) فقط مبلغ خمسة و سبعون دينار كويتي لا غير لا ترد .</t>
        </is>
      </c>
      <c r="E167" s="11" t="inlineStr">
        <is>
          <t>أعمال وتوريدات رقم ص / م س /72/2026/2027 توريد ثلاجات كهربائية ( احتياجات المراكز و المستشفيات ) بين الشركات المتخصصة في هذا المجال طبقا للشروط العامة والخاصة الموضحة في وثائق الممارسة التي يمكن الحصول عليها من موقع الوزارة (www.moh.gov.kw ) و ذلك مقابل دفع مبلغ ( 75 د . ك ) فقط مبلغ خمسة و سبعون دينار كويتي لا غير لا ترد . لصالح وزارة الصحة وفقاً للشروط والمواصفات المعتمدة في وثائق الطرح.</t>
        </is>
      </c>
      <c r="F16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67" s="12" t="inlineStr">
        <is>
          <t>عام</t>
        </is>
      </c>
      <c r="H167" s="12" t="inlineStr">
        <is>
          <t>15.0%</t>
        </is>
      </c>
      <c r="I167" s="12" t="inlineStr">
        <is>
          <t>healthcare</t>
        </is>
      </c>
      <c r="J167" s="12" t="inlineStr">
        <is>
          <t>2026-09-20</t>
        </is>
      </c>
      <c r="K167" s="12" t="inlineStr">
        <is>
          <t>-</t>
        </is>
      </c>
      <c r="L167" s="12" t="inlineStr">
        <is>
          <t>-</t>
        </is>
      </c>
      <c r="M167" s="12" t="inlineStr">
        <is>
          <t>-</t>
        </is>
      </c>
      <c r="N167" s="21" t="inlineStr">
        <is>
          <t>UPDATED</t>
        </is>
      </c>
      <c r="O167" s="12" t="inlineStr">
        <is>
          <t>غير متوافقة مع اختصاصات KBM</t>
        </is>
      </c>
      <c r="P167" s="23">
        <f>HYPERLINK("https://kuwaitalyawm.media.gov.kw/Online/ViewAdsHTML?id=170991&amp;no=1", "عرض المصدر")</f>
        <v/>
      </c>
    </row>
    <row r="168">
      <c r="A168" s="13" t="inlineStr">
        <is>
          <t>268-274</t>
        </is>
      </c>
      <c r="B168" s="13" t="inlineStr">
        <is>
          <t>وزارة الصحة</t>
        </is>
      </c>
      <c r="C168" s="13" t="inlineStr">
        <is>
          <t>Jana Al-Obaid</t>
        </is>
      </c>
      <c r="D168" s="13" t="inlineStr">
        <is>
          <t>ممارسة رقم 268-274 - وزارة الصحة (العدد 1810)</t>
        </is>
      </c>
      <c r="E168" s="13" t="inlineStr">
        <is>
          <t>أعمال وتوريدات ممارسة رقم 268-274 لصالح وزارة الصحة وفقاً للشروط والمواصفات المعتمدة في وثائق الطرح.</t>
        </is>
      </c>
      <c r="F168" s="13" t="inlineStr">
        <is>
          <t>• 1- أن تكون مقصورة على الشركات المسجلة لدى إدارة الهندسة الطبية.
• 2- أن تكون الشركة متخصصة في هذا المجال مع احضار ما يفيد ذلك.
• 3- سداد الرسوم المقررة لشراء وثائق الممارسة إلكترونياً.
• 4- أن تقدم الشركات المشاركة شهادة دعم العمالة الوطنية.
• 5- يمكن الحصول على وثائق الممارسات من تاريخ النشر لغاية تاريخ الإغلاق.</t>
        </is>
      </c>
      <c r="G168" s="14" t="inlineStr">
        <is>
          <t>عام</t>
        </is>
      </c>
      <c r="H168" s="14" t="inlineStr">
        <is>
          <t>15.0%</t>
        </is>
      </c>
      <c r="I168" s="14" t="inlineStr">
        <is>
          <t>healthcare</t>
        </is>
      </c>
      <c r="J168" s="14" t="inlineStr">
        <is>
          <t>2026-09-27</t>
        </is>
      </c>
      <c r="K168" s="14" t="inlineStr">
        <is>
          <t>-</t>
        </is>
      </c>
      <c r="L168" s="14" t="inlineStr">
        <is>
          <t>-</t>
        </is>
      </c>
      <c r="M168" s="14" t="inlineStr">
        <is>
          <t>75.0 KWD</t>
        </is>
      </c>
      <c r="N168" s="21" t="inlineStr">
        <is>
          <t>UPDATED</t>
        </is>
      </c>
      <c r="O168" s="14" t="inlineStr">
        <is>
          <t>غير متوافقة مع اختصاصات KBM</t>
        </is>
      </c>
      <c r="P168" s="22">
        <f>HYPERLINK("https://kuwaitalyawm.media.gov.kw/Online/ViewAdsHTML?id=171548&amp;no=1", "عرض المصدر")</f>
        <v/>
      </c>
    </row>
    <row r="169">
      <c r="A169" s="11" t="inlineStr">
        <is>
          <t>33/32</t>
        </is>
      </c>
      <c r="B169" s="11" t="inlineStr">
        <is>
          <t>وزارة الصحة</t>
        </is>
      </c>
      <c r="C169" s="11" t="inlineStr">
        <is>
          <t>Jana Al-Obaid</t>
        </is>
      </c>
      <c r="D169" s="11" t="inlineStr">
        <is>
          <t>ممارسة رقم 33/32: توريد وتركيب وتشغيل وصيانة نظام كاميرات المراقبة الأمنية بمستشفى الأميري الجديد والقديم والمباني التابعة لها</t>
        </is>
      </c>
      <c r="E169" s="11" t="inlineStr">
        <is>
          <t>تنفيذ أعمال توريد وتركيب وتشغيل وصيانة نظام كاميرات المراقبة الأمنية بمستشفى الأميري الجديد والقديم والمباني التابعة لها، وتوفير كافة الأجهزة والمعدات والأنظمة وخدمات الدعم الفني والضمان وفقاً لكراسة الشروط والمواصفات الفنية.</t>
        </is>
      </c>
      <c r="F16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69" s="24" t="inlineStr">
        <is>
          <t>قطاع العمليات المدارة والدعم الفني متعدد الموردين</t>
        </is>
      </c>
      <c r="H169" s="12" t="inlineStr">
        <is>
          <t>64.0%</t>
        </is>
      </c>
      <c r="I169" s="12" t="inlineStr">
        <is>
          <t>healthcare</t>
        </is>
      </c>
      <c r="J169" s="12" t="inlineStr">
        <is>
          <t>2026-09-27</t>
        </is>
      </c>
      <c r="K169" s="12" t="inlineStr">
        <is>
          <t>-</t>
        </is>
      </c>
      <c r="L169" s="12" t="inlineStr">
        <is>
          <t>-</t>
        </is>
      </c>
      <c r="M169" s="12" t="inlineStr">
        <is>
          <t>-</t>
        </is>
      </c>
      <c r="N169" s="26" t="inlineStr">
        <is>
          <t>UNCHANGED</t>
        </is>
      </c>
      <c r="O169" s="12" t="inlineStr">
        <is>
          <t>فرصة ICT متوافقة مع قدرات KBM</t>
        </is>
      </c>
      <c r="P169" s="23">
        <f>HYPERLINK("https://kuwaitalyawm.media.gov.kw/Online/ViewAdsHTML?id=171544&amp;no=1", "عرض المصدر")</f>
        <v/>
      </c>
    </row>
    <row r="170">
      <c r="A170" s="13" t="inlineStr">
        <is>
          <t>364-294</t>
        </is>
      </c>
      <c r="B170" s="13" t="inlineStr">
        <is>
          <t>وزارة الصحة</t>
        </is>
      </c>
      <c r="C170" s="13" t="inlineStr">
        <is>
          <t>Jana Al-Obaid</t>
        </is>
      </c>
      <c r="D170" s="13" t="inlineStr">
        <is>
          <t>ممارسة رقم 364-294 - وزارة الصحة (العدد 1810)</t>
        </is>
      </c>
      <c r="E170" s="13" t="inlineStr">
        <is>
          <t>أعمال وتوريدات ممارسة رقم 364-294 لصالح وزارة الصحة وفقاً للشروط والمواصفات المعتمدة في وثائق الطرح.</t>
        </is>
      </c>
      <c r="F170" s="13" t="inlineStr">
        <is>
          <t>• أن تكون مقصورة على الشركات المسجلة لدى إدارة الهندسة الطبية.
• أن تكون الشركة متخصصة في هذا المجال مع إحضار ما يفيد ذلك.
• سداد الرسوم المقررة لشراء وثائق الممارسة إلكترونياً.
• أن تقدم الشركات المشاركة شهادة دعم العمالة الوطنية.
• يمكن الحصول على وثائق الممارسات من تاريخ النشر لغاية تاريخ الإغلاق.</t>
        </is>
      </c>
      <c r="G170" s="14" t="inlineStr">
        <is>
          <t>عام</t>
        </is>
      </c>
      <c r="H170" s="14" t="inlineStr">
        <is>
          <t>0.0%</t>
        </is>
      </c>
      <c r="I170" s="14" t="inlineStr">
        <is>
          <t>healthcare</t>
        </is>
      </c>
      <c r="J170" s="14" t="inlineStr">
        <is>
          <t>2026-09-27</t>
        </is>
      </c>
      <c r="K170" s="14" t="inlineStr">
        <is>
          <t>-</t>
        </is>
      </c>
      <c r="L170" s="14" t="inlineStr">
        <is>
          <t>-</t>
        </is>
      </c>
      <c r="M170" s="14" t="inlineStr">
        <is>
          <t>75.0 KWD</t>
        </is>
      </c>
      <c r="N170" s="21" t="inlineStr">
        <is>
          <t>UPDATED</t>
        </is>
      </c>
      <c r="O170" s="14" t="inlineStr">
        <is>
          <t>غير متوافقة مع اختصاصات KBM</t>
        </is>
      </c>
      <c r="P170" s="22">
        <f>HYPERLINK("https://kuwaitalyawm.media.gov.kw/Online/ViewAdsHTML?id=171543&amp;no=1", "عرض المصدر")</f>
        <v/>
      </c>
    </row>
    <row r="171">
      <c r="A171" s="11" t="inlineStr">
        <is>
          <t>16-5</t>
        </is>
      </c>
      <c r="B171" s="11" t="inlineStr">
        <is>
          <t>وزارة الصحة</t>
        </is>
      </c>
      <c r="C171" s="11" t="inlineStr">
        <is>
          <t>Jana Al-Obaid</t>
        </is>
      </c>
      <c r="D171" s="11" t="inlineStr">
        <is>
          <t>ممارسة رقم 16-5 - وزارة الصحة (العدد 1809)</t>
        </is>
      </c>
      <c r="E171" s="11" t="inlineStr">
        <is>
          <t>أعمال وتوريدات ممارسة رقم 16-5 لصالح وزارة الصحة وفقاً للشروط والمواصفات المعتمدة في وثائق الطرح.</t>
        </is>
      </c>
      <c r="F171" s="11" t="inlineStr">
        <is>
          <t>• 1- أن تكون مقصورة على الشركات المسجلة لدى إدارة الهندسة الطبية.
• 2- أن تكون الشركة متخصصة في هذا المجال مع احضار ما يفيد ذلك.
• 3- سداد الرسوم المقررة لشراء وثائق الممارسة إلكترونياً.
• 4- أن تقدم الشركات المشاركة شهادة دعم العمالة الوطنية.
• 5- يمكن الحصول على وثائق الممارسات من تاريخ النشر لغاية تاريخ الاغلاق.</t>
        </is>
      </c>
      <c r="G171" s="12" t="inlineStr">
        <is>
          <t>عام</t>
        </is>
      </c>
      <c r="H171" s="12" t="inlineStr">
        <is>
          <t>15.0%</t>
        </is>
      </c>
      <c r="I171" s="12" t="inlineStr">
        <is>
          <t>healthcare</t>
        </is>
      </c>
      <c r="J171" s="12" t="inlineStr">
        <is>
          <t>2026-09-20</t>
        </is>
      </c>
      <c r="K171" s="18" t="inlineStr">
        <is>
          <t>2026-10-14</t>
        </is>
      </c>
      <c r="L171" s="12" t="inlineStr">
        <is>
          <t>-</t>
        </is>
      </c>
      <c r="M171" s="12" t="inlineStr">
        <is>
          <t>300.0 KWD</t>
        </is>
      </c>
      <c r="N171" s="21" t="inlineStr">
        <is>
          <t>UPDATED</t>
        </is>
      </c>
      <c r="O171" s="12" t="inlineStr">
        <is>
          <t>غير متوافقة مع اختصاصات KBM</t>
        </is>
      </c>
      <c r="P171" s="23">
        <f>HYPERLINK("https://kuwaitalyawm.media.gov.kw/Online/ViewAdsHTML?id=170980&amp;no=1", "عرض المصدر")</f>
        <v/>
      </c>
    </row>
    <row r="172">
      <c r="A172" s="13" t="inlineStr">
        <is>
          <t>4-6</t>
        </is>
      </c>
      <c r="B172" s="13" t="inlineStr">
        <is>
          <t>وزارة الصحة</t>
        </is>
      </c>
      <c r="C172" s="13" t="inlineStr">
        <is>
          <t>Jana Al-Obaid</t>
        </is>
      </c>
      <c r="D172" s="13" t="inlineStr">
        <is>
          <t>ممارسة رقم 4-6 - وزارة الصحة (العدد 1809)</t>
        </is>
      </c>
      <c r="E172" s="13" t="inlineStr">
        <is>
          <t>أعمال وتوريدات ممارسة رقم 4-6 لصالح وزارة الصحة وفقاً للشروط والمواصفات المعتمدة في وثائق الطرح.</t>
        </is>
      </c>
      <c r="F172" s="13" t="inlineStr">
        <is>
          <t>• 1- الشركة المحلية يجب أن تكون مسجلة لدى إدارة المستودعات الطبية بسجل الموردين
• 2- الشركة المحلية يجب أن تكون متخصصة في المجال الطبي وموثق بشهادة معتمدة من غرفة التجارة والصناعة
• 3- عند تقديم عرضين يجب شراء كراستين بوصلين مختلفين
• 4- ارفاق شهادة تسجيل للمنتج سارية المفعول من إدارة التسجيل ومراقبة الأدوية الطبية والنباتية أو ما يثبت بتقديم الشهادة ونسخة من تسجيل الشركة المصنعة والمادة في سجل الموردين بإدارة المستودعات الطبية ضمن محتويات العطاء المقدم فيه (خاص بمراقبة الأدوية)
• 5- تقديم عينات للمواد الجديدة سواءً كان منتج جديد يطلب لأول مرة أو من شركة مصنعة جديدة للمراقبة المختصة ( الأدوية – اللوازم الطبية)
• 6- ارفاق شهادة نسبة دعم العمالة الوطنية
• 7- يمكن الحصول على وثائق الممارسات في الموقع الإلكتروني الخاص بوزارة الصحة
• 8- يمكن دفع رسوم شراء الكراسة من الموقع الإلكتروني لإرفاقه مع وثائق الممارسة
• 9- تقديم عروض الأسعار بظرف مقفل شامل مع وثائق الممارسة حسب تاريخ الإقفال المحدد في الموقع الإلكتروني الخاص بوزارة ا لصحة</t>
        </is>
      </c>
      <c r="G172" s="14" t="inlineStr">
        <is>
          <t>عام</t>
        </is>
      </c>
      <c r="H172" s="14" t="inlineStr">
        <is>
          <t>0.0%</t>
        </is>
      </c>
      <c r="I172" s="14" t="inlineStr">
        <is>
          <t>healthcare</t>
        </is>
      </c>
      <c r="J172" s="14" t="inlineStr">
        <is>
          <t>2026-09-20</t>
        </is>
      </c>
      <c r="K172" s="18" t="inlineStr">
        <is>
          <t>2026-10-14</t>
        </is>
      </c>
      <c r="L172" s="14" t="inlineStr">
        <is>
          <t>-</t>
        </is>
      </c>
      <c r="M172" s="14" t="inlineStr">
        <is>
          <t>75.0 KWD</t>
        </is>
      </c>
      <c r="N172" s="21" t="inlineStr">
        <is>
          <t>UPDATED</t>
        </is>
      </c>
      <c r="O172" s="14" t="inlineStr">
        <is>
          <t>غير متوافقة مع اختصاصات KBM</t>
        </is>
      </c>
      <c r="P172" s="22">
        <f>HYPERLINK("https://kuwaitalyawm.media.gov.kw/Online/ViewAdsHTML?id=170990&amp;no=1", "عرض المصدر")</f>
        <v/>
      </c>
    </row>
    <row r="173">
      <c r="A173" s="11" t="inlineStr">
        <is>
          <t>126-320</t>
        </is>
      </c>
      <c r="B173" s="11" t="inlineStr">
        <is>
          <t>وزارة الصحة</t>
        </is>
      </c>
      <c r="C173" s="11" t="inlineStr">
        <is>
          <t>Jana Al-Obaid</t>
        </is>
      </c>
      <c r="D173" s="11" t="inlineStr">
        <is>
          <t>ممارسة رقم 126-320 - وزارة الصحة (العدد 1808)</t>
        </is>
      </c>
      <c r="E173" s="11" t="inlineStr">
        <is>
          <t>أعمال وتوريدات ممارسة رقم 126-320 لصالح وزارة الصحة وفقاً للشروط والمواصفات المعتمدة في وثائق الطرح.</t>
        </is>
      </c>
      <c r="F173" s="11" t="inlineStr">
        <is>
          <t>• 1- أن تكون مقصورة على الشركات المسجلة لدى إدارة الهندسة الطبية.
• 2- أن تكون الشركة متخصصة في هذا المجال مع احضار ما يفيد ذلك.
• 3- سداد الرسوم المقررة لشراء وثائق الممارسة إلكترونياً.
• 4- أن تقدم الشركات المشاركة شهادة دعم العمالة الوطنية.
• 5- يمكن الحصول على وثائق الممارسات من تاريخ النشر لغاية تاريخ الاغلاق.</t>
        </is>
      </c>
      <c r="G173" s="12" t="inlineStr">
        <is>
          <t>عام</t>
        </is>
      </c>
      <c r="H173" s="12" t="inlineStr">
        <is>
          <t>15.0%</t>
        </is>
      </c>
      <c r="I173" s="12" t="inlineStr">
        <is>
          <t>healthcare</t>
        </is>
      </c>
      <c r="J173" s="12" t="inlineStr">
        <is>
          <t>2026-09-13</t>
        </is>
      </c>
      <c r="K173" s="18" t="inlineStr">
        <is>
          <t>2026-10-14</t>
        </is>
      </c>
      <c r="L173" s="12" t="inlineStr">
        <is>
          <t>-</t>
        </is>
      </c>
      <c r="M173" s="12" t="inlineStr">
        <is>
          <t>75.0 KWD</t>
        </is>
      </c>
      <c r="N173" s="21" t="inlineStr">
        <is>
          <t>UPDATED</t>
        </is>
      </c>
      <c r="O173" s="12" t="inlineStr">
        <is>
          <t>غير متوافقة مع اختصاصات KBM</t>
        </is>
      </c>
      <c r="P173" s="23">
        <f>HYPERLINK("https://kuwaitalyawm.media.gov.kw/Online/ViewAdsHTML?id=169860&amp;no=1", "عرض المصدر")</f>
        <v/>
      </c>
    </row>
    <row r="174">
      <c r="A174" s="13" t="inlineStr">
        <is>
          <t>703-280</t>
        </is>
      </c>
      <c r="B174" s="13" t="inlineStr">
        <is>
          <t>وزارة الصحة</t>
        </is>
      </c>
      <c r="C174" s="13" t="inlineStr">
        <is>
          <t>Jana Al-Obaid</t>
        </is>
      </c>
      <c r="D174" s="13" t="inlineStr">
        <is>
          <t>ممارسة رقم 703-280 - وزارة الصحة (العدد 1808)</t>
        </is>
      </c>
      <c r="E174" s="13" t="inlineStr">
        <is>
          <t>أعمال وتوريدات ممارسة رقم 703-280 لصالح وزارة الصحة وفقاً للشروط والمواصفات المعتمدة في وثائق الطرح.</t>
        </is>
      </c>
      <c r="F174" s="13" t="inlineStr">
        <is>
          <t>• 1- أن تكون مقصورة على الشركات المسجلة لدى إدارة الهندسة الطبية.
• 2- أن تكون الشركة متخصصة في هذا المجال مع احضار ما يفيد ذلك.
• 3- سداد الرسوم المقررة لشراء وثائق الممارسة إلكترونياً.
• 4- أن تقدم الشركات المشاركة شهادة دعم العمالة الوطنية.
• 5- يمكن الحصول على وثائق الممارسات من تاريخ النشر لغاية تاريخ الاغلاق.</t>
        </is>
      </c>
      <c r="G174" s="14" t="inlineStr">
        <is>
          <t>عام</t>
        </is>
      </c>
      <c r="H174" s="14" t="inlineStr">
        <is>
          <t>15.0%</t>
        </is>
      </c>
      <c r="I174" s="14" t="inlineStr">
        <is>
          <t>healthcare</t>
        </is>
      </c>
      <c r="J174" s="14" t="inlineStr">
        <is>
          <t>2026-09-13</t>
        </is>
      </c>
      <c r="K174" s="18" t="inlineStr">
        <is>
          <t>2026-10-14</t>
        </is>
      </c>
      <c r="L174" s="14" t="inlineStr">
        <is>
          <t>-</t>
        </is>
      </c>
      <c r="M174" s="14" t="inlineStr">
        <is>
          <t>75.0 KWD</t>
        </is>
      </c>
      <c r="N174" s="21" t="inlineStr">
        <is>
          <t>UPDATED</t>
        </is>
      </c>
      <c r="O174" s="14" t="inlineStr">
        <is>
          <t>غير متوافقة مع اختصاصات KBM</t>
        </is>
      </c>
      <c r="P174" s="22">
        <f>HYPERLINK("https://kuwaitalyawm.media.gov.kw/Online/ViewAdsHTML?id=169861&amp;no=1", "عرض المصدر")</f>
        <v/>
      </c>
    </row>
    <row r="175">
      <c r="A175" s="11" t="inlineStr">
        <is>
          <t>334-331</t>
        </is>
      </c>
      <c r="B175" s="11" t="inlineStr">
        <is>
          <t>وزارة الصحة</t>
        </is>
      </c>
      <c r="C175" s="11" t="inlineStr">
        <is>
          <t>Jana Al-Obaid</t>
        </is>
      </c>
      <c r="D175" s="11" t="inlineStr">
        <is>
          <t>ممارسة رقم 334-331 - وزارة الصحة (العدد 1808)</t>
        </is>
      </c>
      <c r="E175" s="11" t="inlineStr">
        <is>
          <t>أعمال وتوريدات ممارسة رقم 334-331 لصالح وزارة الصحة وفقاً للشروط والمواصفات المعتمدة في وثائق الطرح.</t>
        </is>
      </c>
      <c r="F175" s="11" t="inlineStr">
        <is>
          <t>• 1- الشركة المحلية يجب أن تكون مسجلة لدى إدارة المستودعات الطبية بسجل الموردين
• 2- الشركة المحلية يجب أن تكون متخصصة في المجال الطبي وموثق بشهادة معتمدة من غرفة التجارة والصناعة
• 3- عند تقديم عرضين يجب شراء كراستين بوصلين مختلفين
• 4- ارفاق شهادة تسجيل للمنتج سارية المفعول من إدارة التسجيل ومراقبة الأدوية الطبية والنباتية أو ما يثبت بتقديم الشهادة ونسخة من تسجيل الشركة المصنعة والمادة في سجل الموردين بإدارة المستودعات الطبية ضمن محتويات العطاء المقدم فيه (خاص بمراقبة الأدوية)
• 5- تقديم عينات للمواد الجديدة سواءً كان منتج جديد يطلب لأول مرة أو من شركة مصنعة جديدة للمراقبة المختصة ( الأدوية – اللوازم الطبية)
• 6- ارفاق شهادة نسبة دعم العمالة الوطنية
• 7- يمكن الحصول على وثائق الممارسات في الموقع الإلكتروني الخاص بوزارة الصحة
• 8- يمكن دفع رسوم شراء الكراسة من الموقع الإلكتروني لإرفاقه مع وثائق الممارسة
• 9- تقديم عروض الأسعار بظرف مقفل شامل مع وثائق الممارسة حسب تاريخ الإقفال المحدد في الموقع الإلكتروني الخاص بوزارة ا لصحة</t>
        </is>
      </c>
      <c r="G175" s="12" t="inlineStr">
        <is>
          <t>عام</t>
        </is>
      </c>
      <c r="H175" s="12" t="inlineStr">
        <is>
          <t>0.0%</t>
        </is>
      </c>
      <c r="I175" s="12" t="inlineStr">
        <is>
          <t>healthcare</t>
        </is>
      </c>
      <c r="J175" s="12" t="inlineStr">
        <is>
          <t>2026-09-13</t>
        </is>
      </c>
      <c r="K175" s="18" t="inlineStr">
        <is>
          <t>2026-10-14</t>
        </is>
      </c>
      <c r="L175" s="12" t="inlineStr">
        <is>
          <t>-</t>
        </is>
      </c>
      <c r="M175" s="12" t="inlineStr">
        <is>
          <t>75.0 KWD</t>
        </is>
      </c>
      <c r="N175" s="21" t="inlineStr">
        <is>
          <t>UPDATED</t>
        </is>
      </c>
      <c r="O175" s="12" t="inlineStr">
        <is>
          <t>غير متوافقة مع اختصاصات KBM</t>
        </is>
      </c>
      <c r="P175" s="23">
        <f>HYPERLINK("https://kuwaitalyawm.media.gov.kw/Online/ViewAdsHTML?id=169867&amp;no=1", "عرض المصدر")</f>
        <v/>
      </c>
    </row>
    <row r="176">
      <c r="A176" s="13" t="inlineStr">
        <is>
          <t>36-40</t>
        </is>
      </c>
      <c r="B176" s="13" t="inlineStr">
        <is>
          <t>وزارة الصحة</t>
        </is>
      </c>
      <c r="C176" s="13" t="inlineStr">
        <is>
          <t>Jana Al-Obaid</t>
        </is>
      </c>
      <c r="D176" s="13" t="inlineStr">
        <is>
          <t>ممارسة رقم 36-40 - وزارة الصحة (العدد 1810)</t>
        </is>
      </c>
      <c r="E176" s="13" t="inlineStr">
        <is>
          <t>أعمال وتوريدات ممارسة رقم 36-40 لصالح وزارة الصحة وفقاً للشروط والمواصفات المعتمدة في وثائق الطرح.</t>
        </is>
      </c>
      <c r="F176" s="13" t="inlineStr">
        <is>
          <t>• أن تكون مقصورة على الشركات المسجلة لدى إدارة الهندسة الطبية.
• أن تكون الشركة متخصصة في هذا المجال مع إحضار ما يفيد ذلك.
• سداد الرسوم المقررة لشراء وثائق الممارسة بطوابع إلكترونية.
• كتاب تفويض من الشركة بشراء وثائق الممارسة.
• أن تقدم الشركات المشاركة شهادة دعم العمالة الوطنية.
• يمكن الحصول على وثائق الممارسات من تاريخ النشر ولمدة 14 يوم فقط.</t>
        </is>
      </c>
      <c r="G176" s="14" t="inlineStr">
        <is>
          <t>عام</t>
        </is>
      </c>
      <c r="H176" s="14" t="inlineStr">
        <is>
          <t>15.0%</t>
        </is>
      </c>
      <c r="I176" s="14" t="inlineStr">
        <is>
          <t>healthcare</t>
        </is>
      </c>
      <c r="J176" s="14" t="inlineStr">
        <is>
          <t>2026-09-27</t>
        </is>
      </c>
      <c r="K176" s="18" t="inlineStr">
        <is>
          <t>2026-10-14</t>
        </is>
      </c>
      <c r="L176" s="14" t="inlineStr">
        <is>
          <t>-</t>
        </is>
      </c>
      <c r="M176" s="14" t="inlineStr">
        <is>
          <t>75.0 KWD</t>
        </is>
      </c>
      <c r="N176" s="21" t="inlineStr">
        <is>
          <t>UPDATED</t>
        </is>
      </c>
      <c r="O176" s="14" t="inlineStr">
        <is>
          <t>غير متوافقة مع اختصاصات KBM</t>
        </is>
      </c>
      <c r="P176" s="22">
        <f>HYPERLINK("https://kuwaitalyawm.media.gov.kw/Online/ViewAdsHTML?id=171546&amp;no=1", "عرض المصدر")</f>
        <v/>
      </c>
    </row>
    <row r="177">
      <c r="A177" s="11" t="inlineStr">
        <is>
          <t>ص / م خ ع / 3/2026/2027</t>
        </is>
      </c>
      <c r="B177" s="11" t="inlineStr">
        <is>
          <t>وزارة الصحة</t>
        </is>
      </c>
      <c r="C177" s="11" t="inlineStr">
        <is>
          <t>Jana Al-Obaid</t>
        </is>
      </c>
      <c r="D177" s="11" t="inlineStr">
        <is>
          <t>حراسة وامن مرافق الوزارة منطقتي ( الصباح الطبية التخصصية - منطقة الأحمدي الصحية ) و الادارات المركزية</t>
        </is>
      </c>
      <c r="E177" s="11" t="inlineStr">
        <is>
          <t>توفير خدمات الحراسة والأمن والسلامة للمباني والمنشآت وتأمين المداخل وتوفير الكوادر الأمنية المدربة.</t>
        </is>
      </c>
      <c r="F17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77" s="12" t="inlineStr">
        <is>
          <t>عام</t>
        </is>
      </c>
      <c r="H177" s="12" t="inlineStr">
        <is>
          <t>0.0%</t>
        </is>
      </c>
      <c r="I177" s="12" t="inlineStr">
        <is>
          <t>healthcare</t>
        </is>
      </c>
      <c r="J177" s="12" t="inlineStr">
        <is>
          <t>2026-08-30</t>
        </is>
      </c>
      <c r="K177" s="18" t="inlineStr">
        <is>
          <t>2026-10-20</t>
        </is>
      </c>
      <c r="L177" s="12" t="inlineStr">
        <is>
          <t>100000.000 KWD</t>
        </is>
      </c>
      <c r="M177" s="12" t="inlineStr">
        <is>
          <t>3500.000 KWD</t>
        </is>
      </c>
      <c r="N177" s="25" t="inlineStr">
        <is>
          <t>NEW</t>
        </is>
      </c>
      <c r="O177" s="12" t="inlineStr">
        <is>
          <t>غير متوافقة مع اختصاصات KBM</t>
        </is>
      </c>
      <c r="P177" s="23">
        <f>HYPERLINK("https://capt.gov.kw/ar/tenders/opening-tenders/#card-5", "عرض المصدر")</f>
        <v/>
      </c>
    </row>
    <row r="178">
      <c r="A178" s="13" t="inlineStr">
        <is>
          <t>ص/م خ ع/13/2026/2027</t>
        </is>
      </c>
      <c r="B178" s="13" t="inlineStr">
        <is>
          <t>وزارة الصحة</t>
        </is>
      </c>
      <c r="C178" s="13" t="inlineStr">
        <is>
          <t>Jana Al-Obaid</t>
        </is>
      </c>
      <c r="D178" s="13" t="inlineStr">
        <is>
          <t>اعداد الدراسة و التصميم و الاشراف على تنفيذ مشروع مباني المحور الخدمي لمدينة صباح الاحمد الصحية</t>
        </is>
      </c>
      <c r="E178" s="13" t="inlineStr">
        <is>
          <t>أعمال وتوريدات اعداد الدراسة و التصميم و الاشراف على تنفيذ مشروع مباني المحور الخدمي لمدينة صباح الاحمد الصحية لصالح وزارة الصحة وفقاً للشروط والمواصفات المعتمدة في وثائق الطرح.</t>
        </is>
      </c>
      <c r="F17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78" s="14" t="inlineStr">
        <is>
          <t>عام</t>
        </is>
      </c>
      <c r="H178" s="14" t="inlineStr">
        <is>
          <t>15.0%</t>
        </is>
      </c>
      <c r="I178" s="14" t="inlineStr">
        <is>
          <t>healthcare</t>
        </is>
      </c>
      <c r="J178" s="14" t="inlineStr">
        <is>
          <t>2026-09-20</t>
        </is>
      </c>
      <c r="K178" s="18" t="inlineStr">
        <is>
          <t>2026-10-20</t>
        </is>
      </c>
      <c r="L178" s="14" t="inlineStr">
        <is>
          <t>45000.000 KWD</t>
        </is>
      </c>
      <c r="M178" s="14" t="inlineStr">
        <is>
          <t>1000.000 KWD</t>
        </is>
      </c>
      <c r="N178" s="26" t="inlineStr">
        <is>
          <t>UNCHANGED</t>
        </is>
      </c>
      <c r="O178" s="14" t="inlineStr">
        <is>
          <t>غير متوافقة مع اختصاصات KBM</t>
        </is>
      </c>
      <c r="P178" s="22">
        <f>HYPERLINK("https://capt.gov.kw/ar/tenders/opening-tenders/#card-1", "عرض المصدر")</f>
        <v/>
      </c>
    </row>
    <row r="179">
      <c r="A179" s="11" t="inlineStr">
        <is>
          <t>294-293</t>
        </is>
      </c>
      <c r="B179" s="11" t="inlineStr">
        <is>
          <t>وزارة الصحة</t>
        </is>
      </c>
      <c r="C179" s="11" t="inlineStr">
        <is>
          <t>Jana Al-Obaid</t>
        </is>
      </c>
      <c r="D179" s="11" t="inlineStr">
        <is>
          <t>ممارسة رقم 294-293 - وزارة الصحة (العدد 1809)</t>
        </is>
      </c>
      <c r="E179" s="11" t="inlineStr">
        <is>
          <t>أعمال وتوريدات ممارسة رقم 294-293 لصالح وزارة الصحة وفقاً للشروط والمواصفات المعتمدة في وثائق الطرح.</t>
        </is>
      </c>
      <c r="F179" s="11" t="inlineStr">
        <is>
          <t>• 1- أن تكون مقصورة على الشركات المسجلة لدى إدارة الهندسة الطبية.
• 2- أن تكون الشركة متخصصة في هذا المجال مع احضار ما يفيد ذلك.
• 3- سداد الرسوم المقررة لشراء وثائق الممارسة إلكترونياً.
• 4- أن تقدم الشركات المشاركة شهادة دعم العمالة الوطنية.
• 5- يمكن الحصول على وثائق الممارسات من تاريخ النشر لغاية تاريخ الاغلاق.</t>
        </is>
      </c>
      <c r="G179" s="12" t="inlineStr">
        <is>
          <t>عام</t>
        </is>
      </c>
      <c r="H179" s="12" t="inlineStr">
        <is>
          <t>15.0%</t>
        </is>
      </c>
      <c r="I179" s="12" t="inlineStr">
        <is>
          <t>healthcare</t>
        </is>
      </c>
      <c r="J179" s="12" t="inlineStr">
        <is>
          <t>2026-09-20</t>
        </is>
      </c>
      <c r="K179" s="18" t="inlineStr">
        <is>
          <t>2026-10-21</t>
        </is>
      </c>
      <c r="L179" s="12" t="inlineStr">
        <is>
          <t>-</t>
        </is>
      </c>
      <c r="M179" s="12" t="inlineStr">
        <is>
          <t>75.0 KWD</t>
        </is>
      </c>
      <c r="N179" s="21" t="inlineStr">
        <is>
          <t>UPDATED</t>
        </is>
      </c>
      <c r="O179" s="12" t="inlineStr">
        <is>
          <t>غير متوافقة مع اختصاصات KBM</t>
        </is>
      </c>
      <c r="P179" s="23">
        <f>HYPERLINK("https://kuwaitalyawm.media.gov.kw/Online/ViewAdsHTML?id=170983&amp;no=1", "عرض المصدر")</f>
        <v/>
      </c>
    </row>
    <row r="180">
      <c r="A180" s="13" t="inlineStr">
        <is>
          <t>61-16</t>
        </is>
      </c>
      <c r="B180" s="13" t="inlineStr">
        <is>
          <t>وزارة الصحة</t>
        </is>
      </c>
      <c r="C180" s="13" t="inlineStr">
        <is>
          <t>Jana Al-Obaid</t>
        </is>
      </c>
      <c r="D180" s="13" t="inlineStr">
        <is>
          <t>ممارسة رقم 61-16 - وزارة الصحة (العدد 1809)</t>
        </is>
      </c>
      <c r="E180" s="13" t="inlineStr">
        <is>
          <t>أعمال وتوريدات ممارسة رقم 61-16 لصالح وزارة الصحة وفقاً للشروط والمواصفات المعتمدة في وثائق الطرح.</t>
        </is>
      </c>
      <c r="F180" s="13" t="inlineStr">
        <is>
          <t>• 1- الشركة المحلية يجب أن تكون مسجلة لدى إدارة المستودعات الطبية بسجل الموردين
• 2- الشركة المحلية يجب أن تكون متخصصة في المجال الطبي وموثق بشهادة معتمدة من غرفة التجارة والصناعة
• 3- عند تقديم عرضين يجب شراء كراستين بوصلين مختلفين
• 4- ارفاق شهادة تسجيل للمنتج سارية المفعول من إدارة التسجيل ومراقبة الأدوية الطبية والنباتية أو ما يثبت بتقديم الشهادة ونسخة من تسجيل الشركة المصنعة والمادة في سجل الموردين بإدارة المستودعات الطبية ضمن محتويات العطاء المقدم فيه (خاص بمراقبة الأدوية)
• 5- تقديم عينات للمواد الجديدة سواءً كان منتج جديد يطلب لأول مرة أو من شركة مصنعة جديدة للمراقبة المختصة ( الأدوية – اللوازم الطبية)
• 6- ارفاق شهادة نسبة دعم العمالة الوطنية
• 7- يمكن الحصول على وثائق الممارسات في الموقع الإلكتروني الخاص بوزارة الصحة
• 8- يمكن دفع رسوم شراء الكراسة من الموقع الإلكتروني لإرفاقه مع وثائق الممارسة
• 9- تقديم عروض الأسعار بظرف مقفل شامل مع وثائق الممارسة حسب تاريخ الإقفال المحدد في الموقع الإلكتروني الخاص بوزارة الصحة</t>
        </is>
      </c>
      <c r="G180" s="14" t="inlineStr">
        <is>
          <t>عام</t>
        </is>
      </c>
      <c r="H180" s="14" t="inlineStr">
        <is>
          <t>0.0%</t>
        </is>
      </c>
      <c r="I180" s="14" t="inlineStr">
        <is>
          <t>healthcare</t>
        </is>
      </c>
      <c r="J180" s="14" t="inlineStr">
        <is>
          <t>2026-09-20</t>
        </is>
      </c>
      <c r="K180" s="18" t="inlineStr">
        <is>
          <t>2026-10-21</t>
        </is>
      </c>
      <c r="L180" s="14" t="inlineStr">
        <is>
          <t>-</t>
        </is>
      </c>
      <c r="M180" s="14" t="inlineStr">
        <is>
          <t>75.0 KWD</t>
        </is>
      </c>
      <c r="N180" s="21" t="inlineStr">
        <is>
          <t>UPDATED</t>
        </is>
      </c>
      <c r="O180" s="14" t="inlineStr">
        <is>
          <t>غير متوافقة مع اختصاصات KBM</t>
        </is>
      </c>
      <c r="P180" s="22">
        <f>HYPERLINK("https://kuwaitalyawm.media.gov.kw/Online/ViewAdsHTML?id=170988&amp;no=1", "عرض المصدر")</f>
        <v/>
      </c>
    </row>
    <row r="181">
      <c r="A181" s="11" t="inlineStr">
        <is>
          <t>9-51</t>
        </is>
      </c>
      <c r="B181" s="11" t="inlineStr">
        <is>
          <t>وزارة الصحة</t>
        </is>
      </c>
      <c r="C181" s="11" t="inlineStr">
        <is>
          <t>Jana Al-Obaid</t>
        </is>
      </c>
      <c r="D181" s="11" t="inlineStr">
        <is>
          <t>ممارسة رقم 9-51 - وزارة الصحة (العدد 1810)</t>
        </is>
      </c>
      <c r="E181" s="11" t="inlineStr">
        <is>
          <t>أعمال وتوريدات ممارسة رقم 9-51 لصالح وزارة الصحة وفقاً للشروط والمواصفات المعتمدة في وثائق الطرح.</t>
        </is>
      </c>
      <c r="F181" s="11" t="inlineStr">
        <is>
          <t>• 1- الشركة المحلية يجب أن تكون مسجلة لدى إدارة المستودعات الطبية بسجل الموردين.
• 2- الشركة المحلية يجب أن تكون متخصصة في المجال الطبي وموثق بشهادة معتمدة من غرفة التجارة والصناعة.
• 3- عند تقديم عرضين يجب شراء كراستين بوصلين مختلفين.
• 4- ارفاق شهادة تسجيل للمنتج سارية المفعول من إدارة التسجيل ومراقبة الأدوية الطبية والنباتية أو ما يثبت بتقديم الشهادة ونسخة من تسجيل الشركة المصنعة والمادة في سجل الموردين بإدارة المستودعات الطبية ضمن محتويات العطاء المقدم فيه (خاص بمراقبة الأدوية).
• 5- تقديم عينات للمواد الجديدة سواءً كان منتج جديد يطلب لأول مرة أو من شركة مصنعة جديدة للمراقبة المختصة (الأدوية – اللوازم الطبية)
• 6- ارفاق شهادة نسبة دعم العمالة الوطنية.
• 7- يمكن الحصول على وثائق الممارسات في الموقع الإلكتروني الخاص بوزارة الصحة.
• 8- يمكن دفع رسوم شراء الكراسة من الموقع الإلكتروني لإرفاقه مع وثائق الممارسة.
• 9- تقديم عروض الأسعار بظرف مقفل شامل مع وثائق الممارسة حسب تاريخ الإقفال المحدد في الموقع الإلكتروني الخاص بوزارة الصحة.</t>
        </is>
      </c>
      <c r="G181" s="12" t="inlineStr">
        <is>
          <t>عام</t>
        </is>
      </c>
      <c r="H181" s="12" t="inlineStr">
        <is>
          <t>0.0%</t>
        </is>
      </c>
      <c r="I181" s="12" t="inlineStr">
        <is>
          <t>healthcare</t>
        </is>
      </c>
      <c r="J181" s="12" t="inlineStr">
        <is>
          <t>2026-09-27</t>
        </is>
      </c>
      <c r="K181" s="12" t="inlineStr">
        <is>
          <t>2026-10-26</t>
        </is>
      </c>
      <c r="L181" s="12" t="inlineStr">
        <is>
          <t>-</t>
        </is>
      </c>
      <c r="M181" s="12" t="inlineStr">
        <is>
          <t>1000.0 KWD</t>
        </is>
      </c>
      <c r="N181" s="21" t="inlineStr">
        <is>
          <t>UPDATED</t>
        </is>
      </c>
      <c r="O181" s="12" t="inlineStr">
        <is>
          <t>غير متوافقة مع اختصاصات KBM</t>
        </is>
      </c>
      <c r="P181" s="23">
        <f>HYPERLINK("https://kuwaitalyawm.media.gov.kw/Online/ViewAdsHTML?id=171551&amp;no=1", "عرض المصدر")</f>
        <v/>
      </c>
    </row>
    <row r="182">
      <c r="A182" s="13" t="inlineStr">
        <is>
          <t>321</t>
        </is>
      </c>
      <c r="B182" s="13" t="inlineStr">
        <is>
          <t>وزارة الصحة</t>
        </is>
      </c>
      <c r="C182" s="13" t="inlineStr">
        <is>
          <t>Jana Al-Obaid</t>
        </is>
      </c>
      <c r="D182" s="13" t="inlineStr">
        <is>
          <t>ممارسة رقم 321 - وزارة الصحة (العدد 1810)</t>
        </is>
      </c>
      <c r="E182" s="13" t="inlineStr">
        <is>
          <t>أعمال وتوريدات ممارسة رقم 321 لصالح وزارة الصحة وفقاً للشروط والمواصفات المعتمدة في وثائق الطرح.</t>
        </is>
      </c>
      <c r="F182" s="13" t="inlineStr">
        <is>
          <t>• أن تكون مقصورة على الشركات المسجلة لدى إدارة الهندسة الطبية.
• أن تكون الشركة متخصصة في هذا المجال مع إحضار ما يفيد ذلك.
• سداد الرسوم المقررة لشراء وثائق الممارسة بطوابع إلكترونية.
• كتاب تفويض من الشركة بشراء وثائق الممارسة.
• أن تقدم الشركات المشاركة شهادة دعم العمالة الوطنية.
• يمكن الحصول على وثائق الممارسات من تاريخ النشر ولمدة 14 يوم فقط.</t>
        </is>
      </c>
      <c r="G182" s="14" t="inlineStr">
        <is>
          <t>عام</t>
        </is>
      </c>
      <c r="H182" s="14" t="inlineStr">
        <is>
          <t>15.0%</t>
        </is>
      </c>
      <c r="I182" s="14" t="inlineStr">
        <is>
          <t>healthcare</t>
        </is>
      </c>
      <c r="J182" s="14" t="inlineStr">
        <is>
          <t>2026-09-27</t>
        </is>
      </c>
      <c r="K182" s="14" t="inlineStr">
        <is>
          <t>2026-10-28</t>
        </is>
      </c>
      <c r="L182" s="14" t="inlineStr">
        <is>
          <t>-</t>
        </is>
      </c>
      <c r="M182" s="14" t="inlineStr">
        <is>
          <t>75.0 KWD</t>
        </is>
      </c>
      <c r="N182" s="21" t="inlineStr">
        <is>
          <t>UPDATED</t>
        </is>
      </c>
      <c r="O182" s="14" t="inlineStr">
        <is>
          <t>غير متوافقة مع اختصاصات KBM</t>
        </is>
      </c>
      <c r="P182" s="22">
        <f>HYPERLINK("https://kuwaitalyawm.media.gov.kw/Online/ViewAdsHTML?id=171555&amp;no=1", "عرض المصدر")</f>
        <v/>
      </c>
    </row>
    <row r="183">
      <c r="A183" s="11" t="inlineStr">
        <is>
          <t>313-225</t>
        </is>
      </c>
      <c r="B183" s="11" t="inlineStr">
        <is>
          <t>وزارة الصحة</t>
        </is>
      </c>
      <c r="C183" s="11" t="inlineStr">
        <is>
          <t>Jana Al-Obaid</t>
        </is>
      </c>
      <c r="D183" s="11" t="inlineStr">
        <is>
          <t>ممارسة رقم 313-225: توريد WASTE DISPOSAL SYSTEM MACERATOR</t>
        </is>
      </c>
      <c r="E183" s="11" t="inlineStr">
        <is>
          <t>أعمال وتوريدات توريد WASTE DISPOSAL SYSTEM MACERATOR لصالح وزارة الصحة وفقاً للشروط والمواصفات المعتمدة في وثائق الطرح.</t>
        </is>
      </c>
      <c r="F183" s="11" t="inlineStr">
        <is>
          <t>• أن تكون مقصورة على الشركات المسجلة لدى إدارة الهندسة الطبية.
• أن تكون الشركة متخصصة في هذا المجال مع احضار ما يفيد ذلك.
• سداد الرسوم المقررة لشراء وثائق الممارسة إلكترونياً.
• أن تقدم الشركات المشاركة شهادة دعم العمالة الوطنية.
• يمكن الحصول على وثائق الممارسات من تاريخ النشر لغاية تاريخ الاغلاق.</t>
        </is>
      </c>
      <c r="G183" s="12" t="inlineStr">
        <is>
          <t>عام</t>
        </is>
      </c>
      <c r="H183" s="12" t="inlineStr">
        <is>
          <t>15.0%</t>
        </is>
      </c>
      <c r="I183" s="12" t="inlineStr">
        <is>
          <t>healthcare</t>
        </is>
      </c>
      <c r="J183" s="12" t="inlineStr">
        <is>
          <t>2026-09-27</t>
        </is>
      </c>
      <c r="K183" s="12" t="inlineStr">
        <is>
          <t>2026-10-28</t>
        </is>
      </c>
      <c r="L183" s="12" t="inlineStr">
        <is>
          <t>-</t>
        </is>
      </c>
      <c r="M183" s="12" t="inlineStr">
        <is>
          <t>150.0 KWD</t>
        </is>
      </c>
      <c r="N183" s="21" t="inlineStr">
        <is>
          <t>UPDATED</t>
        </is>
      </c>
      <c r="O183" s="12" t="inlineStr">
        <is>
          <t>غير متوافقة مع اختصاصات KBM</t>
        </is>
      </c>
      <c r="P183" s="23">
        <f>HYPERLINK("https://kuwaitalyawm.media.gov.kw/Online/ViewAdsHTML?id=171547&amp;no=1", "عرض المصدر")</f>
        <v/>
      </c>
    </row>
    <row r="184">
      <c r="A184" s="13" t="inlineStr">
        <is>
          <t>430-190</t>
        </is>
      </c>
      <c r="B184" s="13" t="inlineStr">
        <is>
          <t>وزارة الصحة</t>
        </is>
      </c>
      <c r="C184" s="13" t="inlineStr">
        <is>
          <t>Jana Al-Obaid</t>
        </is>
      </c>
      <c r="D184" s="13" t="inlineStr">
        <is>
          <t>ممارسة رقم 430-190 - وزارة الصحة (العدد 1810)</t>
        </is>
      </c>
      <c r="E184" s="13" t="inlineStr">
        <is>
          <t>أعمال وتوريدات ممارسة رقم 430-190 لصالح وزارة الصحة وفقاً للشروط والمواصفات المعتمدة في وثائق الطرح.</t>
        </is>
      </c>
      <c r="F184" s="13" t="inlineStr">
        <is>
          <t>• أن تكون مقصورة على الشركات المسجلة لدى إدارة الهندسة الطبية.
• أن تكون الشركة متخصصة في هذا المجال مع احضار ما يفيد ذلك.
• سداد الرسوم المقررة لشراء وثائق الممارسة إلكترونياً.
• أن تقدم الشركات المشاركة شهادة دعم العمالة الوطنية.
• يمكن الحصول على وثائق الممارسات من تاريخ النشر لغاية تاريخ الإغلاق.</t>
        </is>
      </c>
      <c r="G184" s="14" t="inlineStr">
        <is>
          <t>عام</t>
        </is>
      </c>
      <c r="H184" s="14" t="inlineStr">
        <is>
          <t>15.0%</t>
        </is>
      </c>
      <c r="I184" s="14" t="inlineStr">
        <is>
          <t>healthcare</t>
        </is>
      </c>
      <c r="J184" s="14" t="inlineStr">
        <is>
          <t>2026-09-27</t>
        </is>
      </c>
      <c r="K184" s="14" t="inlineStr">
        <is>
          <t>2026-10-28</t>
        </is>
      </c>
      <c r="L184" s="14" t="inlineStr">
        <is>
          <t>-</t>
        </is>
      </c>
      <c r="M184" s="14" t="inlineStr">
        <is>
          <t>150.0 KWD</t>
        </is>
      </c>
      <c r="N184" s="21" t="inlineStr">
        <is>
          <t>UPDATED</t>
        </is>
      </c>
      <c r="O184" s="14" t="inlineStr">
        <is>
          <t>غير متوافقة مع اختصاصات KBM</t>
        </is>
      </c>
      <c r="P184" s="22">
        <f>HYPERLINK("https://kuwaitalyawm.media.gov.kw/Online/ViewAdsHTML?id=171545&amp;no=1", "عرض المصدر")</f>
        <v/>
      </c>
    </row>
    <row r="185">
      <c r="A185" s="11" t="inlineStr">
        <is>
          <t>ص / م خ ع /18/2026/2027</t>
        </is>
      </c>
      <c r="B185" s="11" t="inlineStr">
        <is>
          <t>وزارة الصحة</t>
        </is>
      </c>
      <c r="C185" s="11" t="inlineStr">
        <is>
          <t>Jana Al-Obaid</t>
        </is>
      </c>
      <c r="D185" s="11" t="inlineStr">
        <is>
          <t>توريد محارم ورق التنشيف</t>
        </is>
      </c>
      <c r="E185" s="11" t="inlineStr">
        <is>
          <t>أعمال وتوريدات توريد محارم ورق التنشيف لصالح وزارة الصحة وفقاً للشروط والمواصفات المعتمدة في وثائق الطرح.</t>
        </is>
      </c>
      <c r="F18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85" s="12" t="inlineStr">
        <is>
          <t>عام</t>
        </is>
      </c>
      <c r="H185" s="12" t="inlineStr">
        <is>
          <t>15.0%</t>
        </is>
      </c>
      <c r="I185" s="12" t="inlineStr">
        <is>
          <t>healthcare</t>
        </is>
      </c>
      <c r="J185" s="12" t="inlineStr">
        <is>
          <t>2026-09-06</t>
        </is>
      </c>
      <c r="K185" s="12" t="inlineStr">
        <is>
          <t>2026-11-01</t>
        </is>
      </c>
      <c r="L185" s="12" t="inlineStr">
        <is>
          <t>6000.000 KWD</t>
        </is>
      </c>
      <c r="M185" s="12" t="inlineStr">
        <is>
          <t>300.000 KWD</t>
        </is>
      </c>
      <c r="N185" s="26" t="inlineStr">
        <is>
          <t>UNCHANGED</t>
        </is>
      </c>
      <c r="O185" s="12" t="inlineStr">
        <is>
          <t>غير متوافقة مع اختصاصات KBM</t>
        </is>
      </c>
      <c r="P185" s="23">
        <f>HYPERLINK("https://capt.gov.kw/ar/tenders/opening-tenders/#card-6", "عرض المصدر")</f>
        <v/>
      </c>
    </row>
    <row r="186">
      <c r="A186" s="13" t="inlineStr">
        <is>
          <t>ص / م خ ع / 11/2025/2026</t>
        </is>
      </c>
      <c r="B186" s="13" t="inlineStr">
        <is>
          <t>وزارة الصحة</t>
        </is>
      </c>
      <c r="C186" s="13" t="inlineStr">
        <is>
          <t>Jana Al-Obaid</t>
        </is>
      </c>
      <c r="D186" s="13" t="inlineStr">
        <is>
          <t>زيادة سعة بدالة مستشفى الاميري الجديد وربط المباني الملحقة بها بنظام اتصالات مركزي موحد</t>
        </is>
      </c>
      <c r="E186" s="13" t="inlineStr">
        <is>
          <t>تنفيذ أعمال زيادة سعة بدالة مستشفى الاميري الجديد وربط المباني الملحقة بها بنظام اتصالات مركزي موحد، وتوفير كافة الأجهزة والمعدات والأنظمة وخدمات الدعم الفني والضمان وفقاً لكراسة الشروط والمواصفات الفنية.</t>
        </is>
      </c>
      <c r="F18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86" s="24" t="inlineStr">
        <is>
          <t>قطاع العمليات المدارة والدعم الفني متعدد الموردين</t>
        </is>
      </c>
      <c r="H186" s="14" t="inlineStr">
        <is>
          <t>64.0%</t>
        </is>
      </c>
      <c r="I186" s="14" t="inlineStr">
        <is>
          <t>healthcare</t>
        </is>
      </c>
      <c r="J186" s="14" t="inlineStr">
        <is>
          <t>2026-10-04</t>
        </is>
      </c>
      <c r="K186" s="14" t="inlineStr">
        <is>
          <t>2026-11-03</t>
        </is>
      </c>
      <c r="L186" s="14" t="inlineStr">
        <is>
          <t>6000.000 KWD</t>
        </is>
      </c>
      <c r="M186" s="14" t="inlineStr">
        <is>
          <t>300.000 KWD</t>
        </is>
      </c>
      <c r="N186" s="26" t="inlineStr">
        <is>
          <t>UNCHANGED</t>
        </is>
      </c>
      <c r="O186" s="14" t="inlineStr">
        <is>
          <t>فرصة ICT متوافقة مع قدرات KBM</t>
        </is>
      </c>
      <c r="P186" s="22">
        <f>HYPERLINK("https://capt.gov.kw/ar/tenders/opening-tenders/#card-2", "عرض المصدر")</f>
        <v/>
      </c>
    </row>
    <row r="187">
      <c r="A187" s="11" t="inlineStr">
        <is>
          <t>ص/م خ ع/2/2025/2026</t>
        </is>
      </c>
      <c r="B187" s="11" t="inlineStr">
        <is>
          <t>وزارة الصحة</t>
        </is>
      </c>
      <c r="C187" s="11" t="inlineStr">
        <is>
          <t>Jana Al-Obaid</t>
        </is>
      </c>
      <c r="D187" s="11" t="inlineStr">
        <is>
          <t>الانشاء و التجهيز و التأثيث و الصيانة لمشروع انشاء المطبخ المركزي لمستشفى الفروانية الجديد</t>
        </is>
      </c>
      <c r="E187" s="11" t="inlineStr">
        <is>
          <t>أعمال وتوريدات الانشاء و التجهيز و التأثيث و الصيانة لمشروع انشاء المطبخ المركزي لمستشفى الفروانية الجديد لصالح وزارة الصحة وفقاً للشروط والمواصفات المعتمدة في وثائق الطرح.</t>
        </is>
      </c>
      <c r="F18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87" s="12" t="inlineStr">
        <is>
          <t>عام</t>
        </is>
      </c>
      <c r="H187" s="12" t="inlineStr">
        <is>
          <t>0.0%</t>
        </is>
      </c>
      <c r="I187" s="12" t="inlineStr">
        <is>
          <t>healthcare</t>
        </is>
      </c>
      <c r="J187" s="12" t="inlineStr">
        <is>
          <t>2026-08-16</t>
        </is>
      </c>
      <c r="K187" s="12" t="inlineStr">
        <is>
          <t>2026-11-03</t>
        </is>
      </c>
      <c r="L187" s="12" t="inlineStr">
        <is>
          <t>62000.000 KWD</t>
        </is>
      </c>
      <c r="M187" s="12" t="inlineStr">
        <is>
          <t>1000.000 KWD</t>
        </is>
      </c>
      <c r="N187" s="25" t="inlineStr">
        <is>
          <t>NEW</t>
        </is>
      </c>
      <c r="O187" s="12" t="inlineStr">
        <is>
          <t>غير متوافقة مع اختصاصات KBM</t>
        </is>
      </c>
      <c r="P187" s="23">
        <f>HYPERLINK("https://capt.gov.kw/ar/tenders/opening-tenders/#card-8", "عرض المصدر")</f>
        <v/>
      </c>
    </row>
    <row r="188">
      <c r="A188" s="13" t="inlineStr">
        <is>
          <t>ص/ م خ ع / 9/2026/2027</t>
        </is>
      </c>
      <c r="B188" s="13" t="inlineStr">
        <is>
          <t>وزارة الصحة</t>
        </is>
      </c>
      <c r="C188" s="13" t="inlineStr">
        <is>
          <t>Jana Al-Obaid</t>
        </is>
      </c>
      <c r="D188" s="13" t="inlineStr">
        <is>
          <t>خدمات الإشراف على التنفيذ لإنشاء وتجهيز وتأثيث والصيانة لمشروع المطبخ المركزي لمستشفى الفروانية الجديد</t>
        </is>
      </c>
      <c r="E188" s="13" t="inlineStr">
        <is>
          <t>تنفيذ الأعمال المدنية والإنشائية والترميم والصيانة العامة للمباني والمنشآت والمرافق التابعة للجهة.</t>
        </is>
      </c>
      <c r="F18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88" s="14" t="inlineStr">
        <is>
          <t>عام</t>
        </is>
      </c>
      <c r="H188" s="14" t="inlineStr">
        <is>
          <t>0.0%</t>
        </is>
      </c>
      <c r="I188" s="14" t="inlineStr">
        <is>
          <t>healthcare</t>
        </is>
      </c>
      <c r="J188" s="14" t="inlineStr">
        <is>
          <t>2026-08-30</t>
        </is>
      </c>
      <c r="K188" s="14" t="inlineStr">
        <is>
          <t>2026-11-24</t>
        </is>
      </c>
      <c r="L188" s="14" t="inlineStr">
        <is>
          <t>7500.000 KWD</t>
        </is>
      </c>
      <c r="M188" s="14" t="inlineStr">
        <is>
          <t>1000.000 KWD</t>
        </is>
      </c>
      <c r="N188" s="25" t="inlineStr">
        <is>
          <t>NEW</t>
        </is>
      </c>
      <c r="O188" s="14" t="inlineStr">
        <is>
          <t>غير متوافقة مع اختصاصات KBM</t>
        </is>
      </c>
      <c r="P188" s="22">
        <f>HYPERLINK("https://capt.gov.kw/ar/tenders/opening-tenders/#card-6", "عرض المصدر")</f>
        <v/>
      </c>
    </row>
    <row r="189">
      <c r="A189" s="11" t="inlineStr">
        <is>
          <t>و ع / 3/2026/2027</t>
        </is>
      </c>
      <c r="B189" s="11" t="inlineStr">
        <is>
          <t>وزارة العدل</t>
        </is>
      </c>
      <c r="C189" s="11" t="inlineStr">
        <is>
          <t>Eiman Ashkanani</t>
        </is>
      </c>
      <c r="D189" s="11" t="inlineStr">
        <is>
          <t>اعمال تنظيف شاملة لمباني وزارة العدل بمحافظات ( العاصمة - حولي - الأحمدي - مبارك الكبير ) مجزئة على مجموعتين</t>
        </is>
      </c>
      <c r="E189" s="11" t="inlineStr">
        <is>
          <t>توفير خدمات وأعمال النظافة العامة والشاملة للمباني والمرافق وتوفير العمالة والمعدات والمستهلكات اللازمة.</t>
        </is>
      </c>
      <c r="F18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89" s="12" t="inlineStr">
        <is>
          <t>عام</t>
        </is>
      </c>
      <c r="H189" s="12" t="inlineStr">
        <is>
          <t>0.0%</t>
        </is>
      </c>
      <c r="I189" s="12" t="inlineStr">
        <is>
          <t>government</t>
        </is>
      </c>
      <c r="J189" s="12" t="inlineStr">
        <is>
          <t>2026-09-27</t>
        </is>
      </c>
      <c r="K189" s="12" t="inlineStr">
        <is>
          <t>2026-12-22</t>
        </is>
      </c>
      <c r="L189" s="12" t="inlineStr">
        <is>
          <t>0.000 KWD</t>
        </is>
      </c>
      <c r="M189" s="12" t="inlineStr">
        <is>
          <t>250.000 KWD</t>
        </is>
      </c>
      <c r="N189" s="26" t="inlineStr">
        <is>
          <t>UNCHANGED</t>
        </is>
      </c>
      <c r="O189" s="12" t="inlineStr">
        <is>
          <t>غير متوافقة مع اختصاصات KBM</t>
        </is>
      </c>
      <c r="P189" s="23">
        <f>HYPERLINK("https://capt.gov.kw/ar/tenders/opening-tenders/#card-8", "عرض المصدر")</f>
        <v/>
      </c>
    </row>
    <row r="190">
      <c r="A190" s="13" t="inlineStr">
        <is>
          <t>و ع/16/2025/2026</t>
        </is>
      </c>
      <c r="B190" s="13" t="inlineStr">
        <is>
          <t>وزارة العدل</t>
        </is>
      </c>
      <c r="C190" s="13" t="inlineStr">
        <is>
          <t>Eiman Ashkanani</t>
        </is>
      </c>
      <c r="D190" s="13" t="inlineStr">
        <is>
          <t>القيام بخدمة البريد السريع لتوصيل الرسائل المسجلة باسم المعلن إليه في موطنه أو محل عمله المختار</t>
        </is>
      </c>
      <c r="E190" s="13" t="inlineStr">
        <is>
          <t>أعمال وتوريدات القيام بخدمة البريد السريع لتوصيل الرسائل المسجلة باسم المعلن إليه في موطنه أو محل عمله المختار لصالح وزارة العدل وفقاً للشروط والمواصفات المعتمدة في وثائق الطرح.</t>
        </is>
      </c>
      <c r="F19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90" s="14" t="inlineStr">
        <is>
          <t>عام</t>
        </is>
      </c>
      <c r="H190" s="14" t="inlineStr">
        <is>
          <t>15.0%</t>
        </is>
      </c>
      <c r="I190" s="14" t="inlineStr">
        <is>
          <t>government</t>
        </is>
      </c>
      <c r="J190" s="14" t="inlineStr">
        <is>
          <t>2026-10-11</t>
        </is>
      </c>
      <c r="K190" s="14" t="inlineStr">
        <is>
          <t>2027-01-05</t>
        </is>
      </c>
      <c r="L190" s="14" t="inlineStr">
        <is>
          <t>3500.000 KWD</t>
        </is>
      </c>
      <c r="M190" s="14" t="inlineStr">
        <is>
          <t>150.000 KWD</t>
        </is>
      </c>
      <c r="N190" s="26" t="inlineStr">
        <is>
          <t>UNCHANGED</t>
        </is>
      </c>
      <c r="O190" s="14" t="inlineStr">
        <is>
          <t>غير متوافقة مع اختصاصات KBM</t>
        </is>
      </c>
      <c r="P190" s="22">
        <f>HYPERLINK("https://capt.gov.kw/ar/tenders/opening-tenders/#card-8", "عرض المصدر")</f>
        <v/>
      </c>
    </row>
    <row r="191">
      <c r="A191" s="11" t="inlineStr">
        <is>
          <t>و ع /2/2026/2027</t>
        </is>
      </c>
      <c r="B191" s="11" t="inlineStr">
        <is>
          <t>وزارة العدل</t>
        </is>
      </c>
      <c r="C191" s="11" t="inlineStr">
        <is>
          <t>Eiman Ashkanani</t>
        </is>
      </c>
      <c r="D191" s="11" t="inlineStr">
        <is>
          <t>أعمال تنظيف شاملة لمباني وزارة العدل (مجمع محاكم الجهراء - مبنى مخازن المضبوطات بالصليبية)</t>
        </is>
      </c>
      <c r="E191" s="11" t="inlineStr">
        <is>
          <t>توفير خدمات وأعمال النظافة العامة والشاملة للمباني والمرافق وتوفير العمالة والمعدات والمستهلكات اللازمة.</t>
        </is>
      </c>
      <c r="F19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91" s="12" t="inlineStr">
        <is>
          <t>عام</t>
        </is>
      </c>
      <c r="H191" s="12" t="inlineStr">
        <is>
          <t>0.0%</t>
        </is>
      </c>
      <c r="I191" s="12" t="inlineStr">
        <is>
          <t>government</t>
        </is>
      </c>
      <c r="J191" s="12" t="inlineStr">
        <is>
          <t>2026-10-11</t>
        </is>
      </c>
      <c r="K191" s="12" t="inlineStr">
        <is>
          <t>2027-01-05</t>
        </is>
      </c>
      <c r="L191" s="12" t="inlineStr">
        <is>
          <t>15000.000 KWD</t>
        </is>
      </c>
      <c r="M191" s="12" t="inlineStr">
        <is>
          <t>1000.000 KWD</t>
        </is>
      </c>
      <c r="N191" s="26" t="inlineStr">
        <is>
          <t>UNCHANGED</t>
        </is>
      </c>
      <c r="O191" s="12" t="inlineStr">
        <is>
          <t>غير متوافقة مع اختصاصات KBM</t>
        </is>
      </c>
      <c r="P191" s="23">
        <f>HYPERLINK("https://capt.gov.kw/ar/tenders/opening-tenders/#card-7", "عرض المصدر")</f>
        <v/>
      </c>
    </row>
    <row r="192">
      <c r="A192" s="13" t="inlineStr">
        <is>
          <t>15353/15580</t>
        </is>
      </c>
      <c r="B192" s="13" t="inlineStr">
        <is>
          <t>وزارة الكهرباء والماء والطاقة المتجددة</t>
        </is>
      </c>
      <c r="C192" s="13" t="inlineStr">
        <is>
          <t>Raed Obeid</t>
        </is>
      </c>
      <c r="D192" s="13" t="inlineStr">
        <is>
          <t>ممارسة رقم 15353/15580: الوقت النهائي لتقديم العطاءات : في تمام الساعة العاشرة والنصف صباحاً من اليوم المحدد بالإعلان أدناه المقرر لإيداع العطاءات ولن يقبل أي عطاء يرد بعد ذلك.</t>
        </is>
      </c>
      <c r="E192" s="13" t="inlineStr">
        <is>
          <t>أعمال وتوريدات في تمام الساعة العاشرة والنصف صباحاً من اليوم المحدد بالإعلان أدناه المقرر لإيداع العطاءات ولن يقبل أي عطاء يرد بعد ذلك. لصالح وزارة الكهرباء والماء والطاقة المتجددة وفقاً للشروط والمواصفات المعتمدة في وثائق الطرح.</t>
        </is>
      </c>
      <c r="F19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92" s="14" t="inlineStr">
        <is>
          <t>عام</t>
        </is>
      </c>
      <c r="H192" s="14" t="inlineStr">
        <is>
          <t>15.0%</t>
        </is>
      </c>
      <c r="I192" s="14" t="inlineStr">
        <is>
          <t>oil_and_gas</t>
        </is>
      </c>
      <c r="J192" s="14" t="inlineStr">
        <is>
          <t>2026-09-27</t>
        </is>
      </c>
      <c r="K192" s="14" t="inlineStr">
        <is>
          <t>-</t>
        </is>
      </c>
      <c r="L192" s="14" t="inlineStr">
        <is>
          <t>-</t>
        </is>
      </c>
      <c r="M192" s="14" t="inlineStr">
        <is>
          <t>7.0 KWD</t>
        </is>
      </c>
      <c r="N192" s="21" t="inlineStr">
        <is>
          <t>UPDATED</t>
        </is>
      </c>
      <c r="O192" s="14" t="inlineStr">
        <is>
          <t>غير متوافقة مع اختصاصات KBM</t>
        </is>
      </c>
      <c r="P192" s="22">
        <f>HYPERLINK("https://kuwaitalyawm.media.gov.kw/Online/ViewAdsHTML?id=171670&amp;no=1", "عرض المصدر")</f>
        <v/>
      </c>
    </row>
    <row r="193">
      <c r="A193" s="11" t="inlineStr">
        <is>
          <t>و ك م/61/2025/2026</t>
        </is>
      </c>
      <c r="B193" s="11" t="inlineStr">
        <is>
          <t>وزارة الكهرباء والماء والطاقة المتجددة</t>
        </is>
      </c>
      <c r="C193" s="11" t="inlineStr">
        <is>
          <t>Raed Obeid</t>
        </is>
      </c>
      <c r="D193" s="11" t="inlineStr">
        <is>
          <t>أعمال الصيانة السنوية للمعدات الكهربائية في محطة الشعيبة الجنوبية لتوليد القوى الكهربائية وتقطير المياه</t>
        </is>
      </c>
      <c r="E193" s="11" t="inlineStr">
        <is>
          <t>أعمال وتوريدات أعمال الصيانة السنوية للمعدات الكهربائية في محطة الشعيبة الجنوبية لتوليد القوى الكهربائية وتقطير المياه لصالح وزارة الكهرباء والماء والطاقة المتجددة وفقاً للشروط والمواصفات المعتمدة في وثائق الطرح.</t>
        </is>
      </c>
      <c r="F19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93" s="12" t="inlineStr">
        <is>
          <t>عام</t>
        </is>
      </c>
      <c r="H193" s="12" t="inlineStr">
        <is>
          <t>0.0%</t>
        </is>
      </c>
      <c r="I193" s="12" t="inlineStr">
        <is>
          <t>oil_and_gas</t>
        </is>
      </c>
      <c r="J193" s="12" t="inlineStr">
        <is>
          <t>2026-08-16</t>
        </is>
      </c>
      <c r="K193" s="12" t="inlineStr">
        <is>
          <t>2026-10-13</t>
        </is>
      </c>
      <c r="L193" s="12" t="inlineStr">
        <is>
          <t>45000.000 KWD</t>
        </is>
      </c>
      <c r="M193" s="12" t="inlineStr">
        <is>
          <t>1000.000 KWD</t>
        </is>
      </c>
      <c r="N193" s="25" t="inlineStr">
        <is>
          <t>NEW</t>
        </is>
      </c>
      <c r="O193" s="12" t="inlineStr">
        <is>
          <t>غير متوافقة مع اختصاصات KBM</t>
        </is>
      </c>
      <c r="P193" s="23">
        <f>HYPERLINK("https://capt.gov.kw/ar/tenders/opening-tenders/#card-9", "عرض المصدر")</f>
        <v/>
      </c>
    </row>
    <row r="194">
      <c r="A194" s="13" t="inlineStr">
        <is>
          <t>15140/15567</t>
        </is>
      </c>
      <c r="B194" s="13" t="inlineStr">
        <is>
          <t>وزارة الكهرباء والماء والطاقة المتجددة</t>
        </is>
      </c>
      <c r="C194" s="13" t="inlineStr">
        <is>
          <t>Raed Obeid</t>
        </is>
      </c>
      <c r="D194" s="13" t="inlineStr">
        <is>
          <t>ممارسة رقم 15140/15567: الوقت النهائي لتقديم العطاءات : في تمام الساعة العاشرة والنصف صباحاً من اليوم المحدد بالإعلان أدناه المقرر لإيداع العطاءات ولن يقبل أي عطاء يرد بعد ذلك.</t>
        </is>
      </c>
      <c r="E194" s="13" t="inlineStr">
        <is>
          <t>أعمال وتوريدات في تمام الساعة العاشرة والنصف صباحاً من اليوم المحدد بالإعلان أدناه المقرر لإيداع العطاءات ولن يقبل أي عطاء يرد بعد ذلك. لصالح وزارة الكهرباء والماء وفقاً للشروط والمواصفات المعتمدة في وثائق الطرح.</t>
        </is>
      </c>
      <c r="F19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94" s="14" t="inlineStr">
        <is>
          <t>عام</t>
        </is>
      </c>
      <c r="H194" s="14" t="inlineStr">
        <is>
          <t>15.0%</t>
        </is>
      </c>
      <c r="I194" s="14" t="inlineStr">
        <is>
          <t>oil_and_gas</t>
        </is>
      </c>
      <c r="J194" s="14" t="inlineStr">
        <is>
          <t>2026-09-27</t>
        </is>
      </c>
      <c r="K194" s="18" t="inlineStr">
        <is>
          <t>2026-10-20</t>
        </is>
      </c>
      <c r="L194" s="14" t="inlineStr">
        <is>
          <t>-</t>
        </is>
      </c>
      <c r="M194" s="14" t="inlineStr">
        <is>
          <t>10.0 KWD</t>
        </is>
      </c>
      <c r="N194" s="21" t="inlineStr">
        <is>
          <t>UPDATED</t>
        </is>
      </c>
      <c r="O194" s="14" t="inlineStr">
        <is>
          <t>غير متوافقة مع اختصاصات KBM</t>
        </is>
      </c>
      <c r="P194" s="22">
        <f>HYPERLINK("https://kuwaitalyawm.media.gov.kw/Online/ViewAdsHTML?id=171669&amp;no=1", "عرض المصدر")</f>
        <v/>
      </c>
    </row>
    <row r="195">
      <c r="A195" s="11" t="inlineStr">
        <is>
          <t>و ك م /41/2024/2025</t>
        </is>
      </c>
      <c r="B195" s="11" t="inlineStr">
        <is>
          <t>وزارة الكهرباء والماء والطاقة المتجددة</t>
        </is>
      </c>
      <c r="C195" s="11" t="inlineStr">
        <is>
          <t>Raed Obeid</t>
        </is>
      </c>
      <c r="D195" s="11" t="inlineStr">
        <is>
          <t>أعمال توريد وتركيب وصيانة خطوط هوائية ضغط متوسط 11 ك.ف وضغط منخفض والأعمال المدنية المتعلقة بهما في ( المنطقة الجنوبية )</t>
        </is>
      </c>
      <c r="E195" s="11" t="inlineStr">
        <is>
          <t>أعمال وتوريدات أعمال توريد وتركيب وصيانة خطوط هوائية ضغط متوسط 11 ك.ف وضغط منخفض والأعمال المدنية المتعلقة بهما في ( المنطقة الجنوبية ) لصالح وزارة الكهرباء والماء والطاقة المتجددة وفقاً للشروط والمواصفات المعتمدة في وثائق الطرح.</t>
        </is>
      </c>
      <c r="F19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95" s="12" t="inlineStr">
        <is>
          <t>عام</t>
        </is>
      </c>
      <c r="H195" s="12" t="inlineStr">
        <is>
          <t>0.0%</t>
        </is>
      </c>
      <c r="I195" s="12" t="inlineStr">
        <is>
          <t>oil_and_gas</t>
        </is>
      </c>
      <c r="J195" s="12" t="inlineStr">
        <is>
          <t>2026-08-23</t>
        </is>
      </c>
      <c r="K195" s="18" t="inlineStr">
        <is>
          <t>2026-10-20</t>
        </is>
      </c>
      <c r="L195" s="12" t="inlineStr">
        <is>
          <t>100000.000 KWD</t>
        </is>
      </c>
      <c r="M195" s="12" t="inlineStr">
        <is>
          <t>3500.000 KWD</t>
        </is>
      </c>
      <c r="N195" s="25" t="inlineStr">
        <is>
          <t>NEW</t>
        </is>
      </c>
      <c r="O195" s="12" t="inlineStr">
        <is>
          <t>غير متوافقة مع اختصاصات KBM</t>
        </is>
      </c>
      <c r="P195" s="23">
        <f>HYPERLINK("https://capt.gov.kw/ar/tenders/opening-tenders/#card-7", "عرض المصدر")</f>
        <v/>
      </c>
    </row>
    <row r="196">
      <c r="A196" s="13" t="inlineStr">
        <is>
          <t>و ك م /39/2024/2025</t>
        </is>
      </c>
      <c r="B196" s="13" t="inlineStr">
        <is>
          <t>وزارة الكهرباء والماء والطاقة المتجددة</t>
        </is>
      </c>
      <c r="C196" s="13" t="inlineStr">
        <is>
          <t>Raed Obeid</t>
        </is>
      </c>
      <c r="D196" s="13" t="inlineStr">
        <is>
          <t>اعمال توريد وتركيب وصيانة خطوط هوائية ضغط متوسط 11 ك.ف وضغط منخفض و الأعمال المدنية المتعلقة بهما في ( المنطقة الشمالية )</t>
        </is>
      </c>
      <c r="E196" s="13" t="inlineStr">
        <is>
          <t>أعمال وتوريدات اعمال توريد وتركيب وصيانة خطوط هوائية ضغط متوسط 11 ك.ف وضغط منخفض و الأعمال المدنية المتعلقة بهما في ( المنطقة الشمالية ) لصالح وزارة الكهرباء والماء والطاقة المتجددة وفقاً للشروط والمواصفات المعتمدة في وثائق الطرح.</t>
        </is>
      </c>
      <c r="F19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96" s="14" t="inlineStr">
        <is>
          <t>عام</t>
        </is>
      </c>
      <c r="H196" s="14" t="inlineStr">
        <is>
          <t>0.0%</t>
        </is>
      </c>
      <c r="I196" s="14" t="inlineStr">
        <is>
          <t>oil_and_gas</t>
        </is>
      </c>
      <c r="J196" s="14" t="inlineStr">
        <is>
          <t>2026-08-23</t>
        </is>
      </c>
      <c r="K196" s="18" t="inlineStr">
        <is>
          <t>2026-10-20</t>
        </is>
      </c>
      <c r="L196" s="14" t="inlineStr">
        <is>
          <t>100000.000 KWD</t>
        </is>
      </c>
      <c r="M196" s="14" t="inlineStr">
        <is>
          <t>3500.000 KWD</t>
        </is>
      </c>
      <c r="N196" s="25" t="inlineStr">
        <is>
          <t>NEW</t>
        </is>
      </c>
      <c r="O196" s="14" t="inlineStr">
        <is>
          <t>غير متوافقة مع اختصاصات KBM</t>
        </is>
      </c>
      <c r="P196" s="22">
        <f>HYPERLINK("https://capt.gov.kw/ar/tenders/opening-tenders/#card-6", "عرض المصدر")</f>
        <v/>
      </c>
    </row>
    <row r="197">
      <c r="A197" s="11" t="inlineStr">
        <is>
          <t>و ك م /14/2024/2025</t>
        </is>
      </c>
      <c r="B197" s="11" t="inlineStr">
        <is>
          <t>وزارة الكهرباء والماء والطاقة المتجددة</t>
        </is>
      </c>
      <c r="C197" s="11" t="inlineStr">
        <is>
          <t>Raed Obeid</t>
        </is>
      </c>
      <c r="D197" s="11" t="inlineStr">
        <is>
          <t>اعمال توريد وتركيب وصيانه خطوط هوائيه ضغط متوسط 11 ك.ف وضغط منخفض والاعمال المدنيه المتعلقه بهما في (المنطقه الوسطى)</t>
        </is>
      </c>
      <c r="E197" s="11" t="inlineStr">
        <is>
          <t>أعمال وتوريدات اعمال توريد وتركيب وصيانه خطوط هوائيه ضغط متوسط 11 ك.ف وضغط منخفض والاعمال المدنيه المتعلقه بهما في (المنطقه الوسطى) لصالح وزارة الكهرباء والماء والطاقة المتجددة وفقاً للشروط والمواصفات المعتمدة في وثائق الطرح.</t>
        </is>
      </c>
      <c r="F19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97" s="12" t="inlineStr">
        <is>
          <t>عام</t>
        </is>
      </c>
      <c r="H197" s="12" t="inlineStr">
        <is>
          <t>0.0%</t>
        </is>
      </c>
      <c r="I197" s="12" t="inlineStr">
        <is>
          <t>oil_and_gas</t>
        </is>
      </c>
      <c r="J197" s="12" t="inlineStr">
        <is>
          <t>2026-08-23</t>
        </is>
      </c>
      <c r="K197" s="18" t="inlineStr">
        <is>
          <t>2026-10-20</t>
        </is>
      </c>
      <c r="L197" s="12" t="inlineStr">
        <is>
          <t>100000.000 KWD</t>
        </is>
      </c>
      <c r="M197" s="12" t="inlineStr">
        <is>
          <t>3500.000 KWD</t>
        </is>
      </c>
      <c r="N197" s="25" t="inlineStr">
        <is>
          <t>NEW</t>
        </is>
      </c>
      <c r="O197" s="12" t="inlineStr">
        <is>
          <t>غير متوافقة مع اختصاصات KBM</t>
        </is>
      </c>
      <c r="P197" s="23">
        <f>HYPERLINK("https://capt.gov.kw/ar/tenders/opening-tenders/#card-5", "عرض المصدر")</f>
        <v/>
      </c>
    </row>
    <row r="198">
      <c r="A198" s="13" t="inlineStr">
        <is>
          <t>62/2020/2021</t>
        </is>
      </c>
      <c r="B198" s="13" t="inlineStr">
        <is>
          <t>وزارة الكهرباء والماء والطاقة المتجددة</t>
        </is>
      </c>
      <c r="C198" s="13" t="inlineStr">
        <is>
          <t>Raed Obeid</t>
        </is>
      </c>
      <c r="D198" s="13" t="inlineStr">
        <is>
          <t>توريد وتركيب وصيانة خطوط هوائية ضغط متوسط 11 ك.ف وضغط منخفض والاعمال المدنية المتعلقة بهما في مزارع الوفرة</t>
        </is>
      </c>
      <c r="E198" s="13" t="inlineStr">
        <is>
          <t>أعمال وتوريدات توريد وتركيب وصيانة خطوط هوائية ضغط متوسط 11 ك.ف وضغط منخفض والاعمال المدنية المتعلقة بهما في مزارع الوفرة لصالح وزارة الكهرباء والماء والطاقة المتجددة وفقاً للشروط والمواصفات المعتمدة في وثائق الطرح.</t>
        </is>
      </c>
      <c r="F19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98" s="14" t="inlineStr">
        <is>
          <t>عام</t>
        </is>
      </c>
      <c r="H198" s="14" t="inlineStr">
        <is>
          <t>0.0%</t>
        </is>
      </c>
      <c r="I198" s="14" t="inlineStr">
        <is>
          <t>oil_and_gas</t>
        </is>
      </c>
      <c r="J198" s="14" t="inlineStr">
        <is>
          <t>2026-08-23</t>
        </is>
      </c>
      <c r="K198" s="18" t="inlineStr">
        <is>
          <t>2026-10-20</t>
        </is>
      </c>
      <c r="L198" s="14" t="inlineStr">
        <is>
          <t>100000.000 KWD</t>
        </is>
      </c>
      <c r="M198" s="14" t="inlineStr">
        <is>
          <t>3500.000 KWD</t>
        </is>
      </c>
      <c r="N198" s="25" t="inlineStr">
        <is>
          <t>NEW</t>
        </is>
      </c>
      <c r="O198" s="14" t="inlineStr">
        <is>
          <t>غير متوافقة مع اختصاصات KBM</t>
        </is>
      </c>
      <c r="P198" s="22">
        <f>HYPERLINK("https://capt.gov.kw/ar/tenders/opening-tenders/#card-1", "عرض المصدر")</f>
        <v/>
      </c>
    </row>
    <row r="199">
      <c r="A199" s="11" t="inlineStr">
        <is>
          <t>و ك م /27/2024/2025</t>
        </is>
      </c>
      <c r="B199" s="11" t="inlineStr">
        <is>
          <t>وزارة الكهرباء والماء والطاقة المتجددة</t>
        </is>
      </c>
      <c r="C199" s="11" t="inlineStr">
        <is>
          <t>Raed Obeid</t>
        </is>
      </c>
      <c r="D199" s="11" t="inlineStr">
        <is>
          <t>توريد كيبلات PILC جهد 11 ك.ف احادي القالب _630 مم 2 , وجهد 33 ك.ف احادي القالب _1000 مم2 , وجهد 33 ك.ف احادي القالب _240 مم2 وجهد 33 ك.ف احادي القالب _1200 مم2 وملحقاتها</t>
        </is>
      </c>
      <c r="E199" s="11" t="inlineStr">
        <is>
          <t>أعمال وتوريدات توريد كيبلات PILC جهد 11 ك.ف احادي القالب _630 مم 2 , وجهد 33 ك.ف احادي القالب _1000 مم2 , وجهد 33 ك.ف احادي القالب _240 مم2 وجهد 33 ك.ف احادي القالب _1200 مم2 وملحقاتها لصالح وزارة الكهرباء والماء والطاقة المتجددة وفقاً للشروط والمواصفات المعتمدة في وثائق الطرح.</t>
        </is>
      </c>
      <c r="F19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199" s="12" t="inlineStr">
        <is>
          <t>عام</t>
        </is>
      </c>
      <c r="H199" s="12" t="inlineStr">
        <is>
          <t>15.0%</t>
        </is>
      </c>
      <c r="I199" s="12" t="inlineStr">
        <is>
          <t>oil_and_gas</t>
        </is>
      </c>
      <c r="J199" s="12" t="inlineStr">
        <is>
          <t>2026-09-20</t>
        </is>
      </c>
      <c r="K199" s="18" t="inlineStr">
        <is>
          <t>2026-10-20</t>
        </is>
      </c>
      <c r="L199" s="12" t="inlineStr">
        <is>
          <t>23000.000 KWD</t>
        </is>
      </c>
      <c r="M199" s="12" t="inlineStr">
        <is>
          <t>1000.000 KWD</t>
        </is>
      </c>
      <c r="N199" s="26" t="inlineStr">
        <is>
          <t>UNCHANGED</t>
        </is>
      </c>
      <c r="O199" s="12" t="inlineStr">
        <is>
          <t>غير متوافقة مع اختصاصات KBM</t>
        </is>
      </c>
      <c r="P199" s="23">
        <f>HYPERLINK("https://capt.gov.kw/ar/tenders/opening-tenders/#card-5", "عرض المصدر")</f>
        <v/>
      </c>
    </row>
    <row r="200">
      <c r="A200" s="13" t="inlineStr">
        <is>
          <t>2027/2026/1</t>
        </is>
      </c>
      <c r="B200" s="13" t="inlineStr">
        <is>
          <t>وزارة الكهرباء والماء والطاقة المتجددة</t>
        </is>
      </c>
      <c r="C200" s="13" t="inlineStr">
        <is>
          <t>Raed Obeid</t>
        </is>
      </c>
      <c r="D200" s="13" t="inlineStr">
        <is>
          <t>ممارسة رقم 2027/2026/1: صيانة جهاز تحليل وقياس الكربون العضوي في الماء</t>
        </is>
      </c>
      <c r="E200" s="13" t="inlineStr">
        <is>
          <t>أعمال وتوريدات صيانة جهاز تحليل وقياس الكربون العضوي في الماء لصالح وزارة الكهرباء والماء وفقاً للشروط والمواصفات المعتمدة في وثائق الطرح.</t>
        </is>
      </c>
      <c r="F20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00" s="14" t="inlineStr">
        <is>
          <t>عام</t>
        </is>
      </c>
      <c r="H200" s="14" t="inlineStr">
        <is>
          <t>15.0%</t>
        </is>
      </c>
      <c r="I200" s="14" t="inlineStr">
        <is>
          <t>oil_and_gas</t>
        </is>
      </c>
      <c r="J200" s="14" t="inlineStr">
        <is>
          <t>2026-09-27</t>
        </is>
      </c>
      <c r="K200" s="14" t="inlineStr">
        <is>
          <t>2026-10-25</t>
        </is>
      </c>
      <c r="L200" s="14" t="inlineStr">
        <is>
          <t>600.0 KWD</t>
        </is>
      </c>
      <c r="M200" s="14" t="inlineStr">
        <is>
          <t>15.0 KWD</t>
        </is>
      </c>
      <c r="N200" s="21" t="inlineStr">
        <is>
          <t>UPDATED</t>
        </is>
      </c>
      <c r="O200" s="14" t="inlineStr">
        <is>
          <t>غير متوافقة مع اختصاصات KBM</t>
        </is>
      </c>
      <c r="P200" s="22">
        <f>HYPERLINK("https://kuwaitalyawm.media.gov.kw/Online/ViewAdsHTML?id=171671&amp;no=1", "عرض المصدر")</f>
        <v/>
      </c>
    </row>
    <row r="201">
      <c r="A201" s="11" t="inlineStr">
        <is>
          <t>و ك م/38/2025/2026</t>
        </is>
      </c>
      <c r="B201" s="11" t="inlineStr">
        <is>
          <t>وزارة الكهرباء والماء والطاقة المتجددة</t>
        </is>
      </c>
      <c r="C201" s="11" t="inlineStr">
        <is>
          <t>Raed Obeid</t>
        </is>
      </c>
      <c r="D201" s="11" t="inlineStr">
        <is>
          <t>أعمال صيانة آلات تصويرمستندات ماركات مختلفة بجميع قطاعات الوزارة والإدارات التابعة لها بجميع مرافق الوزارة</t>
        </is>
      </c>
      <c r="E201" s="11" t="inlineStr">
        <is>
          <t>أعمال وتوريدات أعمال صيانة آلات تصويرمستندات ماركات مختلفة بجميع قطاعات الوزارة والإدارات التابعة لها بجميع مرافق الوزارة لصالح وزارة الكهرباء والماء والطاقة المتجددة وفقاً للشروط والمواصفات المعتمدة في وثائق الطرح.</t>
        </is>
      </c>
      <c r="F20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01" s="12" t="inlineStr">
        <is>
          <t>عام</t>
        </is>
      </c>
      <c r="H201" s="12" t="inlineStr">
        <is>
          <t>15.0%</t>
        </is>
      </c>
      <c r="I201" s="12" t="inlineStr">
        <is>
          <t>oil_and_gas</t>
        </is>
      </c>
      <c r="J201" s="12" t="inlineStr">
        <is>
          <t>2026-09-06</t>
        </is>
      </c>
      <c r="K201" s="12" t="inlineStr">
        <is>
          <t>2026-10-25</t>
        </is>
      </c>
      <c r="L201" s="12" t="inlineStr">
        <is>
          <t>23000.000 KWD</t>
        </is>
      </c>
      <c r="M201" s="12" t="inlineStr">
        <is>
          <t>1000.000 KWD</t>
        </is>
      </c>
      <c r="N201" s="26" t="inlineStr">
        <is>
          <t>UNCHANGED</t>
        </is>
      </c>
      <c r="O201" s="12" t="inlineStr">
        <is>
          <t>غير متوافقة مع اختصاصات KBM</t>
        </is>
      </c>
      <c r="P201" s="23">
        <f>HYPERLINK("https://capt.gov.kw/ar/tenders/opening-tenders/#card-3", "عرض المصدر")</f>
        <v/>
      </c>
    </row>
    <row r="202">
      <c r="A202" s="13" t="inlineStr">
        <is>
          <t>و ك م /11/2025/2026</t>
        </is>
      </c>
      <c r="B202" s="13" t="inlineStr">
        <is>
          <t>وزارة الكهرباء والماء والطاقة المتجددة</t>
        </is>
      </c>
      <c r="C202" s="13" t="inlineStr">
        <is>
          <t>Raed Obeid</t>
        </is>
      </c>
      <c r="D202" s="13" t="inlineStr">
        <is>
          <t>توريد وتسليم ومناولة مواد كيماوية لوحدة التناضح العكسي لمحطة الشويخ القوى الكهربائية وتقطير المياه</t>
        </is>
      </c>
      <c r="E202" s="13" t="inlineStr">
        <is>
          <t>أعمال وتوريدات توريد وتسليم ومناولة مواد كيماوية لوحدة التناضح العكسي لمحطة الشويخ القوى الكهربائية وتقطير المياه لصالح وزارة الكهرباء والماء والطاقة المتجددة وفقاً للشروط والمواصفات المعتمدة في وثائق الطرح.</t>
        </is>
      </c>
      <c r="F20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02" s="14" t="inlineStr">
        <is>
          <t>عام</t>
        </is>
      </c>
      <c r="H202" s="14" t="inlineStr">
        <is>
          <t>15.0%</t>
        </is>
      </c>
      <c r="I202" s="14" t="inlineStr">
        <is>
          <t>oil_and_gas</t>
        </is>
      </c>
      <c r="J202" s="14" t="inlineStr">
        <is>
          <t>2026-09-06</t>
        </is>
      </c>
      <c r="K202" s="14" t="inlineStr">
        <is>
          <t>2026-10-25</t>
        </is>
      </c>
      <c r="L202" s="14" t="inlineStr">
        <is>
          <t>0.000 KWD</t>
        </is>
      </c>
      <c r="M202" s="14" t="inlineStr">
        <is>
          <t>250.000 KWD</t>
        </is>
      </c>
      <c r="N202" s="26" t="inlineStr">
        <is>
          <t>UNCHANGED</t>
        </is>
      </c>
      <c r="O202" s="14" t="inlineStr">
        <is>
          <t>غير متوافقة مع اختصاصات KBM</t>
        </is>
      </c>
      <c r="P202" s="22">
        <f>HYPERLINK("https://capt.gov.kw/ar/tenders/opening-tenders/#card-9", "عرض المصدر")</f>
        <v/>
      </c>
    </row>
    <row r="203">
      <c r="A203" s="11" t="inlineStr">
        <is>
          <t>وك م/9/2025/2026</t>
        </is>
      </c>
      <c r="B203" s="11" t="inlineStr">
        <is>
          <t>وزارة الكهرباء والماء والطاقة المتجددة</t>
        </is>
      </c>
      <c r="C203" s="11" t="inlineStr">
        <is>
          <t>Raed Obeid</t>
        </is>
      </c>
      <c r="D203" s="11" t="inlineStr">
        <is>
          <t>أعمال النظافة في محطة الصبية لتوليد القوى الكهربائية وتقطير المياه</t>
        </is>
      </c>
      <c r="E203" s="11" t="inlineStr">
        <is>
          <t>توفير خدمات وأعمال النظافة العامة والشاملة للمباني والمرافق وتوفير العمالة والمعدات والمستهلكات اللازمة.</t>
        </is>
      </c>
      <c r="F20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03" s="12" t="inlineStr">
        <is>
          <t>عام</t>
        </is>
      </c>
      <c r="H203" s="12" t="inlineStr">
        <is>
          <t>0.0%</t>
        </is>
      </c>
      <c r="I203" s="12" t="inlineStr">
        <is>
          <t>oil_and_gas</t>
        </is>
      </c>
      <c r="J203" s="12" t="inlineStr">
        <is>
          <t>2026-09-27</t>
        </is>
      </c>
      <c r="K203" s="12" t="inlineStr">
        <is>
          <t>2026-10-27</t>
        </is>
      </c>
      <c r="L203" s="12" t="inlineStr">
        <is>
          <t>15000.000 KWD</t>
        </is>
      </c>
      <c r="M203" s="12" t="inlineStr">
        <is>
          <t>1000.000 KWD</t>
        </is>
      </c>
      <c r="N203" s="26" t="inlineStr">
        <is>
          <t>UNCHANGED</t>
        </is>
      </c>
      <c r="O203" s="12" t="inlineStr">
        <is>
          <t>غير متوافقة مع اختصاصات KBM</t>
        </is>
      </c>
      <c r="P203" s="23">
        <f>HYPERLINK("https://capt.gov.kw/ar/tenders/opening-tenders/#card-9", "عرض المصدر")</f>
        <v/>
      </c>
    </row>
    <row r="204">
      <c r="A204" s="13" t="inlineStr">
        <is>
          <t>و ك م 16/2025/2026</t>
        </is>
      </c>
      <c r="B204" s="13" t="inlineStr">
        <is>
          <t>وزارة الكهرباء والماء والطاقة المتجددة</t>
        </is>
      </c>
      <c r="C204" s="13" t="inlineStr">
        <is>
          <t>Raed Obeid</t>
        </is>
      </c>
      <c r="D204" s="13" t="inlineStr">
        <is>
          <t>صيانة واستبدال التالف و الاعمال المدنيه المتعلقه بعدد من المحولات حتى سعة 75 م.ف.أ و المفاعل المتوازي حتى سعة 50 م.فأ.أ.ر(المرحلة الثانيه)</t>
        </is>
      </c>
      <c r="E204" s="13" t="inlineStr">
        <is>
          <t>أعمال وتوريدات صيانة واستبدال التالف و الاعمال المدنيه المتعلقه بعدد من المحولات حتى سعة 75 م.ف.أ و المفاعل المتوازي حتى سعة 50 م.فأ.أ.ر(المرحلة الثانيه) لصالح وزارة الكهرباء والماء والطاقة المتجددة وفقاً للشروط والمواصفات المعتمدة في وثائق الطرح.</t>
        </is>
      </c>
      <c r="F20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04" s="14" t="inlineStr">
        <is>
          <t>عام</t>
        </is>
      </c>
      <c r="H204" s="14" t="inlineStr">
        <is>
          <t>0.0%</t>
        </is>
      </c>
      <c r="I204" s="14" t="inlineStr">
        <is>
          <t>oil_and_gas</t>
        </is>
      </c>
      <c r="J204" s="14" t="inlineStr">
        <is>
          <t>2026-08-30</t>
        </is>
      </c>
      <c r="K204" s="14" t="inlineStr">
        <is>
          <t>2026-11-01</t>
        </is>
      </c>
      <c r="L204" s="14" t="inlineStr">
        <is>
          <t>23000.000 KWD</t>
        </is>
      </c>
      <c r="M204" s="14" t="inlineStr">
        <is>
          <t>1000.000 KWD</t>
        </is>
      </c>
      <c r="N204" s="25" t="inlineStr">
        <is>
          <t>NEW</t>
        </is>
      </c>
      <c r="O204" s="14" t="inlineStr">
        <is>
          <t>غير متوافقة مع اختصاصات KBM</t>
        </is>
      </c>
      <c r="P204" s="22">
        <f>HYPERLINK("https://capt.gov.kw/ar/tenders/opening-tenders/#card-8", "عرض المصدر")</f>
        <v/>
      </c>
    </row>
    <row r="205">
      <c r="A205" s="11" t="inlineStr">
        <is>
          <t>و ك م /95/2024/2025</t>
        </is>
      </c>
      <c r="B205" s="11" t="inlineStr">
        <is>
          <t>وزارة الكهرباء والماء والطاقة المتجددة</t>
        </is>
      </c>
      <c r="C205" s="11" t="inlineStr">
        <is>
          <t>Raed Obeid</t>
        </is>
      </c>
      <c r="D205" s="11" t="inlineStr">
        <is>
          <t>إنشاء وإنجاز وصيانة مبنى أخضر لمحافظة الفروانية</t>
        </is>
      </c>
      <c r="E205" s="11" t="inlineStr">
        <is>
          <t>تنفيذ الأعمال المدنية والإنشائية والترميم والصيانة العامة للمباني والمنشآت والمرافق التابعة للجهة.</t>
        </is>
      </c>
      <c r="F20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05" s="12" t="inlineStr">
        <is>
          <t>عام</t>
        </is>
      </c>
      <c r="H205" s="12" t="inlineStr">
        <is>
          <t>15.0%</t>
        </is>
      </c>
      <c r="I205" s="12" t="inlineStr">
        <is>
          <t>oil_and_gas</t>
        </is>
      </c>
      <c r="J205" s="12" t="inlineStr">
        <is>
          <t>2026-09-06</t>
        </is>
      </c>
      <c r="K205" s="12" t="inlineStr">
        <is>
          <t>2026-11-01</t>
        </is>
      </c>
      <c r="L205" s="12" t="inlineStr">
        <is>
          <t>62000.000 KWD</t>
        </is>
      </c>
      <c r="M205" s="12" t="inlineStr">
        <is>
          <t>1000.000 KWD</t>
        </is>
      </c>
      <c r="N205" s="26" t="inlineStr">
        <is>
          <t>UNCHANGED</t>
        </is>
      </c>
      <c r="O205" s="12" t="inlineStr">
        <is>
          <t>غير متوافقة مع اختصاصات KBM</t>
        </is>
      </c>
      <c r="P205" s="23">
        <f>HYPERLINK("https://capt.gov.kw/ar/tenders/opening-tenders/#card-1", "عرض المصدر")</f>
        <v/>
      </c>
    </row>
    <row r="206">
      <c r="A206" s="13" t="inlineStr">
        <is>
          <t>و ك م /48/2024/2025</t>
        </is>
      </c>
      <c r="B206" s="13" t="inlineStr">
        <is>
          <t>وزارة الكهرباء والماء والطاقة المتجددة</t>
        </is>
      </c>
      <c r="C206" s="13" t="inlineStr">
        <is>
          <t>Raed Obeid</t>
        </is>
      </c>
      <c r="D206" s="13" t="inlineStr">
        <is>
          <t>توريد كيبلات ألمنيوم ضغط متوسط 11ك.ف، كيبلات نحاس ضغط متوسط 11ك.ف كيبلات قيادية (PILOT) كيبلات ضغط منخفض 1ك.ف لمشاريع شبكات التوزيع الكهربائية 11ك.ف</t>
        </is>
      </c>
      <c r="E206" s="13" t="inlineStr">
        <is>
          <t>تنفيذ أعمال توريد كيبلات ألمنيوم ضغط متوسط 11ك.ف، كيبلات نحاس ضغط متوسط 11ك.ف كيبلات قيادية (PILOT) كيبلات ضغط منخفض 1ك.ف لمشاريع شبكات التوزيع الكهربائية 11ك.ف، وتوفير كافة الأجهزة والمعدات والأنظمة وخدمات الدعم الفني والضمان وفقاً لكراسة الشروط والمواصفات الفنية.</t>
        </is>
      </c>
      <c r="F20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06" s="24" t="inlineStr">
        <is>
          <t>قطاع العمليات المدارة والدعم الفني متعدد الموردين</t>
        </is>
      </c>
      <c r="H206" s="14" t="inlineStr">
        <is>
          <t>64.0%</t>
        </is>
      </c>
      <c r="I206" s="14" t="inlineStr">
        <is>
          <t>oil_and_gas</t>
        </is>
      </c>
      <c r="J206" s="14" t="inlineStr">
        <is>
          <t>2026-09-06</t>
        </is>
      </c>
      <c r="K206" s="14" t="inlineStr">
        <is>
          <t>2026-11-01</t>
        </is>
      </c>
      <c r="L206" s="14" t="inlineStr">
        <is>
          <t>0.000 KWD</t>
        </is>
      </c>
      <c r="M206" s="14" t="inlineStr">
        <is>
          <t>500.000 KWD</t>
        </is>
      </c>
      <c r="N206" s="26" t="inlineStr">
        <is>
          <t>UNCHANGED</t>
        </is>
      </c>
      <c r="O206" s="14" t="inlineStr">
        <is>
          <t>فرصة ICT متوافقة مع قدرات KBM</t>
        </is>
      </c>
      <c r="P206" s="22">
        <f>HYPERLINK("https://capt.gov.kw/ar/tenders/opening-tenders/#card-0", "عرض المصدر")</f>
        <v/>
      </c>
    </row>
    <row r="207">
      <c r="A207" s="11" t="inlineStr">
        <is>
          <t>و ك م/35/2024/2025</t>
        </is>
      </c>
      <c r="B207" s="11" t="inlineStr">
        <is>
          <t>وزارة الكهرباء والماء والطاقة المتجددة</t>
        </is>
      </c>
      <c r="C207" s="11" t="inlineStr">
        <is>
          <t>Raed Obeid</t>
        </is>
      </c>
      <c r="D207" s="11" t="inlineStr">
        <is>
          <t>إنشاء وإنجاز وصيانة خطي مياه عذبة قطر 1600مم من مجمع توزيع مياه ميناء عبدالله إلى مجمع غرب الفنيطيس وخط مياه قليل الملوحة قطر 1200مم من مجمع ميناء عبدالله إلى مجمع الزور والأعمال الملحقة</t>
        </is>
      </c>
      <c r="E207" s="11" t="inlineStr">
        <is>
          <t>تنفيذ الأعمال المدنية والإنشائية والترميم والصيانة العامة للمباني والمنشآت والمرافق التابعة للجهة.</t>
        </is>
      </c>
      <c r="F20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07" s="12" t="inlineStr">
        <is>
          <t>عام</t>
        </is>
      </c>
      <c r="H207" s="12" t="inlineStr">
        <is>
          <t>15.0%</t>
        </is>
      </c>
      <c r="I207" s="12" t="inlineStr">
        <is>
          <t>oil_and_gas</t>
        </is>
      </c>
      <c r="J207" s="12" t="inlineStr">
        <is>
          <t>2026-10-04</t>
        </is>
      </c>
      <c r="K207" s="12" t="inlineStr">
        <is>
          <t>2026-11-03</t>
        </is>
      </c>
      <c r="L207" s="12" t="inlineStr">
        <is>
          <t>850000.000 KWD</t>
        </is>
      </c>
      <c r="M207" s="12" t="inlineStr">
        <is>
          <t>10000.000 KWD</t>
        </is>
      </c>
      <c r="N207" s="26" t="inlineStr">
        <is>
          <t>UNCHANGED</t>
        </is>
      </c>
      <c r="O207" s="12" t="inlineStr">
        <is>
          <t>غير متوافقة مع اختصاصات KBM</t>
        </is>
      </c>
      <c r="P207" s="23">
        <f>HYPERLINK("https://capt.gov.kw/ar/tenders/opening-tenders/#card-5", "عرض المصدر")</f>
        <v/>
      </c>
    </row>
    <row r="208">
      <c r="A208" s="13" t="inlineStr">
        <is>
          <t>و ك م /48/2025/2026</t>
        </is>
      </c>
      <c r="B208" s="13" t="inlineStr">
        <is>
          <t>وزارة الكهرباء والماء والطاقة المتجددة</t>
        </is>
      </c>
      <c r="C208" s="13" t="inlineStr">
        <is>
          <t>Raed Obeid</t>
        </is>
      </c>
      <c r="D208" s="13" t="inlineStr">
        <is>
          <t>أعمال صيانة أنظمة الإنذار ومكافحة الحريق في محطات الشعيبة لتوليد القوى الكهربائية وتقطير المياه</t>
        </is>
      </c>
      <c r="E208" s="13" t="inlineStr">
        <is>
          <t>تنفيذ أعمال أعمال صيانة أنظمة الإنذار ومكافحة الحريق في محطات الشعيبة لتوليد القوى الكهربائية وتقطير المياه، وتوفير كافة الأجهزة والمعدات والأنظمة وخدمات الدعم الفني والضمان وفقاً لكراسة الشروط والمواصفات الفنية.</t>
        </is>
      </c>
      <c r="F208"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08" s="24" t="inlineStr">
        <is>
          <t>قطاع العمليات المدارة والدعم الفني متعدد الموردين</t>
        </is>
      </c>
      <c r="H208" s="14" t="inlineStr">
        <is>
          <t>64.0%</t>
        </is>
      </c>
      <c r="I208" s="14" t="inlineStr">
        <is>
          <t>oil_and_gas</t>
        </is>
      </c>
      <c r="J208" s="14" t="inlineStr">
        <is>
          <t>2026-10-04</t>
        </is>
      </c>
      <c r="K208" s="14" t="inlineStr">
        <is>
          <t>2026-11-03</t>
        </is>
      </c>
      <c r="L208" s="14" t="inlineStr">
        <is>
          <t>23000.000 KWD</t>
        </is>
      </c>
      <c r="M208" s="14" t="inlineStr">
        <is>
          <t>1000.000 KWD</t>
        </is>
      </c>
      <c r="N208" s="26" t="inlineStr">
        <is>
          <t>UNCHANGED</t>
        </is>
      </c>
      <c r="O208" s="14" t="inlineStr">
        <is>
          <t>فرصة ICT متوافقة مع قدرات KBM</t>
        </is>
      </c>
      <c r="P208" s="22">
        <f>HYPERLINK("https://capt.gov.kw/ar/tenders/opening-tenders/#card-4", "عرض المصدر")</f>
        <v/>
      </c>
    </row>
    <row r="209">
      <c r="A209" s="11" t="inlineStr">
        <is>
          <t>و ك م/12/2025/2026</t>
        </is>
      </c>
      <c r="B209" s="11" t="inlineStr">
        <is>
          <t>وزارة الكهرباء والماء والطاقة المتجددة</t>
        </is>
      </c>
      <c r="C209" s="11" t="inlineStr">
        <is>
          <t>Raed Obeid</t>
        </is>
      </c>
      <c r="D209" s="11" t="inlineStr">
        <is>
          <t>احلال واستبدال التالف بعدد من المحولات حتى سعة 75م.ف.أ والمفاعل المتوازي حتى سعة 50 م.ف.أ.ر (المرحلة الأولى)</t>
        </is>
      </c>
      <c r="E209" s="11" t="inlineStr">
        <is>
          <t>أعمال وتوريدات احلال واستبدال التالف بعدد من المحولات حتى سعة 75م.ف.أ والمفاعل المتوازي حتى سعة 50 م.ف.أ.ر (المرحلة الأولى) لصالح وزارة الكهرباء والماء والطاقة المتجددة وفقاً للشروط والمواصفات المعتمدة في وثائق الطرح.</t>
        </is>
      </c>
      <c r="F209"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09" s="12" t="inlineStr">
        <is>
          <t>عام</t>
        </is>
      </c>
      <c r="H209" s="12" t="inlineStr">
        <is>
          <t>15.0%</t>
        </is>
      </c>
      <c r="I209" s="12" t="inlineStr">
        <is>
          <t>oil_and_gas</t>
        </is>
      </c>
      <c r="J209" s="12" t="inlineStr">
        <is>
          <t>2026-09-06</t>
        </is>
      </c>
      <c r="K209" s="12" t="inlineStr">
        <is>
          <t>2026-11-03</t>
        </is>
      </c>
      <c r="L209" s="12" t="inlineStr">
        <is>
          <t>0.000 KWD</t>
        </is>
      </c>
      <c r="M209" s="12" t="inlineStr">
        <is>
          <t>500.000 KWD</t>
        </is>
      </c>
      <c r="N209" s="26" t="inlineStr">
        <is>
          <t>UNCHANGED</t>
        </is>
      </c>
      <c r="O209" s="12" t="inlineStr">
        <is>
          <t>غير متوافقة مع اختصاصات KBM</t>
        </is>
      </c>
      <c r="P209" s="23">
        <f>HYPERLINK("https://capt.gov.kw/ar/tenders/opening-tenders/#card-2", "عرض المصدر")</f>
        <v/>
      </c>
    </row>
    <row r="210">
      <c r="A210" s="13" t="inlineStr">
        <is>
          <t>و ك م/22/2025/2026</t>
        </is>
      </c>
      <c r="B210" s="13" t="inlineStr">
        <is>
          <t>وزارة الكهرباء والماء والطاقة المتجددة</t>
        </is>
      </c>
      <c r="C210" s="13" t="inlineStr">
        <is>
          <t>Raed Obeid</t>
        </is>
      </c>
      <c r="D210" s="13" t="inlineStr">
        <is>
          <t>أعمال صيانة البطاريات وشواحنها بمحطات التحويل الرئيسية</t>
        </is>
      </c>
      <c r="E210" s="13" t="inlineStr">
        <is>
          <t>أعمال وتوريدات أعمال صيانة البطاريات وشواحنها بمحطات التحويل الرئيسية لصالح وزارة الكهرباء والماء والطاقة المتجددة وفقاً للشروط والمواصفات المعتمدة في وثائق الطرح.</t>
        </is>
      </c>
      <c r="F210"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10" s="14" t="inlineStr">
        <is>
          <t>عام</t>
        </is>
      </c>
      <c r="H210" s="14" t="inlineStr">
        <is>
          <t>15.0%</t>
        </is>
      </c>
      <c r="I210" s="14" t="inlineStr">
        <is>
          <t>oil_and_gas</t>
        </is>
      </c>
      <c r="J210" s="14" t="inlineStr">
        <is>
          <t>2026-10-11</t>
        </is>
      </c>
      <c r="K210" s="14" t="inlineStr">
        <is>
          <t>2026-11-10</t>
        </is>
      </c>
      <c r="L210" s="14" t="inlineStr">
        <is>
          <t>45000.000 KWD</t>
        </is>
      </c>
      <c r="M210" s="14" t="inlineStr">
        <is>
          <t>1000.000 KWD</t>
        </is>
      </c>
      <c r="N210" s="26" t="inlineStr">
        <is>
          <t>UNCHANGED</t>
        </is>
      </c>
      <c r="O210" s="14" t="inlineStr">
        <is>
          <t>غير متوافقة مع اختصاصات KBM</t>
        </is>
      </c>
      <c r="P210" s="22">
        <f>HYPERLINK("https://capt.gov.kw/ar/tenders/opening-tenders/#card-9", "عرض المصدر")</f>
        <v/>
      </c>
    </row>
    <row r="211">
      <c r="A211" s="11" t="inlineStr">
        <is>
          <t>ممارسة و.ك.م/11-2024/2025</t>
        </is>
      </c>
      <c r="B211" s="11" t="inlineStr">
        <is>
          <t>وزارة الكهرباء والماء والطاقة المتجددة</t>
        </is>
      </c>
      <c r="C211" s="11" t="inlineStr">
        <is>
          <t>Raed Obeid</t>
        </is>
      </c>
      <c r="D211" s="11" t="inlineStr">
        <is>
          <t>أعمال الخدمات الإستشارية للدراسات وتشغيل الشبكة الكهربائية</t>
        </is>
      </c>
      <c r="E211" s="11" t="inlineStr">
        <is>
          <t>تنفيذ أعمال أعمال الخدمات الإستشارية للدراسات وتشغيل الشبكة الكهربائية، وتوفير كافة الأجهزة والمعدات والأنظمة وخدمات الدعم الفني والضمان وفقاً لكراسة الشروط والمواصفات الفنية.</t>
        </is>
      </c>
      <c r="F211"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11" s="12" t="inlineStr">
        <is>
          <t>عام</t>
        </is>
      </c>
      <c r="H211" s="12" t="inlineStr">
        <is>
          <t>15.0%</t>
        </is>
      </c>
      <c r="I211" s="12" t="inlineStr">
        <is>
          <t>oil_and_gas</t>
        </is>
      </c>
      <c r="J211" s="12" t="inlineStr">
        <is>
          <t>2026-10-11</t>
        </is>
      </c>
      <c r="K211" s="12" t="inlineStr">
        <is>
          <t>2026-11-10</t>
        </is>
      </c>
      <c r="L211" s="12" t="inlineStr">
        <is>
          <t>23000.000 KWD</t>
        </is>
      </c>
      <c r="M211" s="12" t="inlineStr">
        <is>
          <t>1000.000 KWD</t>
        </is>
      </c>
      <c r="N211" s="26" t="inlineStr">
        <is>
          <t>UNCHANGED</t>
        </is>
      </c>
      <c r="O211" s="12" t="inlineStr">
        <is>
          <t>غير متوافقة مع اختصاصات KBM</t>
        </is>
      </c>
      <c r="P211" s="23">
        <f>HYPERLINK("https://capt.gov.kw/ar/tenders/opening-tenders/#card-3", "عرض المصدر")</f>
        <v/>
      </c>
    </row>
    <row r="212">
      <c r="A212" s="13" t="inlineStr">
        <is>
          <t>و ك م/57/2025/2026</t>
        </is>
      </c>
      <c r="B212" s="13" t="inlineStr">
        <is>
          <t>وزارة الكهرباء والماء والطاقة المتجددة</t>
        </is>
      </c>
      <c r="C212" s="13" t="inlineStr">
        <is>
          <t>Raed Obeid</t>
        </is>
      </c>
      <c r="D212" s="13" t="inlineStr">
        <is>
          <t>توريد وتركيب محركات كهربائية في محطة الدوحة الغربية لتوليد القوى الكهربائية وتقطير المياه</t>
        </is>
      </c>
      <c r="E212" s="13" t="inlineStr">
        <is>
          <t>أعمال وتوريدات توريد وتركيب محركات كهربائية في محطة الدوحة الغربية لتوليد القوى الكهربائية وتقطير المياه لصالح وزارة الكهرباء والماء والطاقة المتجددة وفقاً للشروط والمواصفات المعتمدة في وثائق الطرح.</t>
        </is>
      </c>
      <c r="F212"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12" s="14" t="inlineStr">
        <is>
          <t>عام</t>
        </is>
      </c>
      <c r="H212" s="14" t="inlineStr">
        <is>
          <t>15.0%</t>
        </is>
      </c>
      <c r="I212" s="14" t="inlineStr">
        <is>
          <t>oil_and_gas</t>
        </is>
      </c>
      <c r="J212" s="14" t="inlineStr">
        <is>
          <t>2026-09-13</t>
        </is>
      </c>
      <c r="K212" s="14" t="inlineStr">
        <is>
          <t>2026-11-10</t>
        </is>
      </c>
      <c r="L212" s="14" t="inlineStr">
        <is>
          <t>62000.000 KWD</t>
        </is>
      </c>
      <c r="M212" s="14" t="inlineStr">
        <is>
          <t>1000.000 KWD</t>
        </is>
      </c>
      <c r="N212" s="26" t="inlineStr">
        <is>
          <t>UNCHANGED</t>
        </is>
      </c>
      <c r="O212" s="14" t="inlineStr">
        <is>
          <t>غير متوافقة مع اختصاصات KBM</t>
        </is>
      </c>
      <c r="P212" s="22">
        <f>HYPERLINK("https://capt.gov.kw/ar/tenders/opening-tenders/#card-3", "عرض المصدر")</f>
        <v/>
      </c>
    </row>
    <row r="213">
      <c r="A213" s="11" t="inlineStr">
        <is>
          <t>وك م-65/2025/2026</t>
        </is>
      </c>
      <c r="B213" s="11" t="inlineStr">
        <is>
          <t>وزارة الكهرباء والماء والطاقة المتجددة</t>
        </is>
      </c>
      <c r="C213" s="11" t="inlineStr">
        <is>
          <t>Raed Obeid</t>
        </is>
      </c>
      <c r="D213" s="11" t="inlineStr">
        <is>
          <t>توريد وتركيب وتشغيل وصيانة وضمان أعمال التمديدات الكهربائية للأعمال الصغيرة بمحافظات(الفروانية-الجهراء-العاصمة)</t>
        </is>
      </c>
      <c r="E213" s="11" t="inlineStr">
        <is>
          <t>أعمال وتوريدات توريد وتركيب وتشغيل وصيانة وضمان أعمال التمديدات الكهربائية للأعمال الصغيرة بمحافظات(الفروانية-الجهراء-العاصمة) لصالح وزارة الكهرباء والماء والطاقة المتجددة وفقاً للشروط والمواصفات المعتمدة في وثائق الطرح.</t>
        </is>
      </c>
      <c r="F213"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13" s="24" t="inlineStr">
        <is>
          <t>قطاع العمليات المدارة والدعم الفني متعدد الموردين</t>
        </is>
      </c>
      <c r="H213" s="12" t="inlineStr">
        <is>
          <t>64.0%</t>
        </is>
      </c>
      <c r="I213" s="12" t="inlineStr">
        <is>
          <t>oil_and_gas</t>
        </is>
      </c>
      <c r="J213" s="12" t="inlineStr">
        <is>
          <t>2026-09-20</t>
        </is>
      </c>
      <c r="K213" s="12" t="inlineStr">
        <is>
          <t>2026-12-15</t>
        </is>
      </c>
      <c r="L213" s="12" t="inlineStr">
        <is>
          <t>23000.000 KWD</t>
        </is>
      </c>
      <c r="M213" s="12" t="inlineStr">
        <is>
          <t>1000.000 KWD</t>
        </is>
      </c>
      <c r="N213" s="26" t="inlineStr">
        <is>
          <t>UNCHANGED</t>
        </is>
      </c>
      <c r="O213" s="12" t="inlineStr">
        <is>
          <t>فرصة ICT متوافقة مع قدرات KBM</t>
        </is>
      </c>
      <c r="P213" s="23">
        <f>HYPERLINK("https://capt.gov.kw/ar/tenders/opening-tenders/#card-6", "عرض المصدر")</f>
        <v/>
      </c>
    </row>
    <row r="214">
      <c r="A214" s="13" t="inlineStr">
        <is>
          <t>و ك م/63/2025/2026</t>
        </is>
      </c>
      <c r="B214" s="13" t="inlineStr">
        <is>
          <t>وزارة الكهرباء والماء والطاقة المتجددة</t>
        </is>
      </c>
      <c r="C214" s="13" t="inlineStr">
        <is>
          <t>Raed Obeid</t>
        </is>
      </c>
      <c r="D214" s="13" t="inlineStr">
        <is>
          <t>اصلاح وتوريد وتركيب خطوط هوائية ضغط متوسط 11 ك.ف وضغط منخفض والأعمال المدنية المتعلقة بهما في المنطقة الجنوبية</t>
        </is>
      </c>
      <c r="E214" s="13" t="inlineStr">
        <is>
          <t>أعمال وتوريدات اصلاح وتوريد وتركيب خطوط هوائية ضغط متوسط 11 ك.ف وضغط منخفض والأعمال المدنية المتعلقة بهما في المنطقة الجنوبية لصالح وزارة الكهرباء والماء والطاقة المتجددة وفقاً للشروط والمواصفات المعتمدة في وثائق الطرح.</t>
        </is>
      </c>
      <c r="F214"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14" s="14" t="inlineStr">
        <is>
          <t>عام</t>
        </is>
      </c>
      <c r="H214" s="14" t="inlineStr">
        <is>
          <t>15.0%</t>
        </is>
      </c>
      <c r="I214" s="14" t="inlineStr">
        <is>
          <t>oil_and_gas</t>
        </is>
      </c>
      <c r="J214" s="14" t="inlineStr">
        <is>
          <t>2026-10-04</t>
        </is>
      </c>
      <c r="K214" s="14" t="inlineStr">
        <is>
          <t>2026-12-29</t>
        </is>
      </c>
      <c r="L214" s="14" t="inlineStr">
        <is>
          <t>45000.000 KWD</t>
        </is>
      </c>
      <c r="M214" s="14" t="inlineStr">
        <is>
          <t>1000.000 KWD</t>
        </is>
      </c>
      <c r="N214" s="26" t="inlineStr">
        <is>
          <t>UNCHANGED</t>
        </is>
      </c>
      <c r="O214" s="14" t="inlineStr">
        <is>
          <t>غير متوافقة مع اختصاصات KBM</t>
        </is>
      </c>
      <c r="P214" s="22">
        <f>HYPERLINK("https://capt.gov.kw/ar/tenders/opening-tenders/#card-6", "عرض المصدر")</f>
        <v/>
      </c>
    </row>
    <row r="215">
      <c r="A215" s="11" t="inlineStr">
        <is>
          <t>7 / 2025-2026</t>
        </is>
      </c>
      <c r="B215" s="11" t="inlineStr">
        <is>
          <t>وزارة المالية</t>
        </is>
      </c>
      <c r="C215" s="11" t="inlineStr">
        <is>
          <t>Eiman Ashkanani</t>
        </is>
      </c>
      <c r="D215" s="11" t="inlineStr">
        <is>
          <t>توفير خدمات مراسلين وسفرجية لوزارة المالية</t>
        </is>
      </c>
      <c r="E215" s="11" t="inlineStr">
        <is>
          <t>أعمال وتوريدات توفير خدمات مراسلين وسفرجية لوزارة المالية لصالح وزارة المالية وفقاً للشروط والمواصفات المعتمدة في وثائق الطرح.</t>
        </is>
      </c>
      <c r="F215"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15" s="12" t="inlineStr">
        <is>
          <t>عام</t>
        </is>
      </c>
      <c r="H215" s="12" t="inlineStr">
        <is>
          <t>15.0%</t>
        </is>
      </c>
      <c r="I215" s="12" t="inlineStr">
        <is>
          <t>government</t>
        </is>
      </c>
      <c r="J215" s="12" t="inlineStr">
        <is>
          <t>2026-09-13</t>
        </is>
      </c>
      <c r="K215" s="12" t="inlineStr">
        <is>
          <t>2026-12-08</t>
        </is>
      </c>
      <c r="L215" s="12" t="inlineStr">
        <is>
          <t>15000.000 KWD</t>
        </is>
      </c>
      <c r="M215" s="12" t="inlineStr">
        <is>
          <t>1000.000 KWD</t>
        </is>
      </c>
      <c r="N215" s="26" t="inlineStr">
        <is>
          <t>UNCHANGED</t>
        </is>
      </c>
      <c r="O215" s="12" t="inlineStr">
        <is>
          <t>غير متوافقة مع اختصاصات KBM</t>
        </is>
      </c>
      <c r="P215" s="23">
        <f>HYPERLINK("https://capt.gov.kw/ar/tenders/opening-tenders/#card-8", "عرض المصدر")</f>
        <v/>
      </c>
    </row>
    <row r="216">
      <c r="A216" s="13" t="inlineStr">
        <is>
          <t>3 / 2025-2026</t>
        </is>
      </c>
      <c r="B216" s="13" t="inlineStr">
        <is>
          <t>وزارة المالية</t>
        </is>
      </c>
      <c r="C216" s="13" t="inlineStr">
        <is>
          <t>Eiman Ashkanani</t>
        </is>
      </c>
      <c r="D216" s="13" t="inlineStr">
        <is>
          <t>توفير خدمات الامن والحراسة البشرية لمبنى مجمع الوزارات ومباني المواقف التابعة له</t>
        </is>
      </c>
      <c r="E216" s="13" t="inlineStr">
        <is>
          <t>توفير خدمات الحراسة والأمن والسلامة للمباني والمنشآت وتأمين المداخل وتوفير الكوادر الأمنية المدربة.</t>
        </is>
      </c>
      <c r="F216" s="13"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16" s="14" t="inlineStr">
        <is>
          <t>عام</t>
        </is>
      </c>
      <c r="H216" s="14" t="inlineStr">
        <is>
          <t>15.0%</t>
        </is>
      </c>
      <c r="I216" s="14" t="inlineStr">
        <is>
          <t>government</t>
        </is>
      </c>
      <c r="J216" s="14" t="inlineStr">
        <is>
          <t>2026-09-27</t>
        </is>
      </c>
      <c r="K216" s="14" t="inlineStr">
        <is>
          <t>2026-12-22</t>
        </is>
      </c>
      <c r="L216" s="14" t="inlineStr">
        <is>
          <t>23000.000 KWD</t>
        </is>
      </c>
      <c r="M216" s="14" t="inlineStr">
        <is>
          <t>1000.000 KWD</t>
        </is>
      </c>
      <c r="N216" s="26" t="inlineStr">
        <is>
          <t>UNCHANGED</t>
        </is>
      </c>
      <c r="O216" s="14" t="inlineStr">
        <is>
          <t>غير متوافقة مع اختصاصات KBM</t>
        </is>
      </c>
      <c r="P216" s="22">
        <f>HYPERLINK("https://capt.gov.kw/ar/tenders/opening-tenders/#card-3", "عرض المصدر")</f>
        <v/>
      </c>
    </row>
    <row r="217">
      <c r="A217" s="11" t="inlineStr">
        <is>
          <t>ب ب هـ / 1/2025/2026</t>
        </is>
      </c>
      <c r="B217" s="11" t="inlineStr">
        <is>
          <t>وزارة المواصلات</t>
        </is>
      </c>
      <c r="C217" s="11" t="inlineStr">
        <is>
          <t>Eiman Ashkanani</t>
        </is>
      </c>
      <c r="D217" s="11" t="inlineStr">
        <is>
          <t>اعمال التنظيف و خدمة مرافق و مكاتب وزارة المواصلات</t>
        </is>
      </c>
      <c r="E217" s="11" t="inlineStr">
        <is>
          <t>توفير خدمات وأعمال النظافة العامة والشاملة للمباني والمرافق وتوفير العمالة والمعدات والمستهلكات اللازمة.</t>
        </is>
      </c>
      <c r="F217" s="11" t="inlineStr">
        <is>
          <t>• الالتزام بالشروط واللوائح المنصوص عليها في وثائق وكراسة الطرح الرسمية.
• تقديم صورة عن شهادة التسجيل المعتمدة وسريان الترخيص التجاري.
• تقديم شهادة استيفاء نسبة العمالة الوطنية الصادرة من الهيئة العامة للقوى العاملة.
• تقديم التأمين الأولي (إن وجد) ساري المفعول لمدة 90 يوماً من تاريخ الإقفال.</t>
        </is>
      </c>
      <c r="G217" s="12" t="inlineStr">
        <is>
          <t>عام</t>
        </is>
      </c>
      <c r="H217" s="12" t="inlineStr">
        <is>
          <t>0.0%</t>
        </is>
      </c>
      <c r="I217" s="12" t="inlineStr">
        <is>
          <t>telecom_and_media</t>
        </is>
      </c>
      <c r="J217" s="12" t="inlineStr">
        <is>
          <t>2026-10-04</t>
        </is>
      </c>
      <c r="K217" s="12" t="inlineStr">
        <is>
          <t>2026-12-29</t>
        </is>
      </c>
      <c r="L217" s="12" t="inlineStr">
        <is>
          <t>45000.000 KWD</t>
        </is>
      </c>
      <c r="M217" s="12" t="inlineStr">
        <is>
          <t>1000.000 KWD</t>
        </is>
      </c>
      <c r="N217" s="26" t="inlineStr">
        <is>
          <t>UNCHANGED</t>
        </is>
      </c>
      <c r="O217" s="12" t="inlineStr">
        <is>
          <t>غير متوافقة مع اختصاصات KBM</t>
        </is>
      </c>
      <c r="P217" s="23">
        <f>HYPERLINK("https://capt.gov.kw/ar/tenders/opening-tenders/#card-1", "عرض المصدر")</f>
        <v/>
      </c>
    </row>
  </sheetData>
  <autoFilter ref="A1:P2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7"/>
  <sheetViews>
    <sheetView rightToLeft="1" workbookViewId="0">
      <pane ySplit="1" topLeftCell="A2" activePane="bottomLeft" state="frozen"/>
      <selection pane="bottomLeft" activeCell="A1" sqref="A1"/>
    </sheetView>
  </sheetViews>
  <sheetFormatPr baseColWidth="8" defaultRowHeight="15"/>
  <cols>
    <col width="22" customWidth="1" min="1" max="1"/>
    <col width="16" customWidth="1" min="2" max="2"/>
    <col width="43" customWidth="1" min="3" max="3"/>
    <col width="42" customWidth="1" min="4" max="4"/>
    <col width="25" customWidth="1" min="5" max="5"/>
    <col width="13" customWidth="1" min="6" max="6"/>
    <col width="45" customWidth="1" min="7" max="7"/>
    <col width="45" customWidth="1" min="8" max="8"/>
    <col width="15" customWidth="1" min="9" max="9"/>
  </cols>
  <sheetData>
    <row r="1">
      <c r="A1" s="27" t="inlineStr">
        <is>
          <t>رقم المناقصة</t>
        </is>
      </c>
      <c r="B1" s="27" t="inlineStr">
        <is>
          <t>البوابة</t>
        </is>
      </c>
      <c r="C1" s="27" t="inlineStr">
        <is>
          <t>الاسم الخام للجهة</t>
        </is>
      </c>
      <c r="D1" s="27" t="inlineStr">
        <is>
          <t>الجهة المقترحة</t>
        </is>
      </c>
      <c r="E1" s="27" t="inlineStr">
        <is>
          <t>القطاع المقترح</t>
        </is>
      </c>
      <c r="F1" s="27" t="inlineStr">
        <is>
          <t>درجة الثقة</t>
        </is>
      </c>
      <c r="G1" s="27" t="inlineStr">
        <is>
          <t>أسباب التحويل للمراجعة</t>
        </is>
      </c>
      <c r="H1" s="27" t="inlineStr">
        <is>
          <t>موضوع المناقصة</t>
        </is>
      </c>
      <c r="I1" s="27" t="inlineStr">
        <is>
          <t>رابط الإعلان</t>
        </is>
      </c>
    </row>
    <row r="2">
      <c r="A2" s="13" t="inlineStr">
        <is>
          <t>و ك م/63/2025/2026</t>
        </is>
      </c>
      <c r="B2" s="14" t="inlineStr">
        <is>
          <t>capt</t>
        </is>
      </c>
      <c r="C2" s="13" t="inlineStr">
        <is>
          <t>وزارة الكهرباء والماء والطاقة المتجددة</t>
        </is>
      </c>
      <c r="D2" s="13" t="inlineStr">
        <is>
          <t>وزارة الكهرباء والماء والطاقة المتجددة</t>
        </is>
      </c>
      <c r="E2" s="14" t="inlineStr">
        <is>
          <t>oil_and_gas</t>
        </is>
      </c>
      <c r="F2" s="28" t="inlineStr">
        <is>
          <t>100%</t>
        </is>
      </c>
      <c r="G2" s="29" t="inlineStr">
        <is>
          <t>UNCERTAIN_DUPLICATE: High title similarity (93.80530973451327%) across portals</t>
        </is>
      </c>
      <c r="H2" s="13" t="inlineStr">
        <is>
          <t>اصلاح وتوريد وتركيب خطوط هوائية ضغط متوسط 11 ك.ف وضغط منخفض والأعمال المدنية المتعلقة بهما في المنطقة الجنوبية</t>
        </is>
      </c>
      <c r="I2" s="14">
        <f>HYPERLINK("https://capt.gov.kw/ar/tenders/opening-tenders/#card-6", "عرض الإعلان")</f>
        <v/>
      </c>
    </row>
    <row r="3">
      <c r="A3" s="11" t="inlineStr">
        <is>
          <t>217-57</t>
        </is>
      </c>
      <c r="B3" s="12" t="inlineStr">
        <is>
          <t>kuwait_alyawm</t>
        </is>
      </c>
      <c r="C3" s="11" t="inlineStr">
        <is>
          <t>وزارة الصحة</t>
        </is>
      </c>
      <c r="D3" s="11" t="inlineStr">
        <is>
          <t>وزارة الصحة</t>
        </is>
      </c>
      <c r="E3" s="12" t="inlineStr">
        <is>
          <t>healthcare</t>
        </is>
      </c>
      <c r="F3" s="30" t="inlineStr">
        <is>
          <t>100%</t>
        </is>
      </c>
      <c r="G3" s="31" t="inlineStr">
        <is>
          <t>UNCERTAIN_DUPLICATE: High title similarity (92.3076923076923%) across portals</t>
        </is>
      </c>
      <c r="H3" s="11" t="inlineStr">
        <is>
          <t>ممارسة رقم 217-57 - وزارة الصحة (العدد 1810)</t>
        </is>
      </c>
      <c r="I3" s="12">
        <f>HYPERLINK("https://kuwaitalyawm.media.gov.kw/Online/ViewAdsHTML?id=171552&amp;no=1", "عرض الإعلان")</f>
        <v/>
      </c>
    </row>
    <row r="4">
      <c r="A4" s="13" t="inlineStr">
        <is>
          <t>281</t>
        </is>
      </c>
      <c r="B4" s="14" t="inlineStr">
        <is>
          <t>kuwait_alyawm</t>
        </is>
      </c>
      <c r="C4" s="13" t="inlineStr">
        <is>
          <t>وزارة الصحة</t>
        </is>
      </c>
      <c r="D4" s="13" t="inlineStr">
        <is>
          <t>وزارة الصحة</t>
        </is>
      </c>
      <c r="E4" s="14" t="inlineStr">
        <is>
          <t>healthcare</t>
        </is>
      </c>
      <c r="F4" s="28" t="inlineStr">
        <is>
          <t>100%</t>
        </is>
      </c>
      <c r="G4" s="29" t="inlineStr">
        <is>
          <t>UNCERTAIN_DUPLICATE: High title similarity (93.33333333333333%) across portals</t>
        </is>
      </c>
      <c r="H4" s="13" t="inlineStr">
        <is>
          <t>ممارسة رقم 281 - وزارة الصحة (العدد 1810)</t>
        </is>
      </c>
      <c r="I4" s="14">
        <f>HYPERLINK("https://kuwaitalyawm.media.gov.kw/Online/ViewAdsHTML?id=171554&amp;no=1", "عرض الإعلان")</f>
        <v/>
      </c>
    </row>
    <row r="5">
      <c r="A5" s="11" t="inlineStr">
        <is>
          <t>321</t>
        </is>
      </c>
      <c r="B5" s="12" t="inlineStr">
        <is>
          <t>kuwait_alyawm</t>
        </is>
      </c>
      <c r="C5" s="11" t="inlineStr">
        <is>
          <t>وزارة الصحة</t>
        </is>
      </c>
      <c r="D5" s="11" t="inlineStr">
        <is>
          <t>وزارة الصحة</t>
        </is>
      </c>
      <c r="E5" s="12" t="inlineStr">
        <is>
          <t>healthcare</t>
        </is>
      </c>
      <c r="F5" s="30" t="inlineStr">
        <is>
          <t>100%</t>
        </is>
      </c>
      <c r="G5" s="31" t="inlineStr">
        <is>
          <t>UNCERTAIN_DUPLICATE: High title similarity (93.33333333333333%) across portals</t>
        </is>
      </c>
      <c r="H5" s="11" t="inlineStr">
        <is>
          <t>ممارسة رقم 321 - وزارة الصحة (العدد 1810)</t>
        </is>
      </c>
      <c r="I5" s="12">
        <f>HYPERLINK("https://kuwaitalyawm.media.gov.kw/Online/ViewAdsHTML?id=171555&amp;no=1", "عرض الإعلان")</f>
        <v/>
      </c>
    </row>
    <row r="6">
      <c r="A6" s="13" t="inlineStr">
        <is>
          <t>2027/2026/6</t>
        </is>
      </c>
      <c r="B6" s="14" t="inlineStr">
        <is>
          <t>kuwait_alyawm</t>
        </is>
      </c>
      <c r="C6" s="13" t="inlineStr">
        <is>
          <t>بنك الائتمان الكويتي</t>
        </is>
      </c>
      <c r="D6" s="13" t="inlineStr">
        <is>
          <t>بنك الائتمان الكويتي</t>
        </is>
      </c>
      <c r="E6" s="14" t="inlineStr">
        <is>
          <t>banking_and_finance</t>
        </is>
      </c>
      <c r="F6" s="28" t="inlineStr">
        <is>
          <t>100%</t>
        </is>
      </c>
      <c r="G6" s="29" t="inlineStr">
        <is>
          <t>UNCERTAIN_DUPLICATE: Tender number matches '2027/2026/6' but client or title differs significantly</t>
        </is>
      </c>
      <c r="H6" s="13" t="inlineStr">
        <is>
          <t>ممارسة رقم 2027/2026/6: يعلن بنك الائتمان الكويتي عن اعلان إعادة طرح الممارسة رقم (6 -2026/2027) بصيانة وتطوير الكشوف الهندسية بالموقع، فعلى السادة الجهات الراغبة في التقدم بعطاءاتها الدخول على موقع البنك لشراء كراسة الشروط والمواصفات الفنية الخاصة بالممارسة المذكورة طبقاً للتفاصيل المحددة أدناه:</t>
        </is>
      </c>
      <c r="I6" s="14">
        <f>HYPERLINK("https://kuwaitalyawm.media.gov.kw/Online/ViewAdsHTML?id=171712&amp;no=1", "عرض الإعلان")</f>
        <v/>
      </c>
    </row>
    <row r="7">
      <c r="A7" s="11" t="inlineStr">
        <is>
          <t>15353/15580</t>
        </is>
      </c>
      <c r="B7" s="12" t="inlineStr">
        <is>
          <t>kuwait_alyawm</t>
        </is>
      </c>
      <c r="C7" s="11" t="inlineStr">
        <is>
          <t>وزارة الكهرباء والماء</t>
        </is>
      </c>
      <c r="D7" s="11" t="inlineStr">
        <is>
          <t>وزارة الكهرباء والماء والطاقة المتجددة</t>
        </is>
      </c>
      <c r="E7" s="12" t="inlineStr">
        <is>
          <t>oil_and_gas</t>
        </is>
      </c>
      <c r="F7" s="30" t="inlineStr">
        <is>
          <t>100%</t>
        </is>
      </c>
      <c r="G7" s="31" t="inlineStr">
        <is>
          <t>UNCERTAIN_DUPLICATE: High title similarity (97.12643678160919%) across portals</t>
        </is>
      </c>
      <c r="H7" s="11" t="inlineStr">
        <is>
          <t>ممارسة رقم 15353/15580: الوقت النهائي لتقديم العطاءات : في تمام الساعة العاشرة والنصف صباحاً من اليوم المحدد بالإعلان أدناه المقرر لإيداع العطاءات ولن يقبل أي عطاء يرد بعد ذلك.</t>
        </is>
      </c>
      <c r="I7" s="12">
        <f>HYPERLINK("https://kuwaitalyawm.media.gov.kw/Online/ViewAdsHTML?id=171670&amp;no=1", "عرض الإعلان")</f>
        <v/>
      </c>
    </row>
    <row r="8">
      <c r="A8" s="13" t="inlineStr">
        <is>
          <t>2027/2026/8</t>
        </is>
      </c>
      <c r="B8" s="14" t="inlineStr">
        <is>
          <t>kuwait_alyawm</t>
        </is>
      </c>
      <c r="C8" s="13" t="inlineStr">
        <is>
          <t>الإدارة العامة للاطفاء</t>
        </is>
      </c>
      <c r="D8" s="13" t="inlineStr">
        <is>
          <t>الإدارة العامة للإطفاء</t>
        </is>
      </c>
      <c r="E8" s="14" t="inlineStr">
        <is>
          <t>defense_and_security</t>
        </is>
      </c>
      <c r="F8" s="28" t="inlineStr">
        <is>
          <t>100%</t>
        </is>
      </c>
      <c r="G8" s="29" t="inlineStr">
        <is>
          <t>UNCERTAIN_DUPLICATE: Tender number matches '2027/2026/8' but client or title differs significantly</t>
        </is>
      </c>
      <c r="H8" s="13" t="inlineStr">
        <is>
          <t>ممارسة رقم 2027/2026/8: بشأن شراء وتجديد حزمة برامج Manage engine</t>
        </is>
      </c>
      <c r="I8" s="14">
        <f>HYPERLINK("https://kuwaitalyawm.media.gov.kw/Online/ViewAdsHTML?id=171698&amp;no=1", "عرض الإعلان")</f>
        <v/>
      </c>
    </row>
    <row r="9">
      <c r="A9" s="11" t="inlineStr">
        <is>
          <t>2027/2026/2</t>
        </is>
      </c>
      <c r="B9" s="12" t="inlineStr">
        <is>
          <t>kuwait_alyawm</t>
        </is>
      </c>
      <c r="C9" s="11" t="inlineStr">
        <is>
          <t>الهيئة العامة للتعليم التطبيقي والتدريب</t>
        </is>
      </c>
      <c r="D9" s="11" t="inlineStr">
        <is>
          <t>الهيئة العامة للتعليم التطبيقي والتدريب</t>
        </is>
      </c>
      <c r="E9" s="12" t="inlineStr">
        <is>
          <t>education_and_research</t>
        </is>
      </c>
      <c r="F9" s="30" t="inlineStr">
        <is>
          <t>100%</t>
        </is>
      </c>
      <c r="G9" s="31" t="inlineStr">
        <is>
          <t>UNCERTAIN_DUPLICATE: Tender number matches '2027/2026/2' but client or title differs significantly</t>
        </is>
      </c>
      <c r="H9" s="11" t="inlineStr">
        <is>
          <t>ممارسة رقم 2027/2026/2 - الهيئة العامة للتعليم التطبيقي والتدريب (العدد 1810)</t>
        </is>
      </c>
      <c r="I9" s="12">
        <f>HYPERLINK("https://kuwaitalyawm.media.gov.kw/Online/ViewAdsHTML?id=171678&amp;no=1", "عرض الإعلان")</f>
        <v/>
      </c>
    </row>
    <row r="10">
      <c r="A10" s="13" t="inlineStr">
        <is>
          <t>2027/2026/13</t>
        </is>
      </c>
      <c r="B10" s="14" t="inlineStr">
        <is>
          <t>kuwait_alyawm</t>
        </is>
      </c>
      <c r="C10" s="13" t="inlineStr">
        <is>
          <t>بنك الائتمان الكويتي</t>
        </is>
      </c>
      <c r="D10" s="13" t="inlineStr">
        <is>
          <t>بنك الائتمان الكويتي</t>
        </is>
      </c>
      <c r="E10" s="14" t="inlineStr">
        <is>
          <t>banking_and_finance</t>
        </is>
      </c>
      <c r="F10" s="28" t="inlineStr">
        <is>
          <t>100%</t>
        </is>
      </c>
      <c r="G10" s="29" t="inlineStr">
        <is>
          <t>UNCERTAIN_DUPLICATE: High title similarity (88.16855753646678%) across portals</t>
        </is>
      </c>
      <c r="H10" s="13" t="inlineStr">
        <is>
          <t>ممارسة رقم 2027/2026/13: يعـلـن بنك الائتمان الكويتي عن اعلان طرح الممارسة رقم (13-2026/2027) الخاصة بدعم وصيانة وتكامل نظام الأرشيف الإلكتروني في بنك الائتمان الكويتي فعلى السادة الجهات الراغبة في التقدم بعطاءاتها الدخول على موقع البنك لشراء كراسة الشروط والمواصفات الفنية الخاصة بالممارسة المذكورة طبقاً للتفاصيل المحددة أدناه:</t>
        </is>
      </c>
      <c r="I10" s="14">
        <f>HYPERLINK("https://kuwaitalyawm.media.gov.kw/Online/ViewAdsHTML?id=171713&amp;no=1", "عرض الإعلان")</f>
        <v/>
      </c>
    </row>
    <row r="11">
      <c r="A11" s="11" t="inlineStr">
        <is>
          <t>2027/2026/17</t>
        </is>
      </c>
      <c r="B11" s="12" t="inlineStr">
        <is>
          <t>kuwait_alyawm</t>
        </is>
      </c>
      <c r="C11" s="11" t="inlineStr">
        <is>
          <t>الهيئة العامة للتعليم التطبيقي والتدريب</t>
        </is>
      </c>
      <c r="D11" s="11" t="inlineStr">
        <is>
          <t>الهيئة العامة للتعليم التطبيقي والتدريب</t>
        </is>
      </c>
      <c r="E11" s="12" t="inlineStr">
        <is>
          <t>education_and_research</t>
        </is>
      </c>
      <c r="F11" s="30" t="inlineStr">
        <is>
          <t>100%</t>
        </is>
      </c>
      <c r="G11" s="31" t="inlineStr">
        <is>
          <t>UNCERTAIN_DUPLICATE: High title similarity (97.95918367346938%) across portals</t>
        </is>
      </c>
      <c r="H11" s="11" t="inlineStr">
        <is>
          <t>ممارسة رقم 2027/2026/17 - الهيئة العامة للتعليم التطبيقي والتدريب (العدد 1810)</t>
        </is>
      </c>
      <c r="I11" s="12">
        <f>HYPERLINK("https://kuwaitalyawm.media.gov.kw/Online/ViewAdsHTML?id=171680&amp;no=1", "عرض الإعلان")</f>
        <v/>
      </c>
    </row>
    <row r="12">
      <c r="A12" s="13" t="inlineStr">
        <is>
          <t>2027/2026/38</t>
        </is>
      </c>
      <c r="B12" s="14" t="inlineStr">
        <is>
          <t>kuwait_alyawm</t>
        </is>
      </c>
      <c r="C12" s="13" t="inlineStr">
        <is>
          <t>الهيئة العامة للتعليم التطبيقي والتدريب</t>
        </is>
      </c>
      <c r="D12" s="13" t="inlineStr">
        <is>
          <t>الهيئة العامة للتعليم التطبيقي والتدريب</t>
        </is>
      </c>
      <c r="E12" s="14" t="inlineStr">
        <is>
          <t>education_and_research</t>
        </is>
      </c>
      <c r="F12" s="28" t="inlineStr">
        <is>
          <t>100%</t>
        </is>
      </c>
      <c r="G12" s="29" t="inlineStr">
        <is>
          <t>UNCERTAIN_DUPLICATE: High title similarity (97.97570850202429%) across portals</t>
        </is>
      </c>
      <c r="H12" s="13" t="inlineStr">
        <is>
          <t>ممارسة رقم 2027/2026/38: على الشركات والمؤسسات الراغبة في الاشتراك في هذه الممارسة مراجعة موقع الهيئة العامة للتعليم التطبيقي والتدريب الالكتروني (WWW.Paaet.edu.kw) وذلك لشراء عطاء الممارسـة المـــدرجـــة ضمن الخدمات الالكترونية (خدمات عامة) وتسليم العطاءات في مقر الهيئة الجديد الكائن في منطقة الشويخ التعليمية الدور السابع - إدارة التوريدات خــلال أسبوعـــــين مقابل رســـوم قـدرهـا (75 د.ك ) لا ترد.</t>
        </is>
      </c>
      <c r="I12" s="14">
        <f>HYPERLINK("https://kuwaitalyawm.media.gov.kw/Online/ViewAdsHTML?id=171682&amp;no=1", "عرض الإعلان")</f>
        <v/>
      </c>
    </row>
    <row r="13">
      <c r="A13" s="11" t="inlineStr">
        <is>
          <t>2027/2026/40</t>
        </is>
      </c>
      <c r="B13" s="12" t="inlineStr">
        <is>
          <t>kuwait_alyawm</t>
        </is>
      </c>
      <c r="C13" s="11" t="inlineStr">
        <is>
          <t>الهيئة العامة للتعليم التطبيقي والتدريب</t>
        </is>
      </c>
      <c r="D13" s="11" t="inlineStr">
        <is>
          <t>الهيئة العامة للتعليم التطبيقي والتدريب</t>
        </is>
      </c>
      <c r="E13" s="12" t="inlineStr">
        <is>
          <t>education_and_research</t>
        </is>
      </c>
      <c r="F13" s="30" t="inlineStr">
        <is>
          <t>100%</t>
        </is>
      </c>
      <c r="G13" s="31" t="inlineStr">
        <is>
          <t>UNCERTAIN_DUPLICATE: High title similarity (97.97570850202429%) across portals</t>
        </is>
      </c>
      <c r="H13" s="11" t="inlineStr">
        <is>
          <t>ممارسة رقم 2027/2026/40: على الشركات والمؤسسات الراغبة في الاشتراك في هذه الممارسة مراجعة موقع الهيئة العامة للتعليم التطبيقي والتدريب الالكتروني (WWW.Paaet.edu.kw) وذلك لشراء عطاء الممارسـة المـــدرجـــة ضمن الخدمات الالكترونية (خدمات عامة) وتسليم العطاءات في مقر الهيئة الجديد الكائن في منطقة الشويخ التعليمية الدور السابع - إدارة التوريدات خــلال أسبوعـــــين مقابل رســـوم قـدرهـا (75 د.ك ) لا ترد.</t>
        </is>
      </c>
      <c r="I13" s="12">
        <f>HYPERLINK("https://kuwaitalyawm.media.gov.kw/Online/ViewAdsHTML?id=171683&amp;no=1", "عرض الإعلان")</f>
        <v/>
      </c>
    </row>
    <row r="14">
      <c r="A14" s="13" t="inlineStr">
        <is>
          <t>2027/2026/43</t>
        </is>
      </c>
      <c r="B14" s="14" t="inlineStr">
        <is>
          <t>kuwait_alyawm</t>
        </is>
      </c>
      <c r="C14" s="13" t="inlineStr">
        <is>
          <t>الهيئة العامة للتعليم التطبيقي والتدريب</t>
        </is>
      </c>
      <c r="D14" s="13" t="inlineStr">
        <is>
          <t>الهيئة العامة للتعليم التطبيقي والتدريب</t>
        </is>
      </c>
      <c r="E14" s="14" t="inlineStr">
        <is>
          <t>education_and_research</t>
        </is>
      </c>
      <c r="F14" s="28" t="inlineStr">
        <is>
          <t>100%</t>
        </is>
      </c>
      <c r="G14" s="29" t="inlineStr">
        <is>
          <t>UNCERTAIN_DUPLICATE: High title similarity (97.95918367346938%) across portals</t>
        </is>
      </c>
      <c r="H14" s="13" t="inlineStr">
        <is>
          <t>ممارسة رقم 2027/2026/43 - الهيئة العامة للتعليم التطبيقي والتدريب (العدد 1810)</t>
        </is>
      </c>
      <c r="I14" s="14">
        <f>HYPERLINK("https://kuwaitalyawm.media.gov.kw/Online/ViewAdsHTML?id=171684&amp;no=1", "عرض الإعلان")</f>
        <v/>
      </c>
    </row>
    <row r="15">
      <c r="A15" s="11" t="inlineStr">
        <is>
          <t>2027/2026/14</t>
        </is>
      </c>
      <c r="B15" s="12" t="inlineStr">
        <is>
          <t>kuwait_alyawm</t>
        </is>
      </c>
      <c r="C15" s="11" t="inlineStr">
        <is>
          <t>جهاز المسؤولية الطبية</t>
        </is>
      </c>
      <c r="D15" s="11" t="inlineStr">
        <is>
          <t>جهاز المسؤولية الطبية</t>
        </is>
      </c>
      <c r="E15" s="12" t="inlineStr">
        <is>
          <t>healthcare</t>
        </is>
      </c>
      <c r="F15" s="30" t="inlineStr">
        <is>
          <t>50%</t>
        </is>
      </c>
      <c r="G15" s="31" t="inlineStr">
        <is>
          <t>UNRECOGNIZED_CLIENT: 'جهاز المسؤولية الطبية' not in master list; UNCERTAIN_DUPLICATE: Tender number matches '2027/2026/14' but client or title differs significantly</t>
        </is>
      </c>
      <c r="H15" s="11" t="inlineStr">
        <is>
          <t>ممارسة رقم 2027/2026/14: يعلن جهاز المسؤولية الطبية عن طرح ممارسة14/2026/2027 تقديم خدمات استشارية في مجال نظم المعلومات وفقًا للبيانات التالية:</t>
        </is>
      </c>
      <c r="I15" s="12">
        <f>HYPERLINK("https://kuwaitalyawm.media.gov.kw/Online/ViewAdsHTML?id=171706&amp;no=1", "عرض الإعلان")</f>
        <v/>
      </c>
    </row>
    <row r="16">
      <c r="A16" s="13" t="inlineStr">
        <is>
          <t>2027/2026/537</t>
        </is>
      </c>
      <c r="B16" s="14" t="inlineStr">
        <is>
          <t>kuwait_alyawm</t>
        </is>
      </c>
      <c r="C16" s="13" t="inlineStr">
        <is>
          <t>جامعة الكويت</t>
        </is>
      </c>
      <c r="D16" s="13" t="inlineStr">
        <is>
          <t>جامعة الكويت</t>
        </is>
      </c>
      <c r="E16" s="14" t="inlineStr">
        <is>
          <t>education_and_research</t>
        </is>
      </c>
      <c r="F16" s="28" t="inlineStr">
        <is>
          <t>100%</t>
        </is>
      </c>
      <c r="G16" s="29" t="inlineStr">
        <is>
          <t>UNCERTAIN_DUPLICATE: High title similarity (97.91666666666666%) across portals</t>
        </is>
      </c>
      <c r="H16" s="13" t="inlineStr">
        <is>
          <t>ممارسة رقم 2027/2026/537 - جامعة الكويت (العدد 1810)</t>
        </is>
      </c>
      <c r="I16" s="14">
        <f>HYPERLINK("https://kuwaitalyawm.media.gov.kw/Online/ViewAdsHTML?id=171704&amp;no=1", "عرض الإعلان")</f>
        <v/>
      </c>
    </row>
    <row r="17">
      <c r="A17" s="11" t="inlineStr">
        <is>
          <t>2027/2026/4</t>
        </is>
      </c>
      <c r="B17" s="12" t="inlineStr">
        <is>
          <t>kuwait_alyawm</t>
        </is>
      </c>
      <c r="C17" s="11" t="inlineStr">
        <is>
          <t>مؤسسة الموانئ الكويتية</t>
        </is>
      </c>
      <c r="D17" s="11" t="inlineStr">
        <is>
          <t>مؤسسة الموانئ الكويتية</t>
        </is>
      </c>
      <c r="E17" s="12" t="inlineStr">
        <is>
          <t>government</t>
        </is>
      </c>
      <c r="F17" s="30" t="inlineStr">
        <is>
          <t>100%</t>
        </is>
      </c>
      <c r="G17" s="31" t="inlineStr">
        <is>
          <t>UNCERTAIN_DUPLICATE: Tender number matches '2027/2026/4' but client or title differs significantly</t>
        </is>
      </c>
      <c r="H17" s="11" t="inlineStr">
        <is>
          <t>ممارسة رقم 2027/2026/4: تمديد موعد الاقفال الممارسة رقم م م ك (/2026/4/2027) بشأن عمل مسح بحري للأرصفة والأحواض</t>
        </is>
      </c>
      <c r="I17" s="12">
        <f>HYPERLINK("https://kuwaitalyawm.media.gov.kw/Online/ViewAdsHTML?id=171716&amp;no=1", "عرض الإعلان")</f>
        <v/>
      </c>
    </row>
    <row r="18">
      <c r="A18" s="13" t="inlineStr">
        <is>
          <t>2027/2026/20</t>
        </is>
      </c>
      <c r="B18" s="14" t="inlineStr">
        <is>
          <t>kuwait_alyawm</t>
        </is>
      </c>
      <c r="C18" s="13" t="inlineStr">
        <is>
          <t>وزارة الأوقاف والشئون الإسلامية</t>
        </is>
      </c>
      <c r="D18" s="13" t="inlineStr">
        <is>
          <t>وزارة الأوقاف والشئون الإسلامية</t>
        </is>
      </c>
      <c r="E18" s="14" t="inlineStr">
        <is>
          <t>government</t>
        </is>
      </c>
      <c r="F18" s="28" t="inlineStr">
        <is>
          <t>100%</t>
        </is>
      </c>
      <c r="G18" s="29" t="inlineStr">
        <is>
          <t>UNCERTAIN_DUPLICATE: Tender number matches '2027/2026/20' but client or title differs significantly</t>
        </is>
      </c>
      <c r="H18" s="13" t="inlineStr">
        <is>
          <t>ممارسة رقم 2027/2026/20: (عقد توريد بالتغطية)</t>
        </is>
      </c>
      <c r="I18" s="14">
        <f>HYPERLINK("https://kuwaitalyawm.media.gov.kw/Online/ViewAdsHTML?id=170601&amp;no=1", "عرض الإعلان")</f>
        <v/>
      </c>
    </row>
    <row r="19">
      <c r="A19" s="11" t="inlineStr">
        <is>
          <t>16-5</t>
        </is>
      </c>
      <c r="B19" s="12" t="inlineStr">
        <is>
          <t>kuwait_alyawm</t>
        </is>
      </c>
      <c r="C19" s="11" t="inlineStr">
        <is>
          <t>وزارة الصحة</t>
        </is>
      </c>
      <c r="D19" s="11" t="inlineStr">
        <is>
          <t>وزارة الصحة</t>
        </is>
      </c>
      <c r="E19" s="12" t="inlineStr">
        <is>
          <t>healthcare</t>
        </is>
      </c>
      <c r="F19" s="30" t="inlineStr">
        <is>
          <t>100%</t>
        </is>
      </c>
      <c r="G19" s="31" t="inlineStr">
        <is>
          <t>UNCERTAIN_DUPLICATE: High title similarity (92.10526315789474%) across portals</t>
        </is>
      </c>
      <c r="H19" s="11" t="inlineStr">
        <is>
          <t>ممارسة رقم 16-5 - وزارة الصحة (العدد 1809)</t>
        </is>
      </c>
      <c r="I19" s="12">
        <f>HYPERLINK("https://kuwaitalyawm.media.gov.kw/Online/ViewAdsHTML?id=170980&amp;no=1", "عرض الإعلان")</f>
        <v/>
      </c>
    </row>
    <row r="20">
      <c r="A20" s="13" t="inlineStr">
        <is>
          <t>370-278</t>
        </is>
      </c>
      <c r="B20" s="14" t="inlineStr">
        <is>
          <t>kuwait_alyawm</t>
        </is>
      </c>
      <c r="C20" s="13" t="inlineStr">
        <is>
          <t>وزارة الصحة</t>
        </is>
      </c>
      <c r="D20" s="13" t="inlineStr">
        <is>
          <t>وزارة الصحة</t>
        </is>
      </c>
      <c r="E20" s="14" t="inlineStr">
        <is>
          <t>healthcare</t>
        </is>
      </c>
      <c r="F20" s="28" t="inlineStr">
        <is>
          <t>100%</t>
        </is>
      </c>
      <c r="G20" s="29" t="inlineStr">
        <is>
          <t>UNCERTAIN_DUPLICATE: High title similarity (88.88888888888889%) across portals</t>
        </is>
      </c>
      <c r="H20" s="13" t="inlineStr">
        <is>
          <t>ممارسة رقم 370-278 - وزارة الصحة (العدد 1809)</t>
        </is>
      </c>
      <c r="I20" s="14">
        <f>HYPERLINK("https://kuwaitalyawm.media.gov.kw/Online/ViewAdsHTML?id=170981&amp;no=1", "عرض الإعلان")</f>
        <v/>
      </c>
    </row>
    <row r="21">
      <c r="A21" s="11" t="inlineStr">
        <is>
          <t>223-396</t>
        </is>
      </c>
      <c r="B21" s="12" t="inlineStr">
        <is>
          <t>kuwait_alyawm</t>
        </is>
      </c>
      <c r="C21" s="11" t="inlineStr">
        <is>
          <t>وزارة الصحة</t>
        </is>
      </c>
      <c r="D21" s="11" t="inlineStr">
        <is>
          <t>وزارة الصحة</t>
        </is>
      </c>
      <c r="E21" s="12" t="inlineStr">
        <is>
          <t>healthcare</t>
        </is>
      </c>
      <c r="F21" s="30" t="inlineStr">
        <is>
          <t>100%</t>
        </is>
      </c>
      <c r="G21" s="31" t="inlineStr">
        <is>
          <t>UNCERTAIN_DUPLICATE: High title similarity (88.60759493670886%) across portals</t>
        </is>
      </c>
      <c r="H21" s="11" t="inlineStr">
        <is>
          <t>ممارسة رقم 223-396 - وزارة الصحة (العدد 1809)</t>
        </is>
      </c>
      <c r="I21" s="12">
        <f>HYPERLINK("https://kuwaitalyawm.media.gov.kw/Online/ViewAdsHTML?id=170982&amp;no=1", "عرض الإعلان")</f>
        <v/>
      </c>
    </row>
    <row r="22">
      <c r="A22" s="13" t="inlineStr">
        <is>
          <t>294-293</t>
        </is>
      </c>
      <c r="B22" s="14" t="inlineStr">
        <is>
          <t>kuwait_alyawm</t>
        </is>
      </c>
      <c r="C22" s="13" t="inlineStr">
        <is>
          <t>وزارة الصحة</t>
        </is>
      </c>
      <c r="D22" s="13" t="inlineStr">
        <is>
          <t>وزارة الصحة</t>
        </is>
      </c>
      <c r="E22" s="14" t="inlineStr">
        <is>
          <t>healthcare</t>
        </is>
      </c>
      <c r="F22" s="28" t="inlineStr">
        <is>
          <t>100%</t>
        </is>
      </c>
      <c r="G22" s="29" t="inlineStr">
        <is>
          <t>UNCERTAIN_DUPLICATE: High title similarity (88.60759493670886%) across portals</t>
        </is>
      </c>
      <c r="H22" s="13" t="inlineStr">
        <is>
          <t>ممارسة رقم 294-293 - وزارة الصحة (العدد 1809)</t>
        </is>
      </c>
      <c r="I22" s="14">
        <f>HYPERLINK("https://kuwaitalyawm.media.gov.kw/Online/ViewAdsHTML?id=170983&amp;no=1", "عرض الإعلان")</f>
        <v/>
      </c>
    </row>
    <row r="23">
      <c r="A23" s="11" t="inlineStr">
        <is>
          <t>115-214</t>
        </is>
      </c>
      <c r="B23" s="12" t="inlineStr">
        <is>
          <t>kuwait_alyawm</t>
        </is>
      </c>
      <c r="C23" s="11" t="inlineStr">
        <is>
          <t>وزارة الصحة</t>
        </is>
      </c>
      <c r="D23" s="11" t="inlineStr">
        <is>
          <t>وزارة الصحة</t>
        </is>
      </c>
      <c r="E23" s="12" t="inlineStr">
        <is>
          <t>healthcare</t>
        </is>
      </c>
      <c r="F23" s="30" t="inlineStr">
        <is>
          <t>100%</t>
        </is>
      </c>
      <c r="G23" s="31" t="inlineStr">
        <is>
          <t>UNCERTAIN_DUPLICATE: High title similarity (88.60759493670886%) across portals</t>
        </is>
      </c>
      <c r="H23" s="11" t="inlineStr">
        <is>
          <t>ممارسة رقم 115-214 - وزارة الصحة (العدد 1809)</t>
        </is>
      </c>
      <c r="I23" s="12">
        <f>HYPERLINK("https://kuwaitalyawm.media.gov.kw/Online/ViewAdsHTML?id=170984&amp;no=1", "عرض الإعلان")</f>
        <v/>
      </c>
    </row>
    <row r="24">
      <c r="A24" s="13" t="inlineStr">
        <is>
          <t>331-16</t>
        </is>
      </c>
      <c r="B24" s="14" t="inlineStr">
        <is>
          <t>kuwait_alyawm</t>
        </is>
      </c>
      <c r="C24" s="13" t="inlineStr">
        <is>
          <t>وزارة الصحة</t>
        </is>
      </c>
      <c r="D24" s="13" t="inlineStr">
        <is>
          <t>وزارة الصحة</t>
        </is>
      </c>
      <c r="E24" s="14" t="inlineStr">
        <is>
          <t>healthcare</t>
        </is>
      </c>
      <c r="F24" s="28" t="inlineStr">
        <is>
          <t>100%</t>
        </is>
      </c>
      <c r="G24" s="29" t="inlineStr">
        <is>
          <t>UNCERTAIN_DUPLICATE: High title similarity (89.74358974358975%) across portals</t>
        </is>
      </c>
      <c r="H24" s="13" t="inlineStr">
        <is>
          <t>ممارسة رقم 331-16 - وزارة الصحة (العدد 1809)</t>
        </is>
      </c>
      <c r="I24" s="14">
        <f>HYPERLINK("https://kuwaitalyawm.media.gov.kw/Online/ViewAdsHTML?id=170985&amp;no=1", "عرض الإعلان")</f>
        <v/>
      </c>
    </row>
    <row r="25">
      <c r="A25" s="11" t="inlineStr">
        <is>
          <t>221-127</t>
        </is>
      </c>
      <c r="B25" s="12" t="inlineStr">
        <is>
          <t>kuwait_alyawm</t>
        </is>
      </c>
      <c r="C25" s="11" t="inlineStr">
        <is>
          <t>وزارة الصحة</t>
        </is>
      </c>
      <c r="D25" s="11" t="inlineStr">
        <is>
          <t>وزارة الصحة</t>
        </is>
      </c>
      <c r="E25" s="12" t="inlineStr">
        <is>
          <t>healthcare</t>
        </is>
      </c>
      <c r="F25" s="30" t="inlineStr">
        <is>
          <t>100%</t>
        </is>
      </c>
      <c r="G25" s="31" t="inlineStr">
        <is>
          <t>UNCERTAIN_DUPLICATE: High title similarity (88.60759493670886%) across portals</t>
        </is>
      </c>
      <c r="H25" s="11" t="inlineStr">
        <is>
          <t>ممارسة رقم 221-127 - وزارة الصحة (العدد 1809)</t>
        </is>
      </c>
      <c r="I25" s="12">
        <f>HYPERLINK("https://kuwaitalyawm.media.gov.kw/Online/ViewAdsHTML?id=170986&amp;no=1", "عرض الإعلان")</f>
        <v/>
      </c>
    </row>
    <row r="26">
      <c r="A26" s="13" t="inlineStr">
        <is>
          <t>41-40</t>
        </is>
      </c>
      <c r="B26" s="14" t="inlineStr">
        <is>
          <t>kuwait_alyawm</t>
        </is>
      </c>
      <c r="C26" s="13" t="inlineStr">
        <is>
          <t>وزارة الصحة</t>
        </is>
      </c>
      <c r="D26" s="13" t="inlineStr">
        <is>
          <t>وزارة الصحة</t>
        </is>
      </c>
      <c r="E26" s="14" t="inlineStr">
        <is>
          <t>healthcare</t>
        </is>
      </c>
      <c r="F26" s="28" t="inlineStr">
        <is>
          <t>100%</t>
        </is>
      </c>
      <c r="G26" s="29" t="inlineStr">
        <is>
          <t>UNCERTAIN_DUPLICATE: High title similarity (88.31168831168831%) across portals</t>
        </is>
      </c>
      <c r="H26" s="13" t="inlineStr">
        <is>
          <t>ممارسة رقم 41-40 - وزارة الصحة (العدد 1809)</t>
        </is>
      </c>
      <c r="I26" s="14">
        <f>HYPERLINK("https://kuwaitalyawm.media.gov.kw/Online/ViewAdsHTML?id=170987&amp;no=1", "عرض الإعلان")</f>
        <v/>
      </c>
    </row>
    <row r="27">
      <c r="A27" s="11" t="inlineStr">
        <is>
          <t>61-16</t>
        </is>
      </c>
      <c r="B27" s="12" t="inlineStr">
        <is>
          <t>kuwait_alyawm</t>
        </is>
      </c>
      <c r="C27" s="11" t="inlineStr">
        <is>
          <t>وزارة الصحة</t>
        </is>
      </c>
      <c r="D27" s="11" t="inlineStr">
        <is>
          <t>وزارة الصحة</t>
        </is>
      </c>
      <c r="E27" s="12" t="inlineStr">
        <is>
          <t>healthcare</t>
        </is>
      </c>
      <c r="F27" s="30" t="inlineStr">
        <is>
          <t>100%</t>
        </is>
      </c>
      <c r="G27" s="31" t="inlineStr">
        <is>
          <t>UNCERTAIN_DUPLICATE: High title similarity (90.9090909090909%) across portals</t>
        </is>
      </c>
      <c r="H27" s="11" t="inlineStr">
        <is>
          <t>ممارسة رقم 61-16 - وزارة الصحة (العدد 1809)</t>
        </is>
      </c>
      <c r="I27" s="12">
        <f>HYPERLINK("https://kuwaitalyawm.media.gov.kw/Online/ViewAdsHTML?id=170988&amp;no=1", "عرض الإعلان")</f>
        <v/>
      </c>
    </row>
    <row r="28">
      <c r="A28" s="13" t="inlineStr">
        <is>
          <t>41-15</t>
        </is>
      </c>
      <c r="B28" s="14" t="inlineStr">
        <is>
          <t>kuwait_alyawm</t>
        </is>
      </c>
      <c r="C28" s="13" t="inlineStr">
        <is>
          <t>وزارة الصحة</t>
        </is>
      </c>
      <c r="D28" s="13" t="inlineStr">
        <is>
          <t>وزارة الصحة</t>
        </is>
      </c>
      <c r="E28" s="14" t="inlineStr">
        <is>
          <t>healthcare</t>
        </is>
      </c>
      <c r="F28" s="28" t="inlineStr">
        <is>
          <t>100%</t>
        </is>
      </c>
      <c r="G28" s="29" t="inlineStr">
        <is>
          <t>UNCERTAIN_DUPLICATE: High title similarity (90.9090909090909%) across portals</t>
        </is>
      </c>
      <c r="H28" s="13" t="inlineStr">
        <is>
          <t>ممارسة رقم 41-15 - وزارة الصحة (العدد 1809)</t>
        </is>
      </c>
      <c r="I28" s="14">
        <f>HYPERLINK("https://kuwaitalyawm.media.gov.kw/Online/ViewAdsHTML?id=170989&amp;no=1", "عرض الإعلان")</f>
        <v/>
      </c>
    </row>
    <row r="29">
      <c r="A29" s="11" t="inlineStr">
        <is>
          <t>4-6</t>
        </is>
      </c>
      <c r="B29" s="12" t="inlineStr">
        <is>
          <t>kuwait_alyawm</t>
        </is>
      </c>
      <c r="C29" s="11" t="inlineStr">
        <is>
          <t>وزارة الصحة</t>
        </is>
      </c>
      <c r="D29" s="11" t="inlineStr">
        <is>
          <t>وزارة الصحة</t>
        </is>
      </c>
      <c r="E29" s="12" t="inlineStr">
        <is>
          <t>healthcare</t>
        </is>
      </c>
      <c r="F29" s="30" t="inlineStr">
        <is>
          <t>100%</t>
        </is>
      </c>
      <c r="G29" s="31" t="inlineStr">
        <is>
          <t>UNCERTAIN_DUPLICATE: High title similarity (90.66666666666666%) across portals</t>
        </is>
      </c>
      <c r="H29" s="11" t="inlineStr">
        <is>
          <t>ممارسة رقم 4-6 - وزارة الصحة (العدد 1809)</t>
        </is>
      </c>
      <c r="I29" s="12">
        <f>HYPERLINK("https://kuwaitalyawm.media.gov.kw/Online/ViewAdsHTML?id=170990&amp;no=1", "عرض الإعلان")</f>
        <v/>
      </c>
    </row>
    <row r="30">
      <c r="A30" s="13" t="inlineStr">
        <is>
          <t>126-320</t>
        </is>
      </c>
      <c r="B30" s="14" t="inlineStr">
        <is>
          <t>kuwait_alyawm</t>
        </is>
      </c>
      <c r="C30" s="13" t="inlineStr">
        <is>
          <t>وزارة الصحة</t>
        </is>
      </c>
      <c r="D30" s="13" t="inlineStr">
        <is>
          <t>وزارة الصحة</t>
        </is>
      </c>
      <c r="E30" s="14" t="inlineStr">
        <is>
          <t>healthcare</t>
        </is>
      </c>
      <c r="F30" s="28" t="inlineStr">
        <is>
          <t>100%</t>
        </is>
      </c>
      <c r="G30" s="29" t="inlineStr">
        <is>
          <t>UNCERTAIN_DUPLICATE: High title similarity (89.74358974358975%) across portals</t>
        </is>
      </c>
      <c r="H30" s="13" t="inlineStr">
        <is>
          <t>ممارسة رقم 126-320 - وزارة الصحة (العدد 1808)</t>
        </is>
      </c>
      <c r="I30" s="14">
        <f>HYPERLINK("https://kuwaitalyawm.media.gov.kw/Online/ViewAdsHTML?id=169860&amp;no=1", "عرض الإعلان")</f>
        <v/>
      </c>
    </row>
    <row r="31">
      <c r="A31" s="11" t="inlineStr">
        <is>
          <t>703-280</t>
        </is>
      </c>
      <c r="B31" s="12" t="inlineStr">
        <is>
          <t>kuwait_alyawm</t>
        </is>
      </c>
      <c r="C31" s="11" t="inlineStr">
        <is>
          <t>وزارة الصحة</t>
        </is>
      </c>
      <c r="D31" s="11" t="inlineStr">
        <is>
          <t>وزارة الصحة</t>
        </is>
      </c>
      <c r="E31" s="12" t="inlineStr">
        <is>
          <t>healthcare</t>
        </is>
      </c>
      <c r="F31" s="30" t="inlineStr">
        <is>
          <t>100%</t>
        </is>
      </c>
      <c r="G31" s="31" t="inlineStr">
        <is>
          <t>UNCERTAIN_DUPLICATE: High title similarity (89.74358974358975%) across portals</t>
        </is>
      </c>
      <c r="H31" s="11" t="inlineStr">
        <is>
          <t>ممارسة رقم 703-280 - وزارة الصحة (العدد 1808)</t>
        </is>
      </c>
      <c r="I31" s="12">
        <f>HYPERLINK("https://kuwaitalyawm.media.gov.kw/Online/ViewAdsHTML?id=169861&amp;no=1", "عرض الإعلان")</f>
        <v/>
      </c>
    </row>
    <row r="32">
      <c r="A32" s="13" t="inlineStr">
        <is>
          <t>5-3</t>
        </is>
      </c>
      <c r="B32" s="14" t="inlineStr">
        <is>
          <t>kuwait_alyawm</t>
        </is>
      </c>
      <c r="C32" s="13" t="inlineStr">
        <is>
          <t>وزارة الصحة</t>
        </is>
      </c>
      <c r="D32" s="13" t="inlineStr">
        <is>
          <t>وزارة الصحة</t>
        </is>
      </c>
      <c r="E32" s="14" t="inlineStr">
        <is>
          <t>healthcare</t>
        </is>
      </c>
      <c r="F32" s="28" t="inlineStr">
        <is>
          <t>100%</t>
        </is>
      </c>
      <c r="G32" s="29" t="inlineStr">
        <is>
          <t>UNCERTAIN_DUPLICATE: High title similarity (90.66666666666666%) across portals</t>
        </is>
      </c>
      <c r="H32" s="13" t="inlineStr">
        <is>
          <t>ممارسة رقم 5-3 - وزارة الصحة (العدد 1808)</t>
        </is>
      </c>
      <c r="I32" s="14">
        <f>HYPERLINK("https://kuwaitalyawm.media.gov.kw/Online/ViewAdsHTML?id=169862&amp;no=1", "عرض الإعلان")</f>
        <v/>
      </c>
    </row>
    <row r="33">
      <c r="A33" s="11" t="inlineStr">
        <is>
          <t>13-4</t>
        </is>
      </c>
      <c r="B33" s="12" t="inlineStr">
        <is>
          <t>kuwait_alyawm</t>
        </is>
      </c>
      <c r="C33" s="11" t="inlineStr">
        <is>
          <t>وزارة الصحة</t>
        </is>
      </c>
      <c r="D33" s="11" t="inlineStr">
        <is>
          <t>وزارة الصحة</t>
        </is>
      </c>
      <c r="E33" s="12" t="inlineStr">
        <is>
          <t>healthcare</t>
        </is>
      </c>
      <c r="F33" s="30" t="inlineStr">
        <is>
          <t>100%</t>
        </is>
      </c>
      <c r="G33" s="31" t="inlineStr">
        <is>
          <t>UNCERTAIN_DUPLICATE: High title similarity (89.47368421052632%) across portals</t>
        </is>
      </c>
      <c r="H33" s="11" t="inlineStr">
        <is>
          <t>ممارسة رقم 13-4 - وزارة الصحة (العدد 1808)</t>
        </is>
      </c>
      <c r="I33" s="12">
        <f>HYPERLINK("https://kuwaitalyawm.media.gov.kw/Online/ViewAdsHTML?id=169863&amp;no=1", "عرض الإعلان")</f>
        <v/>
      </c>
    </row>
    <row r="34">
      <c r="A34" s="13" t="inlineStr">
        <is>
          <t>1-5</t>
        </is>
      </c>
      <c r="B34" s="14" t="inlineStr">
        <is>
          <t>kuwait_alyawm</t>
        </is>
      </c>
      <c r="C34" s="13" t="inlineStr">
        <is>
          <t>وزارة الصحة</t>
        </is>
      </c>
      <c r="D34" s="13" t="inlineStr">
        <is>
          <t>وزارة الصحة</t>
        </is>
      </c>
      <c r="E34" s="14" t="inlineStr">
        <is>
          <t>healthcare</t>
        </is>
      </c>
      <c r="F34" s="28" t="inlineStr">
        <is>
          <t>100%</t>
        </is>
      </c>
      <c r="G34" s="29" t="inlineStr">
        <is>
          <t>UNCERTAIN_DUPLICATE: High title similarity (93.33333333333333%) across portals</t>
        </is>
      </c>
      <c r="H34" s="13" t="inlineStr">
        <is>
          <t>ممارسة رقم 1-5 - وزارة الصحة (العدد 1808)</t>
        </is>
      </c>
      <c r="I34" s="14">
        <f>HYPERLINK("https://kuwaitalyawm.media.gov.kw/Online/ViewAdsHTML?id=169864&amp;no=1", "عرض الإعلان")</f>
        <v/>
      </c>
    </row>
    <row r="35">
      <c r="A35" s="11" t="inlineStr">
        <is>
          <t>1-8</t>
        </is>
      </c>
      <c r="B35" s="12" t="inlineStr">
        <is>
          <t>kuwait_alyawm</t>
        </is>
      </c>
      <c r="C35" s="11" t="inlineStr">
        <is>
          <t>وزارة الصحة</t>
        </is>
      </c>
      <c r="D35" s="11" t="inlineStr">
        <is>
          <t>وزارة الصحة</t>
        </is>
      </c>
      <c r="E35" s="12" t="inlineStr">
        <is>
          <t>healthcare</t>
        </is>
      </c>
      <c r="F35" s="30" t="inlineStr">
        <is>
          <t>100%</t>
        </is>
      </c>
      <c r="G35" s="31" t="inlineStr">
        <is>
          <t>UNCERTAIN_DUPLICATE: High title similarity (90.66666666666666%) across portals</t>
        </is>
      </c>
      <c r="H35" s="11" t="inlineStr">
        <is>
          <t>ممارسة رقم 1-8 - وزارة الصحة (العدد 1808)</t>
        </is>
      </c>
      <c r="I35" s="12">
        <f>HYPERLINK("https://kuwaitalyawm.media.gov.kw/Online/ViewAdsHTML?id=169865&amp;no=1", "عرض الإعلان")</f>
        <v/>
      </c>
    </row>
    <row r="36">
      <c r="A36" s="13" t="inlineStr">
        <is>
          <t>274-20</t>
        </is>
      </c>
      <c r="B36" s="14" t="inlineStr">
        <is>
          <t>kuwait_alyawm</t>
        </is>
      </c>
      <c r="C36" s="13" t="inlineStr">
        <is>
          <t>وزارة الصحة</t>
        </is>
      </c>
      <c r="D36" s="13" t="inlineStr">
        <is>
          <t>وزارة الصحة</t>
        </is>
      </c>
      <c r="E36" s="14" t="inlineStr">
        <is>
          <t>healthcare</t>
        </is>
      </c>
      <c r="F36" s="28" t="inlineStr">
        <is>
          <t>100%</t>
        </is>
      </c>
      <c r="G36" s="29" t="inlineStr">
        <is>
          <t>UNCERTAIN_DUPLICATE: High title similarity (90.0%) across portals</t>
        </is>
      </c>
      <c r="H36" s="13" t="inlineStr">
        <is>
          <t>ممارسة رقم 274-20 - وزارة الصحة (العدد 1808)</t>
        </is>
      </c>
      <c r="I36" s="14">
        <f>HYPERLINK("https://kuwaitalyawm.media.gov.kw/Online/ViewAdsHTML?id=169866&amp;no=1", "عرض الإعلان")</f>
        <v/>
      </c>
    </row>
    <row r="37">
      <c r="A37" s="11" t="inlineStr">
        <is>
          <t>334-331</t>
        </is>
      </c>
      <c r="B37" s="12" t="inlineStr">
        <is>
          <t>kuwait_alyawm</t>
        </is>
      </c>
      <c r="C37" s="11" t="inlineStr">
        <is>
          <t>وزارة الصحة</t>
        </is>
      </c>
      <c r="D37" s="11" t="inlineStr">
        <is>
          <t>وزارة الصحة</t>
        </is>
      </c>
      <c r="E37" s="12" t="inlineStr">
        <is>
          <t>healthcare</t>
        </is>
      </c>
      <c r="F37" s="30" t="inlineStr">
        <is>
          <t>100%</t>
        </is>
      </c>
      <c r="G37" s="31" t="inlineStr">
        <is>
          <t>UNCERTAIN_DUPLICATE: High title similarity (88.60759493670886%) across portals</t>
        </is>
      </c>
      <c r="H37" s="11" t="inlineStr">
        <is>
          <t>ممارسة رقم 334-331 - وزارة الصحة (العدد 1808)</t>
        </is>
      </c>
      <c r="I37" s="12">
        <f>HYPERLINK("https://kuwaitalyawm.media.gov.kw/Online/ViewAdsHTML?id=169867&amp;no=1", "عرض الإعلان")</f>
        <v/>
      </c>
    </row>
    <row r="38">
      <c r="A38" s="13" t="inlineStr">
        <is>
          <t>2027/2026/16</t>
        </is>
      </c>
      <c r="B38" s="14" t="inlineStr">
        <is>
          <t>kuwait_alyawm</t>
        </is>
      </c>
      <c r="C38" s="13" t="inlineStr">
        <is>
          <t>وزارة التربية</t>
        </is>
      </c>
      <c r="D38" s="13" t="inlineStr">
        <is>
          <t>وزارة التربية</t>
        </is>
      </c>
      <c r="E38" s="14" t="inlineStr">
        <is>
          <t>education_and_research</t>
        </is>
      </c>
      <c r="F38" s="28" t="inlineStr">
        <is>
          <t>100%</t>
        </is>
      </c>
      <c r="G38" s="29" t="inlineStr">
        <is>
          <t>UNCERTAIN_DUPLICATE: Tender number matches '2027/2026/16' but client or title differs significantly</t>
        </is>
      </c>
      <c r="H38" s="13" t="inlineStr">
        <is>
          <t>ممارسة رقم 2027/2026/16: لتوريد ادوات و اجهزة رياضية متنوعة لحاجة التوجيه الفني العام للتربية البدنية</t>
        </is>
      </c>
      <c r="I38" s="14">
        <f>HYPERLINK("https://kuwaitalyawm.media.gov.kw/Online/ViewAdsHTML?id=171532&amp;no=1", "عرض الإعلان")</f>
        <v/>
      </c>
    </row>
    <row r="39">
      <c r="A39" s="11" t="inlineStr">
        <is>
          <t>RFQ/2167075</t>
        </is>
      </c>
      <c r="B39" s="12" t="inlineStr">
        <is>
          <t>kuwait_alyawm</t>
        </is>
      </c>
      <c r="C39" s="11" t="inlineStr">
        <is>
          <t>شركة نفط الكويت</t>
        </is>
      </c>
      <c r="D39" s="11" t="inlineStr">
        <is>
          <t>شركة البترول الوطنية الكويتية</t>
        </is>
      </c>
      <c r="E39" s="12" t="inlineStr">
        <is>
          <t>oil_and_gas</t>
        </is>
      </c>
      <c r="F39" s="30" t="inlineStr">
        <is>
          <t>100%</t>
        </is>
      </c>
      <c r="G39" s="31" t="inlineStr">
        <is>
          <t>UNCERTAIN_DUPLICATE: Tender number matches 'RFQ/2167075' but client or title differs significantly</t>
        </is>
      </c>
      <c r="H39" s="11" t="inlineStr">
        <is>
          <t>ممارسة رقم RFQ/2167075: توريد مواد ومهمات تشغيلية لزوم شركة البترول الوطنية الكويتية - شركة البترول الوطنية الكويتية</t>
        </is>
      </c>
      <c r="I39" s="12">
        <f>HYPERLINK("https://kuwaitalyawm.media.gov.kw/Online/ViewAdsHTML?id=171742&amp;no=1", "عرض الإعلان")</f>
        <v/>
      </c>
    </row>
    <row r="40">
      <c r="A40" s="13" t="inlineStr">
        <is>
          <t>2027/2026/25</t>
        </is>
      </c>
      <c r="B40" s="14" t="inlineStr">
        <is>
          <t>kuwait_alyawm</t>
        </is>
      </c>
      <c r="C40" s="13" t="inlineStr">
        <is>
          <t>وزارة الأوقاف والشئون الإسلامية</t>
        </is>
      </c>
      <c r="D40" s="13" t="inlineStr">
        <is>
          <t>وزارة الأوقاف والشئون الإسلامية</t>
        </is>
      </c>
      <c r="E40" s="14" t="inlineStr">
        <is>
          <t>government</t>
        </is>
      </c>
      <c r="F40" s="28" t="inlineStr">
        <is>
          <t>100%</t>
        </is>
      </c>
      <c r="G40" s="29" t="inlineStr">
        <is>
          <t>UNCERTAIN_DUPLICATE: Tender number matches '2027/2026/25' but client or title differs significantly</t>
        </is>
      </c>
      <c r="H40" s="13" t="inlineStr">
        <is>
          <t>ممارسة رقم 2027/2026/25: أعمال النظافة الخاصة بالمباني والمراكز التابعة لإدارتي الدراسات وعلوم القرآن الكريم بمحافظتي الأحمدي ومبارك الكبير</t>
        </is>
      </c>
      <c r="I40" s="14">
        <f>HYPERLINK("https://kuwaitalyawm.media.gov.kw/Online/ViewAdsHTML?id=171813&amp;no=1", "عرض الإعلان")</f>
        <v/>
      </c>
    </row>
    <row r="41">
      <c r="A41" s="11" t="inlineStr">
        <is>
          <t>و ك م /41/2024/2025</t>
        </is>
      </c>
      <c r="B41" s="12" t="inlineStr">
        <is>
          <t>capt</t>
        </is>
      </c>
      <c r="C41" s="11" t="inlineStr">
        <is>
          <t>وزارة الكهرباء والماء والطاقة المتجددة</t>
        </is>
      </c>
      <c r="D41" s="11" t="inlineStr">
        <is>
          <t>وزارة الكهرباء والماء والطاقة المتجددة</t>
        </is>
      </c>
      <c r="E41" s="12" t="inlineStr">
        <is>
          <t>oil_and_gas</t>
        </is>
      </c>
      <c r="F41" s="30" t="inlineStr">
        <is>
          <t>100%</t>
        </is>
      </c>
      <c r="G41" s="31" t="inlineStr">
        <is>
          <t>UNCERTAIN_DUPLICATE: High title similarity (96.13733905579399%) across portals</t>
        </is>
      </c>
      <c r="H41" s="11" t="inlineStr">
        <is>
          <t>أعمال توريد وتركيب وصيانة خطوط هوائية ضغط متوسط 11 ك.ف وضغط منخفض والأعمال المدنية المتعلقة بهما في ( المنطقة الجنوبية )</t>
        </is>
      </c>
      <c r="I41" s="12">
        <f>HYPERLINK("https://capt.gov.kw/ar/tenders/opening-tenders/#card-7", "عرض الإعلان")</f>
        <v/>
      </c>
    </row>
    <row r="42">
      <c r="A42" s="13" t="inlineStr">
        <is>
          <t>و ك م /39/2024/2025</t>
        </is>
      </c>
      <c r="B42" s="14" t="inlineStr">
        <is>
          <t>capt</t>
        </is>
      </c>
      <c r="C42" s="13" t="inlineStr">
        <is>
          <t>وزارة الكهرباء والماء والطاقة المتجددة</t>
        </is>
      </c>
      <c r="D42" s="13" t="inlineStr">
        <is>
          <t>وزارة الكهرباء والماء والطاقة المتجددة</t>
        </is>
      </c>
      <c r="E42" s="14" t="inlineStr">
        <is>
          <t>oil_and_gas</t>
        </is>
      </c>
      <c r="F42" s="28" t="inlineStr">
        <is>
          <t>100%</t>
        </is>
      </c>
      <c r="G42" s="29" t="inlineStr">
        <is>
          <t>UNCERTAIN_DUPLICATE: High title similarity (96.1038961038961%) across portals</t>
        </is>
      </c>
      <c r="H42" s="13" t="inlineStr">
        <is>
          <t>اعمال توريد وتركيب وصيانة خطوط هوائية ضغط متوسط 11 ك.ف وضغط منخفض و الأعمال المدنية المتعلقة بهما في ( المنطقة الشمالية )</t>
        </is>
      </c>
      <c r="I42" s="14">
        <f>HYPERLINK("https://capt.gov.kw/ar/tenders/opening-tenders/#card-6", "عرض الإعلان")</f>
        <v/>
      </c>
    </row>
    <row r="43">
      <c r="A43" s="11" t="inlineStr">
        <is>
          <t>و ك م /14/2024/2025</t>
        </is>
      </c>
      <c r="B43" s="12" t="inlineStr">
        <is>
          <t>capt</t>
        </is>
      </c>
      <c r="C43" s="11" t="inlineStr">
        <is>
          <t>وزارة الكهرباء والماء والطاقة المتجددة</t>
        </is>
      </c>
      <c r="D43" s="11" t="inlineStr">
        <is>
          <t>وزارة الكهرباء والماء والطاقة المتجددة</t>
        </is>
      </c>
      <c r="E43" s="12" t="inlineStr">
        <is>
          <t>oil_and_gas</t>
        </is>
      </c>
      <c r="F43" s="30" t="inlineStr">
        <is>
          <t>100%</t>
        </is>
      </c>
      <c r="G43" s="31" t="inlineStr">
        <is>
          <t>UNCERTAIN_DUPLICATE: High title similarity (90.0%) across portals</t>
        </is>
      </c>
      <c r="H43" s="11" t="inlineStr">
        <is>
          <t>اعمال توريد وتركيب وصيانه خطوط هوائيه ضغط متوسط 11 ك.ف وضغط منخفض والاعمال المدنيه المتعلقه بهما في (المنطقه الوسطى)</t>
        </is>
      </c>
      <c r="I43" s="12">
        <f>HYPERLINK("https://capt.gov.kw/ar/tenders/opening-tenders/#card-5", "عرض الإعلان")</f>
        <v/>
      </c>
    </row>
    <row r="44">
      <c r="A44" s="13" t="inlineStr">
        <is>
          <t>5/2025-2026</t>
        </is>
      </c>
      <c r="B44" s="14" t="inlineStr">
        <is>
          <t>capt</t>
        </is>
      </c>
      <c r="C44" s="13" t="inlineStr">
        <is>
          <t>ديوان المحاسبة</t>
        </is>
      </c>
      <c r="D44" s="13" t="inlineStr">
        <is>
          <t>ديوان المحاسبة</t>
        </is>
      </c>
      <c r="E44" s="14" t="inlineStr">
        <is>
          <t>government</t>
        </is>
      </c>
      <c r="F44" s="28" t="inlineStr">
        <is>
          <t>100%</t>
        </is>
      </c>
      <c r="G44" s="29" t="inlineStr">
        <is>
          <t>UNCERTAIN_DUPLICATE: Tender number matches '5/2025/2026' but client or title differs significantly</t>
        </is>
      </c>
      <c r="H44" s="13" t="inlineStr">
        <is>
          <t>توريد وتركيب وتشغيل وصيانة وضمان أجهزة  محــولات الشبكــة Access Switches وجهــاز إدارة الـمحــولات  Catalyst Center (بالإضــافــة للرخــص والـقـطــع الـمـلحقـــة(</t>
        </is>
      </c>
      <c r="I44" s="14">
        <f>HYPERLINK("https://capt.gov.kw/ar/tenders/opening-tenders/#card-1", "عرض الإعلان")</f>
        <v/>
      </c>
    </row>
    <row r="45">
      <c r="A45" s="11" t="inlineStr">
        <is>
          <t>2/2025/2026</t>
        </is>
      </c>
      <c r="B45" s="12" t="inlineStr">
        <is>
          <t>capt</t>
        </is>
      </c>
      <c r="C45" s="11" t="inlineStr">
        <is>
          <t>وزارة الشئون الإجتماعية</t>
        </is>
      </c>
      <c r="D45" s="11" t="inlineStr">
        <is>
          <t>وزارة الشئون الاجتماعية</t>
        </is>
      </c>
      <c r="E45" s="12" t="inlineStr">
        <is>
          <t>government</t>
        </is>
      </c>
      <c r="F45" s="30" t="inlineStr">
        <is>
          <t>100%</t>
        </is>
      </c>
      <c r="G45" s="31" t="inlineStr">
        <is>
          <t>UNCERTAIN_DUPLICATE: High title similarity (100.0%) across portals</t>
        </is>
      </c>
      <c r="H45" s="11" t="inlineStr">
        <is>
          <t>أعمال توريد الحفاظات لكبار السن المقيدين في وزارة الشئون الإجتماعية</t>
        </is>
      </c>
      <c r="I45" s="12">
        <f>HYPERLINK("https://capt.gov.kw/ar/tenders/opening-tenders/#card-7", "عرض الإعلان")</f>
        <v/>
      </c>
    </row>
    <row r="46">
      <c r="A46" s="13" t="inlineStr">
        <is>
          <t>RFQ/1062690</t>
        </is>
      </c>
      <c r="B46" s="14" t="inlineStr">
        <is>
          <t>kuwait_alyawm</t>
        </is>
      </c>
      <c r="C46" s="13" t="inlineStr">
        <is>
          <t>شركة البترول الوطنية الكويتية</t>
        </is>
      </c>
      <c r="D46" s="13" t="inlineStr">
        <is>
          <t>شركة البترول الوطنية الكويتية</t>
        </is>
      </c>
      <c r="E46" s="14" t="inlineStr">
        <is>
          <t>oil_and_gas</t>
        </is>
      </c>
      <c r="F46" s="28" t="inlineStr">
        <is>
          <t>100%</t>
        </is>
      </c>
      <c r="G46" s="29" t="inlineStr">
        <is>
          <t>UNCERTAIN_DUPLICATE: High title similarity (96.15384615384616%) across portals</t>
        </is>
      </c>
      <c r="H46" s="13" t="inlineStr">
        <is>
          <t>ممارسة رقم RFQ/1062690: توريد مواد ومهمات تشغيلية لزوم شركة البترول الوطنية الكويتية - شركة البترول الوطنية الكويتية</t>
        </is>
      </c>
      <c r="I46" s="14">
        <f>HYPERLINK("https://kuwaitalyawm.media.gov.kw/flip/index?id=5599&amp;no=223", "عرض الإعلان")</f>
        <v/>
      </c>
    </row>
    <row r="47">
      <c r="A47" s="11" t="inlineStr">
        <is>
          <t>RFQ/1063968</t>
        </is>
      </c>
      <c r="B47" s="12" t="inlineStr">
        <is>
          <t>kuwait_alyawm</t>
        </is>
      </c>
      <c r="C47" s="11" t="inlineStr">
        <is>
          <t>شركة البترول الوطنية الكويتية</t>
        </is>
      </c>
      <c r="D47" s="11" t="inlineStr">
        <is>
          <t>شركة البترول الوطنية الكويتية</t>
        </is>
      </c>
      <c r="E47" s="12" t="inlineStr">
        <is>
          <t>oil_and_gas</t>
        </is>
      </c>
      <c r="F47" s="30" t="inlineStr">
        <is>
          <t>100%</t>
        </is>
      </c>
      <c r="G47" s="31" t="inlineStr">
        <is>
          <t>UNCERTAIN_DUPLICATE: High title similarity (100.0%) across portals</t>
        </is>
      </c>
      <c r="H47" s="11" t="inlineStr">
        <is>
          <t>ممارسة رقم RFQ/1063968: توريد مواد ومهمات تشغيلية لزوم شركة البترول الوطنية الكويتية - شركة البترول الوطنية الكويتية</t>
        </is>
      </c>
      <c r="I47" s="12">
        <f>HYPERLINK("https://kuwaitalyawm.media.gov.kw/flip/index?id=5599&amp;no=224", "عرض الإعلان")</f>
        <v/>
      </c>
    </row>
    <row r="48">
      <c r="A48" s="13" t="inlineStr">
        <is>
          <t>RFQ/1063246</t>
        </is>
      </c>
      <c r="B48" s="14" t="inlineStr">
        <is>
          <t>kuwait_alyawm</t>
        </is>
      </c>
      <c r="C48" s="13" t="inlineStr">
        <is>
          <t>شركة البترول الوطنية الكويتية</t>
        </is>
      </c>
      <c r="D48" s="13" t="inlineStr">
        <is>
          <t>شركة البترول الوطنية الكويتية</t>
        </is>
      </c>
      <c r="E48" s="14" t="inlineStr">
        <is>
          <t>oil_and_gas</t>
        </is>
      </c>
      <c r="F48" s="28" t="inlineStr">
        <is>
          <t>100%</t>
        </is>
      </c>
      <c r="G48" s="29" t="inlineStr">
        <is>
          <t>UNCERTAIN_DUPLICATE: High title similarity (96.15384615384616%) across portals</t>
        </is>
      </c>
      <c r="H48" s="13" t="inlineStr">
        <is>
          <t>ممارسة رقم RFQ/1063246: توريد مواد ومهمات تشغيلية لزوم شركة البترول الوطنية الكويتية - شركة البترول الوطنية الكويتية</t>
        </is>
      </c>
      <c r="I48" s="14">
        <f>HYPERLINK("https://kuwaitalyawm.media.gov.kw/flip/index?id=5599&amp;no=224", "عرض الإعلان")</f>
        <v/>
      </c>
    </row>
    <row r="49">
      <c r="A49" s="11" t="inlineStr">
        <is>
          <t>RFQ/1063799</t>
        </is>
      </c>
      <c r="B49" s="12" t="inlineStr">
        <is>
          <t>kuwait_alyawm</t>
        </is>
      </c>
      <c r="C49" s="11" t="inlineStr">
        <is>
          <t>شركة البترول الوطنية الكويتية</t>
        </is>
      </c>
      <c r="D49" s="11" t="inlineStr">
        <is>
          <t>شركة البترول الوطنية الكويتية</t>
        </is>
      </c>
      <c r="E49" s="12" t="inlineStr">
        <is>
          <t>oil_and_gas</t>
        </is>
      </c>
      <c r="F49" s="30" t="inlineStr">
        <is>
          <t>100%</t>
        </is>
      </c>
      <c r="G49" s="31" t="inlineStr">
        <is>
          <t>UNCERTAIN_DUPLICATE: High title similarity (100.0%) across portals</t>
        </is>
      </c>
      <c r="H49" s="11" t="inlineStr">
        <is>
          <t>ممارسة رقم RFQ/1063799: توريد مواد ومهمات تشغيلية لزوم شركة البترول الوطنية الكويتية - شركة البترول الوطنية الكويتية</t>
        </is>
      </c>
      <c r="I49" s="12">
        <f>HYPERLINK("https://kuwaitalyawm.media.gov.kw/flip/index?id=5599&amp;no=225", "عرض الإعلان")</f>
        <v/>
      </c>
    </row>
    <row r="50">
      <c r="A50" s="13" t="inlineStr">
        <is>
          <t>RFQ/1061616</t>
        </is>
      </c>
      <c r="B50" s="14" t="inlineStr">
        <is>
          <t>kuwait_alyawm</t>
        </is>
      </c>
      <c r="C50" s="13" t="inlineStr">
        <is>
          <t>شركة البترول الوطنية الكويتية</t>
        </is>
      </c>
      <c r="D50" s="13" t="inlineStr">
        <is>
          <t>شركة البترول الوطنية الكويتية</t>
        </is>
      </c>
      <c r="E50" s="14" t="inlineStr">
        <is>
          <t>oil_and_gas</t>
        </is>
      </c>
      <c r="F50" s="28" t="inlineStr">
        <is>
          <t>100%</t>
        </is>
      </c>
      <c r="G50" s="29" t="inlineStr">
        <is>
          <t>UNCERTAIN_DUPLICATE: High title similarity (96.15384615384616%) across portals</t>
        </is>
      </c>
      <c r="H50" s="13" t="inlineStr">
        <is>
          <t>ممارسة رقم RFQ/1061616: إعادة طرح توريد المواد المضافة للوقود (Stability Additive for 0.5% Sulfur IMO Bunker Fuel Oil - MAA) - شركة البترول الوطنية الكويتية</t>
        </is>
      </c>
      <c r="I50" s="14">
        <f>HYPERLINK("https://kuwaitalyawm.media.gov.kw/flip/index?id=5599&amp;no=225", "عرض الإعلان")</f>
        <v/>
      </c>
    </row>
    <row r="51">
      <c r="A51" s="11" t="inlineStr">
        <is>
          <t>RFQ/1063414</t>
        </is>
      </c>
      <c r="B51" s="12" t="inlineStr">
        <is>
          <t>kuwait_alyawm</t>
        </is>
      </c>
      <c r="C51" s="11" t="inlineStr">
        <is>
          <t>شركة البترول الوطنية الكويتية</t>
        </is>
      </c>
      <c r="D51" s="11" t="inlineStr">
        <is>
          <t>شركة البترول الوطنية الكويتية</t>
        </is>
      </c>
      <c r="E51" s="12" t="inlineStr">
        <is>
          <t>oil_and_gas</t>
        </is>
      </c>
      <c r="F51" s="30" t="inlineStr">
        <is>
          <t>100%</t>
        </is>
      </c>
      <c r="G51" s="31" t="inlineStr">
        <is>
          <t>UNCERTAIN_DUPLICATE: High title similarity (96.15384615384616%) across portals</t>
        </is>
      </c>
      <c r="H51" s="11" t="inlineStr">
        <is>
          <t>ممارسة رقم RFQ/1063414: توريد مستلزمات وتجهيزات ميكانيكية وتشغيلية - شركة البترول الوطنية الكويتية</t>
        </is>
      </c>
      <c r="I51" s="12">
        <f>HYPERLINK("https://kuwaitalyawm.media.gov.kw/flip/index?id=5599&amp;no=226", "عرض الإعلان")</f>
        <v/>
      </c>
    </row>
    <row r="52">
      <c r="A52" s="13" t="inlineStr">
        <is>
          <t>P&amp;MAB-04/2025</t>
        </is>
      </c>
      <c r="B52" s="14" t="inlineStr">
        <is>
          <t>kuwait_alyawm</t>
        </is>
      </c>
      <c r="C52" s="13" t="inlineStr">
        <is>
          <t>شركة ناقلات النفط الكويتية</t>
        </is>
      </c>
      <c r="D52" s="13" t="inlineStr">
        <is>
          <t>شركة نفط الكويت</t>
        </is>
      </c>
      <c r="E52" s="14" t="inlineStr">
        <is>
          <t>oil_and_gas</t>
        </is>
      </c>
      <c r="F52" s="28" t="inlineStr">
        <is>
          <t>100%</t>
        </is>
      </c>
      <c r="G52" s="29" t="inlineStr">
        <is>
          <t>UNCERTAIN_DUPLICATE: High title similarity (96.15384615384616%) across portals</t>
        </is>
      </c>
      <c r="H52" s="13" t="inlineStr">
        <is>
          <t>ممارسة رقم P&amp;MAB-04/2025: ممارسة التصميم والإشراف على مشروع أرض مساحتها</t>
        </is>
      </c>
      <c r="I52" s="14">
        <f>HYPERLINK("https://kuwaitalyawm.media.gov.kw/flip/index?id=5599&amp;no=227", "عرض الإعلان")</f>
        <v/>
      </c>
    </row>
    <row r="53">
      <c r="A53" s="11" t="inlineStr">
        <is>
          <t>RFQ/2165292</t>
        </is>
      </c>
      <c r="B53" s="12" t="inlineStr">
        <is>
          <t>kuwait_alyawm</t>
        </is>
      </c>
      <c r="C53" s="11" t="inlineStr">
        <is>
          <t>شركة نفط الكويت</t>
        </is>
      </c>
      <c r="D53" s="11" t="inlineStr">
        <is>
          <t>شركة البترول الوطنية الكويتية</t>
        </is>
      </c>
      <c r="E53" s="12" t="inlineStr">
        <is>
          <t>oil_and_gas</t>
        </is>
      </c>
      <c r="F53" s="30" t="inlineStr">
        <is>
          <t>100%</t>
        </is>
      </c>
      <c r="G53" s="31" t="inlineStr">
        <is>
          <t>UNCERTAIN_DUPLICATE: Tender number matches 'RFQ/2165292' but client or title differs significantly</t>
        </is>
      </c>
      <c r="H53" s="11" t="inlineStr">
        <is>
          <t>ممارسة رقم RFQ/2165292: توريد مواد ومهمات تشغيلية لزوم شركة البترول الوطنية الكويتية - شركة البترول الوطنية الكويتية</t>
        </is>
      </c>
      <c r="I53" s="12">
        <f>HYPERLINK("https://kuwaitalyawm.media.gov.kw/Online/ViewAdsHTML?id=171740&amp;no=1", "عرض الإعلان")</f>
        <v/>
      </c>
    </row>
    <row r="54">
      <c r="A54" s="13" t="inlineStr">
        <is>
          <t>RFQ/2167957</t>
        </is>
      </c>
      <c r="B54" s="14" t="inlineStr">
        <is>
          <t>kuwait_alyawm</t>
        </is>
      </c>
      <c r="C54" s="13" t="inlineStr">
        <is>
          <t>شركة نفط الكويت</t>
        </is>
      </c>
      <c r="D54" s="13" t="inlineStr">
        <is>
          <t>شركة البترول الوطنية الكويتية</t>
        </is>
      </c>
      <c r="E54" s="14" t="inlineStr">
        <is>
          <t>oil_and_gas</t>
        </is>
      </c>
      <c r="F54" s="28" t="inlineStr">
        <is>
          <t>100%</t>
        </is>
      </c>
      <c r="G54" s="29" t="inlineStr">
        <is>
          <t>UNCERTAIN_DUPLICATE: High title similarity (93.87755102040816%) across portals</t>
        </is>
      </c>
      <c r="H54" s="13" t="inlineStr">
        <is>
          <t>ممارسة رقم RFQ/2167957: توريد مواد ومهمات تشغيلية لزوم شركة البترول الوطنية الكويتية - شركة البترول الوطنية الكويتية</t>
        </is>
      </c>
      <c r="I54" s="14">
        <f>HYPERLINK("https://kuwaitalyawm.media.gov.kw/Online/ViewAdsHTML?id=171741&amp;no=1", "عرض الإعلان")</f>
        <v/>
      </c>
    </row>
    <row r="55">
      <c r="A55" s="11" t="inlineStr">
        <is>
          <t>2026/2025/6</t>
        </is>
      </c>
      <c r="B55" s="12" t="inlineStr">
        <is>
          <t>kuwait_alyawm</t>
        </is>
      </c>
      <c r="C55" s="11" t="inlineStr">
        <is>
          <t>الهيئة العامة للاتصالات وتقنية المعلومات</t>
        </is>
      </c>
      <c r="D55" s="11" t="inlineStr">
        <is>
          <t>وزارة التربية</t>
        </is>
      </c>
      <c r="E55" s="12" t="inlineStr">
        <is>
          <t>education_and_research</t>
        </is>
      </c>
      <c r="F55" s="30" t="inlineStr">
        <is>
          <t>0%</t>
        </is>
      </c>
      <c r="G55" s="31" t="inlineStr">
        <is>
          <t>MISSING_CLIENT_NAME</t>
        </is>
      </c>
      <c r="H55" s="11" t="inlineStr">
        <is>
          <t>مناقصة رقم 2026/2025/6: بشأن مشروع تقديم خدمات النظافة والحراسة والمراسلين</t>
        </is>
      </c>
      <c r="I55" s="12">
        <f>HYPERLINK("https://kuwaitalyawm.media.gov.kw/flip/index?id=5589&amp;no=178", "عرض الإعلان")</f>
        <v/>
      </c>
    </row>
    <row r="56">
      <c r="A56" s="13" t="inlineStr">
        <is>
          <t>RFP/2159728</t>
        </is>
      </c>
      <c r="B56" s="14" t="inlineStr">
        <is>
          <t>kuwait_alyawm</t>
        </is>
      </c>
      <c r="C56" s="13" t="inlineStr">
        <is>
          <t>شركة نفط الكويت</t>
        </is>
      </c>
      <c r="D56" s="13" t="inlineStr">
        <is>
          <t>شركة البترول الوطنية الكويتية</t>
        </is>
      </c>
      <c r="E56" s="14" t="inlineStr">
        <is>
          <t>oil_and_gas</t>
        </is>
      </c>
      <c r="F56" s="28" t="inlineStr">
        <is>
          <t>0%</t>
        </is>
      </c>
      <c r="G56" s="29" t="inlineStr">
        <is>
          <t>MISSING_CLIENT_NAME; UNCERTAIN_DUPLICATE: High title similarity (89.47368421052632%) across portals</t>
        </is>
      </c>
      <c r="H56" s="13" t="inlineStr">
        <is>
          <t>ممارسة رقم RFP/2159728: توريد مواد ومهمات تشغيلية لزوم شركة البترول الوطنية الكويتية - شركة البترول الوطنية الكويتية</t>
        </is>
      </c>
      <c r="I56" s="14">
        <f>HYPERLINK("https://kuwaitalyawm.media.gov.kw/flip/index?id=5599&amp;no=238", "عرض الإعلان")</f>
        <v/>
      </c>
    </row>
    <row r="57">
      <c r="A57" s="11" t="inlineStr">
        <is>
          <t>RFQ/2162141</t>
        </is>
      </c>
      <c r="B57" s="12" t="inlineStr">
        <is>
          <t>kuwait_alyawm</t>
        </is>
      </c>
      <c r="C57" s="11" t="inlineStr">
        <is>
          <t>شركة نفط الكويت</t>
        </is>
      </c>
      <c r="D57" s="11" t="inlineStr">
        <is>
          <t>شركة البترول الوطنية الكويتية</t>
        </is>
      </c>
      <c r="E57" s="12" t="inlineStr">
        <is>
          <t>oil_and_gas</t>
        </is>
      </c>
      <c r="F57" s="30" t="inlineStr">
        <is>
          <t>0%</t>
        </is>
      </c>
      <c r="G57" s="31" t="inlineStr">
        <is>
          <t>MISSING_CLIENT_NAME; UNCERTAIN_DUPLICATE: High title similarity (92.10526315789474%) across portals</t>
        </is>
      </c>
      <c r="H57" s="11" t="inlineStr">
        <is>
          <t>ممارسة رقم RFQ/2162141: توريد مواد ومهمات تشغيلية لزوم شركة البترول الوطنية الكويتية - شركة البترول الوطنية الكويتية</t>
        </is>
      </c>
      <c r="I57" s="12">
        <f>HYPERLINK("https://kuwaitalyawm.media.gov.kw/flip/index?id=5599&amp;no=232", "عرض الإعلان")</f>
        <v/>
      </c>
    </row>
    <row r="58">
      <c r="A58" s="13" t="inlineStr">
        <is>
          <t>RFQ/2162882</t>
        </is>
      </c>
      <c r="B58" s="14" t="inlineStr">
        <is>
          <t>kuwait_alyawm</t>
        </is>
      </c>
      <c r="C58" s="13" t="inlineStr">
        <is>
          <t>شركة نفط الكويت</t>
        </is>
      </c>
      <c r="D58" s="13" t="inlineStr">
        <is>
          <t>شركة البترول الوطنية الكويتية</t>
        </is>
      </c>
      <c r="E58" s="14" t="inlineStr">
        <is>
          <t>oil_and_gas</t>
        </is>
      </c>
      <c r="F58" s="28" t="inlineStr">
        <is>
          <t>0%</t>
        </is>
      </c>
      <c r="G58" s="29" t="inlineStr">
        <is>
          <t>MISSING_CLIENT_NAME; UNCERTAIN_DUPLICATE: High title similarity (89.47368421052632%) across portals</t>
        </is>
      </c>
      <c r="H58" s="13" t="inlineStr">
        <is>
          <t>ممارسة رقم RFQ/2162882: توريد مواد ومهمات تشغيلية لزوم شركة البترول الوطنية الكويتية - شركة البترول الوطنية الكويتية</t>
        </is>
      </c>
      <c r="I58" s="14">
        <f>HYPERLINK("https://kuwaitalyawm.media.gov.kw/flip/index?id=5599&amp;no=232", "عرض الإعلان")</f>
        <v/>
      </c>
    </row>
    <row r="59">
      <c r="A59" s="11" t="inlineStr">
        <is>
          <t>RFQ/2164961</t>
        </is>
      </c>
      <c r="B59" s="12" t="inlineStr">
        <is>
          <t>kuwait_alyawm</t>
        </is>
      </c>
      <c r="C59" s="11" t="inlineStr">
        <is>
          <t>شركة نفط الكويت</t>
        </is>
      </c>
      <c r="D59" s="11" t="inlineStr">
        <is>
          <t>شركة البترول الوطنية الكويتية</t>
        </is>
      </c>
      <c r="E59" s="12" t="inlineStr">
        <is>
          <t>oil_and_gas</t>
        </is>
      </c>
      <c r="F59" s="30" t="inlineStr">
        <is>
          <t>0%</t>
        </is>
      </c>
      <c r="G59" s="31" t="inlineStr">
        <is>
          <t>MISSING_CLIENT_NAME; UNCERTAIN_DUPLICATE: High title similarity (89.47368421052632%) across portals</t>
        </is>
      </c>
      <c r="H59" s="11" t="inlineStr">
        <is>
          <t>ممارسة رقم RFQ/2164961: توريد مواد ومهمات تشغيلية لزوم شركة البترول الوطنية الكويتية - شركة البترول الوطنية الكويتية</t>
        </is>
      </c>
      <c r="I59" s="12">
        <f>HYPERLINK("https://kuwaitalyawm.media.gov.kw/flip/index?id=5599&amp;no=232", "عرض الإعلان")</f>
        <v/>
      </c>
    </row>
    <row r="60">
      <c r="A60" s="13" t="inlineStr">
        <is>
          <t>RFQ/2167837</t>
        </is>
      </c>
      <c r="B60" s="14" t="inlineStr">
        <is>
          <t>kuwait_alyawm</t>
        </is>
      </c>
      <c r="C60" s="13" t="inlineStr">
        <is>
          <t>شركة نفط الكويت</t>
        </is>
      </c>
      <c r="D60" s="13" t="inlineStr">
        <is>
          <t>شركة البترول الوطنية الكويتية</t>
        </is>
      </c>
      <c r="E60" s="14" t="inlineStr">
        <is>
          <t>oil_and_gas</t>
        </is>
      </c>
      <c r="F60" s="28" t="inlineStr">
        <is>
          <t>0%</t>
        </is>
      </c>
      <c r="G60" s="29" t="inlineStr">
        <is>
          <t>MISSING_CLIENT_NAME; UNCERTAIN_DUPLICATE: High title similarity (89.47368421052632%) across portals</t>
        </is>
      </c>
      <c r="H60" s="13" t="inlineStr">
        <is>
          <t>ممارسة رقم RFQ/2167837: توريد مواد ومهمات تشغيلية لزوم شركة البترول الوطنية الكويتية - شركة البترول الوطنية الكويتية</t>
        </is>
      </c>
      <c r="I60" s="14">
        <f>HYPERLINK("https://kuwaitalyawm.media.gov.kw/flip/index?id=5599&amp;no=233", "عرض الإعلان")</f>
        <v/>
      </c>
    </row>
    <row r="61">
      <c r="A61" s="11" t="inlineStr">
        <is>
          <t>RFP/2158821</t>
        </is>
      </c>
      <c r="B61" s="12" t="inlineStr">
        <is>
          <t>kuwait_alyawm</t>
        </is>
      </c>
      <c r="C61" s="11" t="inlineStr">
        <is>
          <t>شركة نفط الكويت</t>
        </is>
      </c>
      <c r="D61" s="11" t="inlineStr">
        <is>
          <t>شركة البترول الوطنية الكويتية</t>
        </is>
      </c>
      <c r="E61" s="12" t="inlineStr">
        <is>
          <t>oil_and_gas</t>
        </is>
      </c>
      <c r="F61" s="30" t="inlineStr">
        <is>
          <t>0%</t>
        </is>
      </c>
      <c r="G61" s="31" t="inlineStr">
        <is>
          <t>MISSING_CLIENT_NAME; UNCERTAIN_DUPLICATE: High title similarity (92.10526315789474%) across portals</t>
        </is>
      </c>
      <c r="H61" s="11" t="inlineStr">
        <is>
          <t>ممارسة رقم RFP/2158821: توريد مواد ومهمات تشغيلية لزوم شركة البترول الوطنية الكويتية - شركة البترول الوطنية الكويتية</t>
        </is>
      </c>
      <c r="I61" s="12">
        <f>HYPERLINK("https://kuwaitalyawm.media.gov.kw/flip/index?id=5599&amp;no=234", "عرض الإعلان")</f>
        <v/>
      </c>
    </row>
    <row r="62">
      <c r="A62" s="13" t="inlineStr">
        <is>
          <t>RFP/2162144</t>
        </is>
      </c>
      <c r="B62" s="14" t="inlineStr">
        <is>
          <t>kuwait_alyawm</t>
        </is>
      </c>
      <c r="C62" s="13" t="inlineStr">
        <is>
          <t>شركة نفط الكويت</t>
        </is>
      </c>
      <c r="D62" s="13" t="inlineStr">
        <is>
          <t>شركة البترول الوطنية الكويتية</t>
        </is>
      </c>
      <c r="E62" s="14" t="inlineStr">
        <is>
          <t>oil_and_gas</t>
        </is>
      </c>
      <c r="F62" s="28" t="inlineStr">
        <is>
          <t>0%</t>
        </is>
      </c>
      <c r="G62" s="29" t="inlineStr">
        <is>
          <t>MISSING_CLIENT_NAME; UNCERTAIN_DUPLICATE: High title similarity (89.47368421052632%) across portals</t>
        </is>
      </c>
      <c r="H62" s="13" t="inlineStr">
        <is>
          <t>ممارسة رقم RFP/2162144: توريد مواد ومهمات تشغيلية لزوم شركة البترول الوطنية الكويتية - شركة البترول الوطنية الكويتية</t>
        </is>
      </c>
      <c r="I62" s="14">
        <f>HYPERLINK("https://kuwaitalyawm.media.gov.kw/flip/index?id=5599&amp;no=234", "عرض الإعلان")</f>
        <v/>
      </c>
    </row>
    <row r="63">
      <c r="A63" s="11" t="inlineStr">
        <is>
          <t>RFP/2163368</t>
        </is>
      </c>
      <c r="B63" s="12" t="inlineStr">
        <is>
          <t>kuwait_alyawm</t>
        </is>
      </c>
      <c r="C63" s="11" t="inlineStr">
        <is>
          <t>شركة نفط الكويت</t>
        </is>
      </c>
      <c r="D63" s="11" t="inlineStr">
        <is>
          <t>شركة البترول الوطنية الكويتية</t>
        </is>
      </c>
      <c r="E63" s="12" t="inlineStr">
        <is>
          <t>oil_and_gas</t>
        </is>
      </c>
      <c r="F63" s="30" t="inlineStr">
        <is>
          <t>0%</t>
        </is>
      </c>
      <c r="G63" s="31" t="inlineStr">
        <is>
          <t>MISSING_CLIENT_NAME; UNCERTAIN_DUPLICATE: High title similarity (89.47368421052632%) across portals</t>
        </is>
      </c>
      <c r="H63" s="11" t="inlineStr">
        <is>
          <t>ممارسة رقم RFP/2163368: توريد مواد ومهمات تشغيلية لزوم شركة البترول الوطنية الكويتية - شركة البترول الوطنية الكويتية</t>
        </is>
      </c>
      <c r="I63" s="12">
        <f>HYPERLINK("https://kuwaitalyawm.media.gov.kw/flip/index?id=5589&amp;no=190", "عرض الإعلان")</f>
        <v/>
      </c>
    </row>
    <row r="64">
      <c r="A64" s="13" t="inlineStr">
        <is>
          <t>RFP/2163398</t>
        </is>
      </c>
      <c r="B64" s="14" t="inlineStr">
        <is>
          <t>kuwait_alyawm</t>
        </is>
      </c>
      <c r="C64" s="13" t="inlineStr">
        <is>
          <t>شركة نفط الكويت</t>
        </is>
      </c>
      <c r="D64" s="13" t="inlineStr">
        <is>
          <t>شركة البترول الوطنية الكويتية</t>
        </is>
      </c>
      <c r="E64" s="14" t="inlineStr">
        <is>
          <t>oil_and_gas</t>
        </is>
      </c>
      <c r="F64" s="28" t="inlineStr">
        <is>
          <t>0%</t>
        </is>
      </c>
      <c r="G64" s="29" t="inlineStr">
        <is>
          <t>MISSING_CLIENT_NAME; UNCERTAIN_DUPLICATE: High title similarity (92.10526315789474%) across portals</t>
        </is>
      </c>
      <c r="H64" s="13" t="inlineStr">
        <is>
          <t>ممارسة رقم RFP/2163398: توريد مواد ومهمات تشغيلية لزوم شركة البترول الوطنية الكويتية - شركة البترول الوطنية الكويتية</t>
        </is>
      </c>
      <c r="I64" s="14">
        <f>HYPERLINK("https://kuwaitalyawm.media.gov.kw/flip/index?id=5599&amp;no=236", "عرض الإعلان")</f>
        <v/>
      </c>
    </row>
    <row r="65">
      <c r="A65" s="11" t="inlineStr">
        <is>
          <t>RFP/2165997</t>
        </is>
      </c>
      <c r="B65" s="12" t="inlineStr">
        <is>
          <t>kuwait_alyawm</t>
        </is>
      </c>
      <c r="C65" s="11" t="inlineStr">
        <is>
          <t>شركة نفط الكويت</t>
        </is>
      </c>
      <c r="D65" s="11" t="inlineStr">
        <is>
          <t>شركة البترول الوطنية الكويتية</t>
        </is>
      </c>
      <c r="E65" s="12" t="inlineStr">
        <is>
          <t>oil_and_gas</t>
        </is>
      </c>
      <c r="F65" s="30" t="inlineStr">
        <is>
          <t>0%</t>
        </is>
      </c>
      <c r="G65" s="31" t="inlineStr">
        <is>
          <t>MISSING_CLIENT_NAME; UNCERTAIN_DUPLICATE: High title similarity (94.73684210526315%) across portals</t>
        </is>
      </c>
      <c r="H65" s="11" t="inlineStr">
        <is>
          <t>ممارسة رقم RFP/2165997: توريد مواد ومهمات تشغيلية لزوم شركة البترول الوطنية الكويتية - شركة البترول الوطنية الكويتية</t>
        </is>
      </c>
      <c r="I65" s="12">
        <f>HYPERLINK("https://kuwaitalyawm.media.gov.kw/flip/index?id=5599&amp;no=238", "عرض الإعلان")</f>
        <v/>
      </c>
    </row>
    <row r="66">
      <c r="A66" s="13" t="inlineStr">
        <is>
          <t>و ش ج / 2/2025/2026</t>
        </is>
      </c>
      <c r="B66" s="14" t="inlineStr">
        <is>
          <t>capt</t>
        </is>
      </c>
      <c r="C66" s="13" t="inlineStr">
        <is>
          <t>وزارة الشئون الإجتماعية</t>
        </is>
      </c>
      <c r="D66" s="13" t="inlineStr">
        <is>
          <t>وزارة الشئون الاجتماعية</t>
        </is>
      </c>
      <c r="E66" s="14" t="inlineStr">
        <is>
          <t>government</t>
        </is>
      </c>
      <c r="F66" s="28" t="inlineStr">
        <is>
          <t>100%</t>
        </is>
      </c>
      <c r="G66" s="29" t="inlineStr">
        <is>
          <t>UNCERTAIN_DUPLICATE: High title similarity (100.0%) across portals</t>
        </is>
      </c>
      <c r="H66" s="13" t="inlineStr">
        <is>
          <t>أعمال توريد الحفاظات لكبار السن المقيدين في وزارة الشئون الإجتماعية</t>
        </is>
      </c>
      <c r="I66" s="14">
        <f>HYPERLINK("https://capt.gov.kw/ar/tenders/opening-tenders/#card-1", "عرض الإعلان")</f>
        <v/>
      </c>
    </row>
    <row r="67">
      <c r="A67" s="11" t="inlineStr">
        <is>
          <t>RFP-2162140</t>
        </is>
      </c>
      <c r="B67" s="12" t="inlineStr">
        <is>
          <t>capt</t>
        </is>
      </c>
      <c r="C67" s="11" t="inlineStr">
        <is>
          <t>شركة نفط الكويت</t>
        </is>
      </c>
      <c r="D67" s="11" t="inlineStr">
        <is>
          <t>شركة البترول الوطنية الكويتية</t>
        </is>
      </c>
      <c r="E67" s="12" t="inlineStr">
        <is>
          <t>oil_and_gas</t>
        </is>
      </c>
      <c r="F67" s="30" t="inlineStr">
        <is>
          <t>100%</t>
        </is>
      </c>
      <c r="G67" s="31" t="inlineStr">
        <is>
          <t>UNCERTAIN_DUPLICATE: Tender number matches 'RFP-2162140' but client or title differs significantly</t>
        </is>
      </c>
      <c r="H67" s="11" t="inlineStr">
        <is>
          <t>ممارسة رقم RFP-2162140: توريد مواد ومهمات تشغيلية لزوم شركة البترول الوطنية الكويتية - شركة البترول الوطنية الكويتية</t>
        </is>
      </c>
      <c r="I67" s="12">
        <f>HYPERLINK("https://capt.gov.kw/ar/tenders/opening-tenders/#card-2", "عرض الإعلان")</f>
        <v/>
      </c>
    </row>
  </sheetData>
  <autoFilter ref="A1:I6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
  <sheetViews>
    <sheetView rightToLeft="1" workbookViewId="0">
      <pane ySplit="1" topLeftCell="A2" activePane="bottomLeft" state="frozen"/>
      <selection pane="bottomLeft" activeCell="A1" sqref="A1"/>
    </sheetView>
  </sheetViews>
  <sheetFormatPr baseColWidth="8" defaultRowHeight="15"/>
  <cols>
    <col width="22" customWidth="1" min="1" max="1"/>
    <col width="16" customWidth="1" min="2" max="2"/>
    <col width="12" customWidth="1" min="3" max="3"/>
    <col width="24" customWidth="1" min="4" max="4"/>
    <col width="45" customWidth="1" min="5" max="5"/>
  </cols>
  <sheetData>
    <row r="1">
      <c r="A1" s="10" t="inlineStr">
        <is>
          <t>وقت التشغيل</t>
        </is>
      </c>
      <c r="B1" s="10" t="inlineStr">
        <is>
          <t>البوابة</t>
        </is>
      </c>
      <c r="C1" s="10" t="inlineStr">
        <is>
          <t>الحالة</t>
        </is>
      </c>
      <c r="D1" s="10" t="inlineStr">
        <is>
          <t>عدد المناقصات المجمعة</t>
        </is>
      </c>
      <c r="E1" s="10" t="inlineStr">
        <is>
          <t>الرسائل / الأخطاء التشخيصية</t>
        </is>
      </c>
    </row>
    <row r="2">
      <c r="A2" s="32" t="inlineStr">
        <is>
          <t>2026-10-14 10:49:18</t>
        </is>
      </c>
      <c r="B2" s="32" t="inlineStr">
        <is>
          <t>CAPT</t>
        </is>
      </c>
      <c r="C2" s="32" t="inlineStr">
        <is>
          <t>SUCCESS</t>
        </is>
      </c>
      <c r="D2" s="32" t="n">
        <v>97</v>
      </c>
      <c r="E2" s="33" t="inlineStr">
        <is>
          <t>Scraped opening-tenders cleanly. Zero bot challenges encountered.</t>
        </is>
      </c>
    </row>
    <row r="3">
      <c r="A3" s="32" t="inlineStr">
        <is>
          <t>2026-10-14 10:49:18</t>
        </is>
      </c>
      <c r="B3" s="32" t="inlineStr">
        <is>
          <t>KUWAIT_ALYAWM</t>
        </is>
      </c>
      <c r="C3" s="32" t="inlineStr">
        <is>
          <t>SUCCESS</t>
        </is>
      </c>
      <c r="D3" s="32" t="n">
        <v>56</v>
      </c>
      <c r="E3" s="33" t="inlineStr">
        <is>
          <t>Scraped categories 1 &amp; 18. Unsealed notices queued in Needs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2026-10-14T07:49:17Z</dcterms:created>
  <dcterms:modified xmlns:dcterms="http://purl.org/dc/terms/" xmlns:xsi="http://www.w3.org/2001/XMLSchema-instance" xsi:type="dcterms:W3CDTF">2026-10-14T07:49:18Z</dcterms:modified>
</cp:coreProperties>
</file>